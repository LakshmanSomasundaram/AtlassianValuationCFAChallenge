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7.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8.xml" ContentType="application/vnd.openxmlformats-officedocument.drawingml.chartshapes+xml"/>
  <Override PartName="/xl/drawings/drawing9.xml" ContentType="application/vnd.openxmlformats-officedocument.drawing+xml"/>
  <Override PartName="/xl/drawings/drawing10.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11.xml" ContentType="application/vnd.openxmlformats-officedocument.drawing+xml"/>
  <Override PartName="/xl/tables/table1.xml" ContentType="application/vnd.openxmlformats-officedocument.spreadsheetml.tab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12.xml" ContentType="application/vnd.openxmlformats-officedocument.drawingml.chartshapes+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13.xml" ContentType="application/vnd.openxmlformats-officedocument.drawingml.chartshapes+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14.xml" ContentType="application/vnd.openxmlformats-officedocument.drawingml.chartshapes+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15.xml" ContentType="application/vnd.openxmlformats-officedocument.drawingml.chartshapes+xml"/>
  <Override PartName="/xl/drawings/drawing16.xml" ContentType="application/vnd.openxmlformats-officedocument.drawing+xml"/>
  <Override PartName="/xl/drawings/drawing17.xml" ContentType="application/vnd.openxmlformats-officedocument.drawing+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18.xml" ContentType="application/vnd.openxmlformats-officedocument.drawing+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19.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officeDocument/2006/relationships/custom-properties" Target="docProps/custom.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https://d.docs.live.net/5712b6165148c0da/Desktop/"/>
    </mc:Choice>
  </mc:AlternateContent>
  <xr:revisionPtr revIDLastSave="17" documentId="8_{AD05F79F-339F-4563-8F5A-6A120BF7E408}" xr6:coauthVersionLast="47" xr6:coauthVersionMax="47" xr10:uidLastSave="{7B6F3C1A-8CF1-41A5-8A53-68107537B391}"/>
  <bookViews>
    <workbookView xWindow="-110" yWindow="-110" windowWidth="23260" windowHeight="14860" firstSheet="3" activeTab="3" xr2:uid="{93573C24-02F7-4A8A-9A92-AA0D54D3A163}"/>
  </bookViews>
  <sheets>
    <sheet name="Cover" sheetId="45" r:id="rId1"/>
    <sheet name="DCF FINAL" sheetId="31" r:id="rId2"/>
    <sheet name="Comp. Multi &amp; Imp. Val" sheetId="2" r:id="rId3"/>
    <sheet name="Monte Carlo, VaR &amp;CVaR" sheetId="3" r:id="rId4"/>
    <sheet name="Sensitivity Analysis" sheetId="35" r:id="rId5"/>
    <sheet name="Reverse DCF" sheetId="33" r:id="rId6"/>
    <sheet name="DuPont Analysis" sheetId="37" r:id="rId7"/>
    <sheet name="Altman's Z-Score" sheetId="32" r:id="rId8"/>
    <sheet name="Chaffe-Finnerty DLOM" sheetId="44" r:id="rId9"/>
    <sheet name="VWAP LIVE" sheetId="40" r:id="rId10"/>
    <sheet name="Charts" sheetId="47" r:id="rId11"/>
    <sheet name="WACC" sheetId="11" r:id="rId12"/>
    <sheet name="WACC FF Data" sheetId="16" r:id="rId13"/>
    <sheet name="Beta Regression" sheetId="15" r:id="rId14"/>
    <sheet name="IS Intergrated" sheetId="17" r:id="rId15"/>
    <sheet name="Graphs for report " sheetId="50" r:id="rId16"/>
    <sheet name="BS Intergrated" sheetId="18" r:id="rId17"/>
    <sheet name="CF Intergrated" sheetId="19" r:id="rId18"/>
    <sheet name="IS Assumption" sheetId="23" r:id="rId19"/>
    <sheet name="BS Assumptions" sheetId="24" r:id="rId20"/>
    <sheet name="CF Assumptions" sheetId="25" r:id="rId21"/>
    <sheet name="Revenue Assumptions" sheetId="10" r:id="rId22"/>
    <sheet name="Additional Assumptions" sheetId="30" r:id="rId23"/>
    <sheet name="Acquistion Multiples" sheetId="49" r:id="rId24"/>
    <sheet name="IS Ratio" sheetId="22" r:id="rId25"/>
    <sheet name="BS Ratios" sheetId="43" r:id="rId26"/>
    <sheet name="CF Ratio" sheetId="21" r:id="rId27"/>
    <sheet name="SBC Ratios" sheetId="29" r:id="rId28"/>
    <sheet name="IS Historical" sheetId="6" r:id="rId29"/>
    <sheet name="BS Historical Updated" sheetId="41" r:id="rId30"/>
    <sheet name="CF Historical" sheetId="5" r:id="rId31"/>
    <sheet name="DCS Detail" sheetId="13" r:id="rId32"/>
    <sheet name="FY'26 Statements" sheetId="39" r:id="rId33"/>
    <sheet name="STALE&gt;&gt;&gt;" sheetId="38" r:id="rId34"/>
    <sheet name="DCF" sheetId="1" r:id="rId35"/>
    <sheet name="Scenario Analysis" sheetId="4" r:id="rId36"/>
    <sheet name="VWAP - July" sheetId="34" r:id="rId37"/>
    <sheet name="BS Old" sheetId="7" r:id="rId38"/>
  </sheets>
  <definedNames>
    <definedName name="datapoint0" localSheetId="30">'CF Historical'!$D$13</definedName>
    <definedName name="datapoint0" localSheetId="17">'CF Intergrated'!$D$13</definedName>
    <definedName name="datapoint0" localSheetId="32">'FY''26 Statements'!$D$13</definedName>
    <definedName name="datapoint0" localSheetId="28">'IS Historical'!$D$13</definedName>
    <definedName name="PctChange">_xlfn.LAMBDA(_xlpm.final,_xlpm.initial,(_xlpm.final-_xlpm.initial)/_xlpm.initial)</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P31" i="31" l="1"/>
  <c r="O34" i="31"/>
  <c r="P11" i="31"/>
  <c r="P36" i="31" s="1"/>
  <c r="P16" i="33"/>
  <c r="R16" i="33"/>
  <c r="M2" i="17"/>
  <c r="N2" i="17"/>
  <c r="O2" i="17"/>
  <c r="P2" i="17"/>
  <c r="Q2" i="17"/>
  <c r="L2" i="17"/>
  <c r="O11" i="17"/>
  <c r="N11" i="17"/>
  <c r="S9" i="10"/>
  <c r="S8" i="10"/>
  <c r="S4" i="10"/>
  <c r="S7" i="10" s="1"/>
  <c r="H60" i="17"/>
  <c r="I60" i="17"/>
  <c r="J60" i="17"/>
  <c r="K60" i="17"/>
  <c r="L60" i="17"/>
  <c r="M60" i="17"/>
  <c r="N60" i="17"/>
  <c r="K10" i="17"/>
  <c r="K9" i="17"/>
  <c r="I61" i="17"/>
  <c r="J61" i="17"/>
  <c r="K61" i="17"/>
  <c r="L61" i="17"/>
  <c r="M61" i="17"/>
  <c r="N61" i="17"/>
  <c r="H61" i="17"/>
  <c r="J11" i="31"/>
  <c r="H3" i="2"/>
  <c r="H4" i="2"/>
  <c r="H5" i="2"/>
  <c r="H6" i="2"/>
  <c r="H7" i="2"/>
  <c r="H8" i="2"/>
  <c r="H2" i="2"/>
  <c r="AG19" i="2"/>
  <c r="AF19" i="2"/>
  <c r="AE19" i="2"/>
  <c r="D6" i="49"/>
  <c r="E6" i="49"/>
  <c r="F6" i="49"/>
  <c r="G6" i="49"/>
  <c r="C6" i="49"/>
  <c r="L15" i="17"/>
  <c r="C4" i="47"/>
  <c r="C6" i="47"/>
  <c r="C7" i="47"/>
  <c r="C8" i="47"/>
  <c r="C9" i="47"/>
  <c r="C10" i="47"/>
  <c r="C5" i="47"/>
  <c r="D11" i="49"/>
  <c r="E11" i="49"/>
  <c r="F11" i="49"/>
  <c r="G11" i="49"/>
  <c r="C11" i="49"/>
  <c r="D10" i="49"/>
  <c r="E10" i="49"/>
  <c r="F10" i="49"/>
  <c r="G10" i="49"/>
  <c r="C10" i="49"/>
  <c r="D9" i="49"/>
  <c r="E9" i="49"/>
  <c r="F9" i="49"/>
  <c r="G9" i="49"/>
  <c r="C9" i="49"/>
  <c r="S8" i="30"/>
  <c r="S9" i="30"/>
  <c r="T9" i="30"/>
  <c r="U9" i="30"/>
  <c r="V9" i="30"/>
  <c r="T8" i="30"/>
  <c r="T10" i="30"/>
  <c r="S10" i="30"/>
  <c r="B2" i="50"/>
  <c r="E3" i="50"/>
  <c r="E4" i="50" s="1"/>
  <c r="T23" i="47"/>
  <c r="U23" i="47"/>
  <c r="V23" i="47"/>
  <c r="W23" i="47"/>
  <c r="X23" i="47"/>
  <c r="S23" i="47"/>
  <c r="S50" i="47"/>
  <c r="B3" i="50"/>
  <c r="V15" i="37"/>
  <c r="U26" i="37"/>
  <c r="C18" i="2" a="1"/>
  <c r="C18" i="2" s="1"/>
  <c r="D18" i="2" s="1"/>
  <c r="E18" i="2" s="1"/>
  <c r="M18" i="2"/>
  <c r="R18" i="2" s="1"/>
  <c r="S18" i="2" s="1"/>
  <c r="N18" i="2"/>
  <c r="AK27" i="47"/>
  <c r="AL27" i="47"/>
  <c r="AM27" i="47"/>
  <c r="AN27" i="47"/>
  <c r="AO27" i="47"/>
  <c r="AP27" i="47"/>
  <c r="AJ27" i="47"/>
  <c r="H45" i="23"/>
  <c r="I45" i="23" s="1"/>
  <c r="J45" i="23" s="1"/>
  <c r="K45" i="23" s="1"/>
  <c r="L45" i="23" s="1"/>
  <c r="H46" i="23"/>
  <c r="I46" i="23" s="1"/>
  <c r="J46" i="23" s="1"/>
  <c r="K46" i="23" s="1"/>
  <c r="L46" i="23" s="1"/>
  <c r="F12" i="23" a="1"/>
  <c r="F12" i="23" s="1"/>
  <c r="G12" i="23" s="1"/>
  <c r="H12" i="23" s="1"/>
  <c r="I12" i="23" s="1"/>
  <c r="J12" i="23" s="1"/>
  <c r="K12" i="23" s="1"/>
  <c r="L12" i="23" s="1"/>
  <c r="H14" i="23"/>
  <c r="I14" i="23"/>
  <c r="J14" i="23"/>
  <c r="K14" i="23"/>
  <c r="L14" i="23" s="1"/>
  <c r="G13" i="23"/>
  <c r="H13" i="23" s="1"/>
  <c r="I13" i="23" s="1"/>
  <c r="J13" i="23" s="1"/>
  <c r="K13" i="23" s="1"/>
  <c r="L13" i="23" s="1"/>
  <c r="G14" i="23"/>
  <c r="F13" i="23" a="1"/>
  <c r="F13" i="23" s="1"/>
  <c r="F14" i="23" a="1"/>
  <c r="F14" i="23" s="1"/>
  <c r="H15" i="23"/>
  <c r="I15" i="23"/>
  <c r="J15" i="23"/>
  <c r="K15" i="23"/>
  <c r="L15" i="23"/>
  <c r="G15" i="23"/>
  <c r="F15" i="23" a="1"/>
  <c r="F15" i="23" s="1"/>
  <c r="F16" i="23" a="1"/>
  <c r="F16" i="23" s="1"/>
  <c r="G16" i="23" s="1"/>
  <c r="H16" i="23" s="1"/>
  <c r="I16" i="23" s="1"/>
  <c r="J16" i="23" s="1"/>
  <c r="K16" i="23" s="1"/>
  <c r="L16" i="23" s="1"/>
  <c r="I20" i="37"/>
  <c r="J20" i="37"/>
  <c r="H20" i="37"/>
  <c r="R49" i="47"/>
  <c r="B16" i="47"/>
  <c r="B17" i="47" s="1"/>
  <c r="M49" i="47"/>
  <c r="N49" i="47"/>
  <c r="O49" i="47"/>
  <c r="P49" i="47"/>
  <c r="Q49" i="47"/>
  <c r="L49" i="47"/>
  <c r="E201" i="24" a="1"/>
  <c r="E201" i="24" s="1"/>
  <c r="F201" i="24" s="1"/>
  <c r="G201" i="24" s="1"/>
  <c r="H201" i="24" s="1"/>
  <c r="I201" i="24" s="1"/>
  <c r="J201" i="24" s="1"/>
  <c r="K201" i="24" s="1"/>
  <c r="AB3" i="47"/>
  <c r="AB4" i="47" s="1"/>
  <c r="L22" i="23" a="1"/>
  <c r="L22" i="23" s="1"/>
  <c r="E8" i="45"/>
  <c r="G22" i="23" a="1"/>
  <c r="G22" i="23"/>
  <c r="H22" i="23" a="1"/>
  <c r="H22" i="23"/>
  <c r="I22" i="23" a="1"/>
  <c r="I22" i="23"/>
  <c r="J22" i="23" a="1"/>
  <c r="J22" i="23"/>
  <c r="K22" i="23" a="1"/>
  <c r="K22" i="23"/>
  <c r="G23" i="23" a="1"/>
  <c r="G23" i="23"/>
  <c r="H23" i="23" a="1"/>
  <c r="H23" i="23"/>
  <c r="I23" i="23" a="1"/>
  <c r="I23" i="23"/>
  <c r="J23" i="23" a="1"/>
  <c r="J23" i="23"/>
  <c r="K23" i="23" a="1"/>
  <c r="K23" i="23"/>
  <c r="L23" i="23" a="1"/>
  <c r="L23" i="23"/>
  <c r="G24" i="23" a="1"/>
  <c r="G24" i="23"/>
  <c r="H24" i="23" a="1"/>
  <c r="H24" i="23"/>
  <c r="I24" i="23" a="1"/>
  <c r="I24" i="23"/>
  <c r="J24" i="23" a="1"/>
  <c r="J24" i="23"/>
  <c r="K24" i="23" a="1"/>
  <c r="K24" i="23"/>
  <c r="L24" i="23" a="1"/>
  <c r="L24" i="23"/>
  <c r="G25" i="23" a="1"/>
  <c r="G25" i="23"/>
  <c r="H25" i="23" a="1"/>
  <c r="H25" i="23"/>
  <c r="I25" i="23" a="1"/>
  <c r="I25" i="23"/>
  <c r="J25" i="23" a="1"/>
  <c r="J25" i="23"/>
  <c r="K25" i="23" a="1"/>
  <c r="K25" i="23"/>
  <c r="L25" i="23" a="1"/>
  <c r="L25" i="23"/>
  <c r="G26" i="23" a="1"/>
  <c r="G26" i="23"/>
  <c r="H26" i="23" a="1"/>
  <c r="H26" i="23"/>
  <c r="I26" i="23" a="1"/>
  <c r="I26" i="23"/>
  <c r="J26" i="23" a="1"/>
  <c r="J26" i="23"/>
  <c r="K26" i="23" a="1"/>
  <c r="K26" i="23"/>
  <c r="L26" i="23" a="1"/>
  <c r="L26" i="23"/>
  <c r="F26" i="23" a="1"/>
  <c r="F26" i="23" s="1"/>
  <c r="F25" i="23" a="1"/>
  <c r="F25" i="23" s="1"/>
  <c r="F22" i="23" a="1"/>
  <c r="F22" i="23" s="1"/>
  <c r="F23" i="23" a="1"/>
  <c r="F23" i="23" s="1"/>
  <c r="G45" i="23"/>
  <c r="G46" i="23"/>
  <c r="F62" i="23" a="1"/>
  <c r="F62" i="23" s="1"/>
  <c r="G62" i="23" s="1"/>
  <c r="H62" i="23" s="1"/>
  <c r="I62" i="23" s="1"/>
  <c r="J62" i="23" s="1"/>
  <c r="K62" i="23" s="1"/>
  <c r="L62" i="23" s="1"/>
  <c r="G55" i="23" a="1"/>
  <c r="G55" i="23"/>
  <c r="G56" i="23" s="1"/>
  <c r="K4" i="47"/>
  <c r="L4" i="47"/>
  <c r="M4" i="47"/>
  <c r="N4" i="47"/>
  <c r="O4" i="47"/>
  <c r="P4" i="47"/>
  <c r="K5" i="47"/>
  <c r="L5" i="47"/>
  <c r="M5" i="47"/>
  <c r="N5" i="47"/>
  <c r="O5" i="47"/>
  <c r="P5" i="47"/>
  <c r="J5" i="47"/>
  <c r="J4" i="47"/>
  <c r="L3" i="47"/>
  <c r="M3" i="47"/>
  <c r="N3" i="47"/>
  <c r="O3" i="47"/>
  <c r="P3" i="47"/>
  <c r="K3" i="47"/>
  <c r="J3" i="47"/>
  <c r="J21" i="3"/>
  <c r="K21" i="3"/>
  <c r="L21" i="3"/>
  <c r="M21" i="3"/>
  <c r="N21" i="3"/>
  <c r="O21" i="3"/>
  <c r="P21" i="3"/>
  <c r="I21" i="3"/>
  <c r="Q17" i="3"/>
  <c r="J17" i="3"/>
  <c r="K17" i="3"/>
  <c r="L17" i="3"/>
  <c r="M17" i="3"/>
  <c r="N17" i="3"/>
  <c r="O17" i="3"/>
  <c r="P17" i="3"/>
  <c r="I17" i="3"/>
  <c r="F37" i="10"/>
  <c r="F38" i="10"/>
  <c r="F39" i="10"/>
  <c r="F40" i="10"/>
  <c r="F41" i="10"/>
  <c r="J26" i="31"/>
  <c r="L54" i="25"/>
  <c r="D5" i="49"/>
  <c r="E5" i="49"/>
  <c r="F5" i="49"/>
  <c r="G5" i="49"/>
  <c r="C5" i="49"/>
  <c r="M199" i="24"/>
  <c r="M198" i="24"/>
  <c r="G202" i="24"/>
  <c r="H202" i="24"/>
  <c r="I202" i="24"/>
  <c r="J202" i="24"/>
  <c r="K202" i="24"/>
  <c r="G203" i="24"/>
  <c r="H203" i="24"/>
  <c r="I203" i="24"/>
  <c r="J203" i="24"/>
  <c r="K203" i="24"/>
  <c r="G204" i="24"/>
  <c r="H204" i="24"/>
  <c r="I204" i="24"/>
  <c r="J204" i="24"/>
  <c r="K204" i="24"/>
  <c r="G205" i="24"/>
  <c r="H205" i="24"/>
  <c r="I205" i="24"/>
  <c r="J205" i="24"/>
  <c r="K205" i="24"/>
  <c r="F202" i="24"/>
  <c r="F203" i="24"/>
  <c r="F204" i="24"/>
  <c r="F205" i="24"/>
  <c r="G11" i="29"/>
  <c r="H11" i="29" s="1"/>
  <c r="I11" i="29" s="1"/>
  <c r="J11" i="29" s="1"/>
  <c r="K11" i="29" s="1"/>
  <c r="H30" i="25"/>
  <c r="I30" i="25"/>
  <c r="J30" i="25"/>
  <c r="K30" i="25"/>
  <c r="H31" i="25"/>
  <c r="I31" i="25"/>
  <c r="J31" i="25"/>
  <c r="K31" i="25"/>
  <c r="H32" i="25"/>
  <c r="I32" i="25"/>
  <c r="J32" i="25" s="1"/>
  <c r="K32" i="25" s="1"/>
  <c r="H33" i="25"/>
  <c r="I33" i="25"/>
  <c r="J33" i="25"/>
  <c r="K33" i="25"/>
  <c r="H34" i="25"/>
  <c r="I34" i="25"/>
  <c r="J34" i="25"/>
  <c r="K34" i="25"/>
  <c r="F30" i="25" a="1"/>
  <c r="G30" i="25" s="1"/>
  <c r="G31" i="25"/>
  <c r="G32" i="25"/>
  <c r="G33" i="25"/>
  <c r="F31" i="25" a="1"/>
  <c r="G34" i="25"/>
  <c r="F34" i="25" a="1"/>
  <c r="F32" i="25"/>
  <c r="F33" i="25" a="1"/>
  <c r="E204" i="24" a="1"/>
  <c r="E203" i="24" a="1"/>
  <c r="E202" i="24"/>
  <c r="E205" i="24" a="1"/>
  <c r="E30" i="25"/>
  <c r="E31" i="25"/>
  <c r="E32" i="25"/>
  <c r="E33" i="25"/>
  <c r="E34" i="25"/>
  <c r="Q13" i="30"/>
  <c r="Q12" i="30"/>
  <c r="G32" i="30"/>
  <c r="H32" i="30"/>
  <c r="I32" i="30"/>
  <c r="J32" i="30"/>
  <c r="K32" i="30"/>
  <c r="G33" i="30"/>
  <c r="H33" i="30"/>
  <c r="I33" i="30"/>
  <c r="J33" i="30"/>
  <c r="K33" i="30"/>
  <c r="G34" i="30"/>
  <c r="H34" i="30"/>
  <c r="I34" i="30"/>
  <c r="J34" i="30"/>
  <c r="K34" i="30"/>
  <c r="G35" i="30"/>
  <c r="H35" i="30"/>
  <c r="I35" i="30"/>
  <c r="J35" i="30"/>
  <c r="K35" i="30"/>
  <c r="F32" i="30"/>
  <c r="F33" i="30"/>
  <c r="F34" i="30"/>
  <c r="F35" i="30"/>
  <c r="K31" i="30"/>
  <c r="G31" i="30"/>
  <c r="H31" i="30"/>
  <c r="I31" i="30"/>
  <c r="J31" i="30"/>
  <c r="F31" i="30"/>
  <c r="E31" i="30"/>
  <c r="F44" i="23"/>
  <c r="F43" i="23" a="1"/>
  <c r="F42" i="23" a="1"/>
  <c r="F45" i="23" a="1"/>
  <c r="F46" i="23" a="1"/>
  <c r="F24" i="23" a="1"/>
  <c r="F54" i="23" a="1"/>
  <c r="F55" i="23"/>
  <c r="F56" i="23" a="1"/>
  <c r="O17" i="30"/>
  <c r="O12" i="30"/>
  <c r="D10" i="35"/>
  <c r="E12" i="43"/>
  <c r="C22" i="43"/>
  <c r="F22" i="43"/>
  <c r="G22" i="43"/>
  <c r="H22" i="43"/>
  <c r="J22" i="43"/>
  <c r="K22" i="43"/>
  <c r="I22" i="43"/>
  <c r="E17" i="3"/>
  <c r="C19" i="35"/>
  <c r="F3" i="33"/>
  <c r="B6" i="40" a="1"/>
  <c r="B6" i="40" l="1"/>
  <c r="C3" i="50"/>
  <c r="T18" i="2"/>
  <c r="P18" i="2"/>
  <c r="Q18" i="2"/>
  <c r="AC3" i="47"/>
  <c r="I5" i="40" a="1"/>
  <c r="F73" i="23" a="1"/>
  <c r="G72" i="23" a="1"/>
  <c r="H72" i="23" a="1"/>
  <c r="I72" i="23" a="1"/>
  <c r="J72" i="23" a="1"/>
  <c r="K72" i="23" a="1"/>
  <c r="L72" i="23" a="1"/>
  <c r="F72" i="23" a="1"/>
  <c r="F65" i="23" a="1"/>
  <c r="F64" i="23" a="1"/>
  <c r="F63" i="23" a="1"/>
  <c r="K9" i="10"/>
  <c r="F10" i="10"/>
  <c r="F9" i="10" s="1"/>
  <c r="G10" i="10"/>
  <c r="G9" i="10" s="1"/>
  <c r="H10" i="10"/>
  <c r="H9" i="10" s="1"/>
  <c r="I10" i="10"/>
  <c r="I9" i="10" s="1"/>
  <c r="J10" i="10"/>
  <c r="J9" i="10" s="1"/>
  <c r="K10" i="10"/>
  <c r="E10" i="10"/>
  <c r="E9" i="10" s="1"/>
  <c r="K13" i="10"/>
  <c r="E13" i="10"/>
  <c r="E141" i="24"/>
  <c r="F141" i="24"/>
  <c r="G141" i="24"/>
  <c r="H141" i="24"/>
  <c r="E144" i="24"/>
  <c r="F144" i="24"/>
  <c r="G144" i="24"/>
  <c r="H144" i="24"/>
  <c r="I144" i="24"/>
  <c r="J144" i="24"/>
  <c r="K144" i="24"/>
  <c r="E142" i="24" a="1"/>
  <c r="F142" i="24" a="1"/>
  <c r="G142" i="24" a="1"/>
  <c r="H142" i="24" a="1"/>
  <c r="I142" i="24" a="1"/>
  <c r="I141" i="24" s="1"/>
  <c r="J142" i="24" a="1"/>
  <c r="J141" i="24" s="1"/>
  <c r="K142" i="24" a="1"/>
  <c r="K141" i="24" s="1"/>
  <c r="E145" i="24" a="1"/>
  <c r="F145" i="24" a="1"/>
  <c r="G145" i="24" a="1"/>
  <c r="H145" i="24" a="1"/>
  <c r="I145" i="24" a="1"/>
  <c r="J145" i="24" a="1"/>
  <c r="K145" i="24" a="1"/>
  <c r="J151" i="24"/>
  <c r="K151" i="24"/>
  <c r="J152" i="24"/>
  <c r="K152" i="24"/>
  <c r="E154" i="24" a="1"/>
  <c r="E155" i="24"/>
  <c r="F154" i="24" a="1"/>
  <c r="G154" i="24" a="1"/>
  <c r="H154" i="24" a="1"/>
  <c r="I154" i="24" a="1"/>
  <c r="J154" i="24" a="1"/>
  <c r="K154" i="24" a="1"/>
  <c r="F155" i="24"/>
  <c r="G155" i="24"/>
  <c r="H155" i="24"/>
  <c r="I155" i="24"/>
  <c r="J155" i="24"/>
  <c r="K155" i="24"/>
  <c r="H56" i="23"/>
  <c r="I56" i="23" s="1"/>
  <c r="J56" i="23" s="1"/>
  <c r="K56" i="23" s="1"/>
  <c r="L56" i="23" s="1"/>
  <c r="H55" i="23"/>
  <c r="I55" i="23" s="1"/>
  <c r="J55" i="23" s="1"/>
  <c r="K55" i="23" s="1"/>
  <c r="L55" i="23" s="1"/>
  <c r="B3" i="30"/>
  <c r="E28" i="10"/>
  <c r="K30" i="10"/>
  <c r="G30" i="10"/>
  <c r="F30" i="10"/>
  <c r="E30" i="10"/>
  <c r="J30" i="10"/>
  <c r="I30" i="10"/>
  <c r="H30" i="10"/>
  <c r="K27" i="10"/>
  <c r="J27" i="10"/>
  <c r="I27" i="10"/>
  <c r="H27" i="10"/>
  <c r="G27" i="10"/>
  <c r="F27" i="10"/>
  <c r="E27" i="10"/>
  <c r="F12" i="10"/>
  <c r="F13" i="10" s="1"/>
  <c r="G12" i="10"/>
  <c r="G13" i="10" s="1"/>
  <c r="H12" i="10"/>
  <c r="H13" i="10" s="1"/>
  <c r="I12" i="10"/>
  <c r="I13" i="10" s="1"/>
  <c r="J12" i="10"/>
  <c r="J13" i="10" s="1"/>
  <c r="K12" i="10"/>
  <c r="E12" i="10"/>
  <c r="B3" i="10"/>
  <c r="J57" i="25"/>
  <c r="K57" i="25"/>
  <c r="K58" i="25" s="1"/>
  <c r="J58" i="25"/>
  <c r="K56" i="25" a="1"/>
  <c r="J56" i="25" a="1"/>
  <c r="I56" i="25" a="1"/>
  <c r="I57" i="25" s="1"/>
  <c r="I58" i="25" s="1"/>
  <c r="H56" i="25" a="1"/>
  <c r="H57" i="25" s="1"/>
  <c r="H58" i="25" s="1"/>
  <c r="G56" i="25" a="1"/>
  <c r="G57" i="25" s="1"/>
  <c r="G58" i="25" s="1"/>
  <c r="F56" i="25" a="1"/>
  <c r="F57" i="25" s="1"/>
  <c r="F58" i="25" s="1"/>
  <c r="E56" i="25" a="1"/>
  <c r="E57" i="25" s="1"/>
  <c r="E58" i="25" s="1"/>
  <c r="K55" i="25" a="1"/>
  <c r="J55" i="25" a="1"/>
  <c r="I55" i="25" a="1"/>
  <c r="H55" i="25" a="1"/>
  <c r="G55" i="25" a="1"/>
  <c r="F55" i="25" a="1"/>
  <c r="E55" i="25" a="1"/>
  <c r="K54" i="25"/>
  <c r="J54" i="25"/>
  <c r="I54" i="25"/>
  <c r="H54" i="25"/>
  <c r="G54" i="25"/>
  <c r="F54" i="25"/>
  <c r="E54" i="25"/>
  <c r="H14" i="25"/>
  <c r="I14" i="25"/>
  <c r="J14" i="25"/>
  <c r="E14" i="25"/>
  <c r="K13" i="25" a="1"/>
  <c r="K14" i="25" s="1"/>
  <c r="J13" i="25" a="1"/>
  <c r="I13" i="25" a="1"/>
  <c r="H13" i="25" a="1"/>
  <c r="G13" i="25" a="1"/>
  <c r="G14" i="25" s="1"/>
  <c r="F13" i="25" a="1"/>
  <c r="F14" i="25" s="1"/>
  <c r="E13" i="25" a="1"/>
  <c r="K12" i="25" a="1"/>
  <c r="J12" i="25" a="1"/>
  <c r="I12" i="25" a="1"/>
  <c r="H12" i="25" a="1"/>
  <c r="G12" i="25" a="1"/>
  <c r="F12" i="25" a="1"/>
  <c r="E12" i="25" a="1"/>
  <c r="K11" i="25"/>
  <c r="J11" i="25"/>
  <c r="I11" i="25"/>
  <c r="H11" i="25"/>
  <c r="G11" i="25"/>
  <c r="F11" i="25"/>
  <c r="E11" i="25"/>
  <c r="K10" i="25" a="1"/>
  <c r="J10" i="25" a="1"/>
  <c r="I10" i="25" a="1"/>
  <c r="H10" i="25" a="1"/>
  <c r="G10" i="25" a="1"/>
  <c r="F10" i="25" a="1"/>
  <c r="E10" i="25" a="1"/>
  <c r="F185" i="24"/>
  <c r="E185" i="24"/>
  <c r="K184" i="24" a="1"/>
  <c r="K185" i="24" s="1"/>
  <c r="J184" i="24" a="1"/>
  <c r="J185" i="24" s="1"/>
  <c r="I184" i="24" a="1"/>
  <c r="I185" i="24" s="1"/>
  <c r="H184" i="24" a="1"/>
  <c r="H185" i="24" s="1"/>
  <c r="G184" i="24" a="1"/>
  <c r="G185" i="24" s="1"/>
  <c r="F184" i="24" a="1"/>
  <c r="E184" i="24" a="1"/>
  <c r="K183" i="24" a="1"/>
  <c r="J183" i="24" a="1"/>
  <c r="I183" i="24" a="1"/>
  <c r="H183" i="24" a="1"/>
  <c r="G183" i="24" a="1"/>
  <c r="F183" i="24" a="1"/>
  <c r="E183" i="24" a="1"/>
  <c r="K182" i="24"/>
  <c r="J182" i="24"/>
  <c r="I182" i="24"/>
  <c r="H182" i="24"/>
  <c r="G182" i="24"/>
  <c r="F182" i="24"/>
  <c r="E182" i="24"/>
  <c r="K181" i="24" a="1"/>
  <c r="J181" i="24" a="1"/>
  <c r="I181" i="24" a="1"/>
  <c r="H181" i="24" a="1"/>
  <c r="G181" i="24" a="1"/>
  <c r="F181" i="24" a="1"/>
  <c r="E181" i="24" a="1"/>
  <c r="E153" i="24" a="1"/>
  <c r="E152" i="24" s="1"/>
  <c r="E151" i="24" s="1"/>
  <c r="F153" i="24" a="1"/>
  <c r="F152" i="24" s="1"/>
  <c r="F151" i="24" s="1"/>
  <c r="G153" i="24" a="1"/>
  <c r="G152" i="24" s="1"/>
  <c r="G151" i="24" s="1"/>
  <c r="H153" i="24" a="1"/>
  <c r="H152" i="24" s="1"/>
  <c r="H151" i="24" s="1"/>
  <c r="I153" i="24" a="1"/>
  <c r="I152" i="24" s="1"/>
  <c r="I151" i="24" s="1"/>
  <c r="J153" i="24" a="1"/>
  <c r="K153" i="24" a="1"/>
  <c r="E143" i="24" a="1"/>
  <c r="F143" i="24" a="1"/>
  <c r="G143" i="24" a="1"/>
  <c r="H143" i="24" a="1"/>
  <c r="I143" i="24" a="1"/>
  <c r="J143" i="24" a="1"/>
  <c r="K143" i="24" a="1"/>
  <c r="B4" i="25"/>
  <c r="B3" i="24"/>
  <c r="F75" i="23" a="1"/>
  <c r="G75" i="23" a="1"/>
  <c r="H75" i="23" a="1"/>
  <c r="I75" i="23" a="1"/>
  <c r="J75" i="23" a="1"/>
  <c r="K75" i="23" a="1"/>
  <c r="L75" i="23" a="1"/>
  <c r="F76" i="23" a="1"/>
  <c r="G76" i="23" a="1"/>
  <c r="H76" i="23" a="1"/>
  <c r="I76" i="23" a="1"/>
  <c r="J76" i="23" a="1"/>
  <c r="K76" i="23" a="1"/>
  <c r="L76" i="23" a="1"/>
  <c r="G54" i="23" a="1"/>
  <c r="B3" i="23"/>
  <c r="C6" i="31"/>
  <c r="G10" i="23" l="1"/>
  <c r="F10" i="23"/>
  <c r="L10" i="23"/>
  <c r="K10" i="23"/>
  <c r="J10" i="23"/>
  <c r="I10" i="23"/>
  <c r="H10" i="23"/>
  <c r="AD3" i="47"/>
  <c r="AC4" i="47"/>
  <c r="E52" i="25" a="1"/>
  <c r="E19" i="30" a="1"/>
  <c r="E29" i="30" a="1"/>
  <c r="E199" i="24" a="1"/>
  <c r="E7" i="10" a="1"/>
  <c r="E8" i="25" a="1"/>
  <c r="E69" i="24" a="1"/>
  <c r="E79" i="24" a="1"/>
  <c r="E179" i="24" a="1"/>
  <c r="E139" i="24" a="1"/>
  <c r="E16" i="10" a="1"/>
  <c r="E129" i="24" a="1"/>
  <c r="E99" i="24" a="1"/>
  <c r="F30" i="23"/>
  <c r="E119" i="24" a="1"/>
  <c r="E189" i="24" a="1"/>
  <c r="E25" i="10" a="1"/>
  <c r="E149" i="24" a="1"/>
  <c r="E9" i="30" a="1"/>
  <c r="I30" i="23"/>
  <c r="J30" i="23"/>
  <c r="K30" i="23"/>
  <c r="L30" i="23"/>
  <c r="G30" i="23"/>
  <c r="H30" i="23"/>
  <c r="F40" i="23"/>
  <c r="K14" i="17"/>
  <c r="J14" i="17"/>
  <c r="I14" i="17"/>
  <c r="H14" i="17"/>
  <c r="G14" i="17"/>
  <c r="K13" i="17"/>
  <c r="J13" i="17"/>
  <c r="I13" i="17"/>
  <c r="H13" i="17"/>
  <c r="G13" i="17"/>
  <c r="K12" i="17"/>
  <c r="J12" i="17"/>
  <c r="I12" i="17"/>
  <c r="H12" i="17"/>
  <c r="G12" i="17"/>
  <c r="K11" i="17"/>
  <c r="J11" i="17"/>
  <c r="I11" i="17"/>
  <c r="H11" i="17"/>
  <c r="G11" i="17"/>
  <c r="L5" i="18"/>
  <c r="M5" i="18" s="1"/>
  <c r="N5" i="18" s="1"/>
  <c r="O5" i="18" s="1"/>
  <c r="P5" i="18" s="1"/>
  <c r="Q5" i="18" s="1"/>
  <c r="G5" i="18"/>
  <c r="H5" i="18" s="1"/>
  <c r="I5" i="18" s="1"/>
  <c r="J5" i="18" s="1"/>
  <c r="G39" i="33"/>
  <c r="H15" i="2"/>
  <c r="G22" i="33"/>
  <c r="G20" i="33"/>
  <c r="J10" i="44"/>
  <c r="J8" i="44"/>
  <c r="J11" i="44" s="1"/>
  <c r="J12" i="44" s="1"/>
  <c r="J13" i="44" s="1"/>
  <c r="J14" i="44" s="1"/>
  <c r="J15" i="44" s="1"/>
  <c r="I15" i="2"/>
  <c r="D28" i="31"/>
  <c r="E28" i="31"/>
  <c r="F28" i="31"/>
  <c r="G28" i="31"/>
  <c r="H28" i="31"/>
  <c r="I28" i="31"/>
  <c r="J28" i="31"/>
  <c r="G9" i="44"/>
  <c r="G8" i="44"/>
  <c r="F22" i="21"/>
  <c r="G22" i="21"/>
  <c r="H22" i="21"/>
  <c r="I22" i="21"/>
  <c r="J22" i="21"/>
  <c r="K22" i="21"/>
  <c r="E22" i="21"/>
  <c r="C22" i="21"/>
  <c r="F19" i="22"/>
  <c r="G19" i="22"/>
  <c r="H19" i="22"/>
  <c r="I19" i="22"/>
  <c r="J19" i="22"/>
  <c r="K19" i="22"/>
  <c r="E19" i="22"/>
  <c r="F17" i="22"/>
  <c r="G17" i="22"/>
  <c r="H17" i="22"/>
  <c r="C17" i="22" s="1"/>
  <c r="I17" i="22"/>
  <c r="J17" i="22"/>
  <c r="K17" i="22"/>
  <c r="E17" i="22"/>
  <c r="F16" i="22"/>
  <c r="G16" i="22"/>
  <c r="H16" i="22"/>
  <c r="I16" i="22"/>
  <c r="J16" i="22"/>
  <c r="K16" i="22"/>
  <c r="E16" i="22"/>
  <c r="F10" i="22"/>
  <c r="G10" i="22"/>
  <c r="H10" i="22"/>
  <c r="I10" i="22"/>
  <c r="J10" i="22"/>
  <c r="K10" i="22"/>
  <c r="E10" i="22"/>
  <c r="D15" i="31"/>
  <c r="F26" i="17"/>
  <c r="E15" i="31" s="1"/>
  <c r="G26" i="17"/>
  <c r="F15" i="31" s="1"/>
  <c r="H26" i="17"/>
  <c r="G15" i="31" s="1"/>
  <c r="I26" i="17"/>
  <c r="H15" i="31" s="1"/>
  <c r="J26" i="17"/>
  <c r="I15" i="31" s="1"/>
  <c r="K26" i="17"/>
  <c r="J15" i="31" s="1"/>
  <c r="E26" i="17"/>
  <c r="B27" i="17"/>
  <c r="B26" i="17"/>
  <c r="D14" i="32"/>
  <c r="G54" i="18"/>
  <c r="I72" i="18"/>
  <c r="J72" i="18"/>
  <c r="E46" i="18"/>
  <c r="F46" i="18"/>
  <c r="G46" i="18"/>
  <c r="H46" i="18"/>
  <c r="H54" i="18" s="1"/>
  <c r="I46" i="18"/>
  <c r="I54" i="18" s="1"/>
  <c r="J46" i="18"/>
  <c r="J54" i="18" s="1"/>
  <c r="K46" i="18"/>
  <c r="K54" i="18" s="1"/>
  <c r="D12" i="32" s="1"/>
  <c r="E47" i="18"/>
  <c r="E54" i="18" s="1"/>
  <c r="F47" i="18"/>
  <c r="F54" i="18" s="1"/>
  <c r="G47" i="18"/>
  <c r="H47" i="18"/>
  <c r="I47" i="18"/>
  <c r="J47" i="18"/>
  <c r="K47" i="18"/>
  <c r="E48" i="18"/>
  <c r="F48" i="18"/>
  <c r="G48" i="18"/>
  <c r="H48" i="18"/>
  <c r="I48" i="18"/>
  <c r="J48" i="18"/>
  <c r="K48" i="18"/>
  <c r="E49" i="18"/>
  <c r="F49" i="18"/>
  <c r="G49" i="18"/>
  <c r="H49" i="18"/>
  <c r="I49" i="18"/>
  <c r="J49" i="18"/>
  <c r="K49" i="18"/>
  <c r="E50" i="18"/>
  <c r="F50" i="18"/>
  <c r="G50" i="18"/>
  <c r="H50" i="18"/>
  <c r="I50" i="18"/>
  <c r="J50" i="18"/>
  <c r="K50" i="18"/>
  <c r="E51" i="18"/>
  <c r="F51" i="18"/>
  <c r="G51" i="18"/>
  <c r="H51" i="18"/>
  <c r="I51" i="18"/>
  <c r="J51" i="18"/>
  <c r="K51" i="18"/>
  <c r="E52" i="18"/>
  <c r="F52" i="18"/>
  <c r="G52" i="18"/>
  <c r="H52" i="18"/>
  <c r="I52" i="18"/>
  <c r="J52" i="18"/>
  <c r="K52" i="18"/>
  <c r="E56" i="18"/>
  <c r="F56" i="18"/>
  <c r="G56" i="18"/>
  <c r="H56" i="18"/>
  <c r="I56" i="18"/>
  <c r="J56" i="18"/>
  <c r="K56" i="18"/>
  <c r="K63" i="18" s="1"/>
  <c r="E57" i="18"/>
  <c r="E63" i="18" s="1"/>
  <c r="F57" i="18"/>
  <c r="F63" i="18" s="1"/>
  <c r="G57" i="18"/>
  <c r="G63" i="18" s="1"/>
  <c r="G65" i="18" s="1"/>
  <c r="G74" i="18" s="1"/>
  <c r="H57" i="18"/>
  <c r="I57" i="18"/>
  <c r="J57" i="18"/>
  <c r="K57" i="18"/>
  <c r="H192" i="24" s="1"/>
  <c r="E58" i="18"/>
  <c r="F58" i="18"/>
  <c r="G58" i="18"/>
  <c r="H58" i="18"/>
  <c r="H63" i="18" s="1"/>
  <c r="I58" i="18"/>
  <c r="H61" i="11" s="1"/>
  <c r="J58" i="18"/>
  <c r="J63" i="18" s="1"/>
  <c r="K58" i="18"/>
  <c r="E59" i="18"/>
  <c r="F59" i="18"/>
  <c r="G59" i="18"/>
  <c r="H59" i="18"/>
  <c r="I59" i="18"/>
  <c r="J59" i="18"/>
  <c r="K59" i="18"/>
  <c r="J57" i="31" s="1"/>
  <c r="E60" i="18"/>
  <c r="F60" i="18"/>
  <c r="G60" i="18"/>
  <c r="H60" i="18"/>
  <c r="I60" i="18"/>
  <c r="J60" i="18"/>
  <c r="K60" i="18"/>
  <c r="E61" i="18"/>
  <c r="F61" i="18"/>
  <c r="G61" i="18"/>
  <c r="H61" i="18"/>
  <c r="I61" i="18"/>
  <c r="J61" i="18"/>
  <c r="K61" i="18"/>
  <c r="E68" i="18"/>
  <c r="F68" i="18"/>
  <c r="G68" i="18"/>
  <c r="H68" i="18"/>
  <c r="I68" i="18"/>
  <c r="J68" i="18"/>
  <c r="K68" i="18"/>
  <c r="K72" i="18" s="1"/>
  <c r="E69" i="18"/>
  <c r="E72" i="18" s="1"/>
  <c r="F69" i="18"/>
  <c r="G69" i="18"/>
  <c r="H69" i="18"/>
  <c r="I69" i="18"/>
  <c r="J69" i="18"/>
  <c r="K69" i="18"/>
  <c r="E70" i="18"/>
  <c r="F70" i="18"/>
  <c r="F72" i="18" s="1"/>
  <c r="G70" i="18"/>
  <c r="G72" i="18" s="1"/>
  <c r="H70" i="18"/>
  <c r="H72" i="18" s="1"/>
  <c r="I70" i="18"/>
  <c r="J70" i="18"/>
  <c r="K70" i="18"/>
  <c r="E27" i="18"/>
  <c r="F27" i="18"/>
  <c r="G27" i="18"/>
  <c r="H27" i="18"/>
  <c r="I27" i="18"/>
  <c r="J27" i="18"/>
  <c r="K27" i="18"/>
  <c r="E28" i="18"/>
  <c r="F28" i="18"/>
  <c r="G28" i="18"/>
  <c r="H28" i="18"/>
  <c r="I28" i="18"/>
  <c r="J28" i="18"/>
  <c r="K28" i="18"/>
  <c r="E29" i="18"/>
  <c r="F29" i="18"/>
  <c r="G29" i="18"/>
  <c r="H29" i="18"/>
  <c r="I29" i="18"/>
  <c r="J29" i="18"/>
  <c r="K29" i="18"/>
  <c r="E30" i="18"/>
  <c r="F30" i="18"/>
  <c r="G30" i="18"/>
  <c r="H30" i="18"/>
  <c r="I30" i="18"/>
  <c r="J30" i="18"/>
  <c r="K30" i="18"/>
  <c r="E31" i="18"/>
  <c r="F31" i="18"/>
  <c r="G31" i="18"/>
  <c r="H31" i="18"/>
  <c r="I31" i="18"/>
  <c r="J31" i="18"/>
  <c r="K31" i="18"/>
  <c r="E32" i="18"/>
  <c r="F32" i="18"/>
  <c r="G32" i="18"/>
  <c r="H32" i="18"/>
  <c r="I32" i="18"/>
  <c r="J32" i="18"/>
  <c r="K32" i="18"/>
  <c r="E33" i="18"/>
  <c r="F33" i="18"/>
  <c r="G33" i="18"/>
  <c r="H33" i="18"/>
  <c r="I33" i="18"/>
  <c r="J33" i="18"/>
  <c r="K33" i="18"/>
  <c r="I73" i="24" s="1"/>
  <c r="E34" i="18"/>
  <c r="F34" i="18"/>
  <c r="G34" i="18"/>
  <c r="H34" i="18"/>
  <c r="I34" i="18"/>
  <c r="J34" i="18"/>
  <c r="K34" i="18"/>
  <c r="K84" i="24" s="1"/>
  <c r="E35" i="18"/>
  <c r="F35" i="18"/>
  <c r="G35" i="18"/>
  <c r="H35" i="18"/>
  <c r="I35" i="18"/>
  <c r="J35" i="18"/>
  <c r="K35" i="18"/>
  <c r="E36" i="18"/>
  <c r="F36" i="18"/>
  <c r="G36" i="18"/>
  <c r="H36" i="18"/>
  <c r="I36" i="18"/>
  <c r="J36" i="18"/>
  <c r="K36" i="18"/>
  <c r="E37" i="18"/>
  <c r="F37" i="18"/>
  <c r="G37" i="18"/>
  <c r="H37" i="18"/>
  <c r="I37" i="18"/>
  <c r="J37" i="18"/>
  <c r="K37" i="18"/>
  <c r="I103" i="24" s="1"/>
  <c r="E38" i="18"/>
  <c r="F38" i="18"/>
  <c r="G38" i="18"/>
  <c r="H38" i="18"/>
  <c r="I38" i="18"/>
  <c r="J38" i="18"/>
  <c r="K38" i="18"/>
  <c r="E20" i="18"/>
  <c r="E40" i="18" s="1"/>
  <c r="F20" i="18"/>
  <c r="F40" i="18" s="1"/>
  <c r="G20" i="18"/>
  <c r="G40" i="18" s="1"/>
  <c r="G42" i="18" s="1"/>
  <c r="H20" i="18"/>
  <c r="H40" i="18" s="1"/>
  <c r="I20" i="18"/>
  <c r="I40" i="18" s="1"/>
  <c r="J20" i="18"/>
  <c r="J40" i="18" s="1"/>
  <c r="K20" i="18"/>
  <c r="K40" i="18" s="1"/>
  <c r="E21" i="18"/>
  <c r="F21" i="18"/>
  <c r="G21" i="18"/>
  <c r="H21" i="18"/>
  <c r="I21" i="18"/>
  <c r="J21" i="18"/>
  <c r="K21" i="18"/>
  <c r="E22" i="18"/>
  <c r="F22" i="18"/>
  <c r="G22" i="18"/>
  <c r="H22" i="18"/>
  <c r="I22" i="18"/>
  <c r="J22" i="18"/>
  <c r="K22" i="18"/>
  <c r="E23" i="18"/>
  <c r="F23" i="18"/>
  <c r="G23" i="18"/>
  <c r="H23" i="18"/>
  <c r="I23" i="18"/>
  <c r="J23" i="18"/>
  <c r="K23" i="18"/>
  <c r="E24" i="18"/>
  <c r="F24" i="18"/>
  <c r="G24" i="18"/>
  <c r="H24" i="18"/>
  <c r="I24" i="18"/>
  <c r="J24" i="18"/>
  <c r="K24" i="18"/>
  <c r="E25" i="18"/>
  <c r="F25" i="18"/>
  <c r="G25" i="18"/>
  <c r="H25" i="18"/>
  <c r="I25" i="18"/>
  <c r="J25" i="18"/>
  <c r="K25" i="18"/>
  <c r="E26" i="18"/>
  <c r="F26" i="18"/>
  <c r="G26" i="18"/>
  <c r="H26" i="18"/>
  <c r="I26" i="18"/>
  <c r="J26" i="18"/>
  <c r="K26" i="18"/>
  <c r="E12" i="18"/>
  <c r="F12" i="18"/>
  <c r="G12" i="18"/>
  <c r="G17" i="37" s="1"/>
  <c r="H12" i="18"/>
  <c r="H17" i="37" s="1"/>
  <c r="I12" i="18"/>
  <c r="J12" i="18"/>
  <c r="K12" i="18"/>
  <c r="E13" i="18"/>
  <c r="F13" i="18"/>
  <c r="G13" i="18"/>
  <c r="H13" i="18"/>
  <c r="I13" i="18"/>
  <c r="I17" i="37" s="1"/>
  <c r="J13" i="18"/>
  <c r="J17" i="37" s="1"/>
  <c r="K13" i="18"/>
  <c r="K17" i="37" s="1"/>
  <c r="E14" i="18"/>
  <c r="F14" i="18"/>
  <c r="G14" i="18"/>
  <c r="H14" i="18"/>
  <c r="I14" i="18"/>
  <c r="J14" i="18"/>
  <c r="K14" i="18"/>
  <c r="E15" i="18"/>
  <c r="F15" i="18"/>
  <c r="G15" i="18"/>
  <c r="H15" i="18"/>
  <c r="I15" i="18"/>
  <c r="J15" i="18"/>
  <c r="K15" i="18"/>
  <c r="E16" i="18"/>
  <c r="F16" i="18"/>
  <c r="G16" i="18"/>
  <c r="H16" i="18"/>
  <c r="I16" i="18"/>
  <c r="J16" i="18"/>
  <c r="K16" i="18"/>
  <c r="F11" i="18"/>
  <c r="F18" i="18" s="1"/>
  <c r="F16" i="37" s="1"/>
  <c r="G11" i="18"/>
  <c r="G18" i="18" s="1"/>
  <c r="G16" i="37" s="1"/>
  <c r="H11" i="18"/>
  <c r="H18" i="18" s="1"/>
  <c r="I11" i="18"/>
  <c r="I18" i="18" s="1"/>
  <c r="J11" i="18"/>
  <c r="J18" i="18" s="1"/>
  <c r="K11" i="18"/>
  <c r="E11" i="18"/>
  <c r="I18" i="19"/>
  <c r="J18" i="19"/>
  <c r="K18" i="19"/>
  <c r="E22" i="19"/>
  <c r="F22" i="19"/>
  <c r="G22" i="19"/>
  <c r="H22" i="19"/>
  <c r="I22" i="19"/>
  <c r="J22" i="19"/>
  <c r="K22" i="19"/>
  <c r="E192" i="24"/>
  <c r="F192" i="24"/>
  <c r="H193" i="24"/>
  <c r="I193" i="24"/>
  <c r="J193" i="24"/>
  <c r="I194" i="24"/>
  <c r="J194" i="24"/>
  <c r="K194" i="24"/>
  <c r="E195" i="24"/>
  <c r="H191" i="24"/>
  <c r="I191" i="24"/>
  <c r="J191" i="24"/>
  <c r="G13" i="22"/>
  <c r="H13" i="22"/>
  <c r="I13" i="22"/>
  <c r="J13" i="22"/>
  <c r="K13" i="22"/>
  <c r="K9" i="43"/>
  <c r="K10" i="43"/>
  <c r="E41" i="24" s="1"/>
  <c r="K11" i="43"/>
  <c r="K12" i="43"/>
  <c r="E11" i="43"/>
  <c r="E10" i="43"/>
  <c r="E9" i="43"/>
  <c r="E229" i="24" a="1"/>
  <c r="E219" i="24" a="1"/>
  <c r="E239" i="24" a="1"/>
  <c r="E249" i="24" a="1"/>
  <c r="H102" i="24"/>
  <c r="G72" i="24"/>
  <c r="H72" i="24"/>
  <c r="F75" i="24"/>
  <c r="G75" i="24"/>
  <c r="J131" i="24"/>
  <c r="E132" i="24"/>
  <c r="G4" i="50" l="1"/>
  <c r="R9" i="10"/>
  <c r="H4" i="50"/>
  <c r="I4" i="50"/>
  <c r="J4" i="50"/>
  <c r="Q9" i="10"/>
  <c r="K4" i="50"/>
  <c r="F4" i="50"/>
  <c r="AE3" i="47"/>
  <c r="AD4" i="47"/>
  <c r="L12" i="17"/>
  <c r="M12" i="17" s="1"/>
  <c r="L14" i="17"/>
  <c r="F42" i="18"/>
  <c r="E17" i="37"/>
  <c r="J16" i="37"/>
  <c r="F17" i="37"/>
  <c r="I16" i="37"/>
  <c r="H12" i="37"/>
  <c r="F65" i="18"/>
  <c r="F74" i="18" s="1"/>
  <c r="E42" i="18"/>
  <c r="F12" i="37" s="1"/>
  <c r="E65" i="18"/>
  <c r="E74" i="18" s="1"/>
  <c r="H16" i="37"/>
  <c r="G102" i="24"/>
  <c r="I63" i="18"/>
  <c r="G135" i="24"/>
  <c r="F102" i="24"/>
  <c r="J82" i="24"/>
  <c r="K18" i="18"/>
  <c r="K42" i="18" s="1"/>
  <c r="H15" i="11"/>
  <c r="J81" i="24"/>
  <c r="H38" i="11"/>
  <c r="G101" i="24"/>
  <c r="F133" i="24"/>
  <c r="H81" i="24"/>
  <c r="K132" i="24"/>
  <c r="G191" i="24"/>
  <c r="J132" i="24"/>
  <c r="E105" i="24"/>
  <c r="I84" i="24"/>
  <c r="F191" i="24"/>
  <c r="F193" i="24"/>
  <c r="F135" i="24"/>
  <c r="K134" i="24"/>
  <c r="J134" i="24"/>
  <c r="I81" i="24"/>
  <c r="G50" i="33"/>
  <c r="G105" i="24"/>
  <c r="F105" i="24"/>
  <c r="G81" i="24"/>
  <c r="G193" i="24"/>
  <c r="K131" i="24"/>
  <c r="G103" i="24"/>
  <c r="F195" i="24"/>
  <c r="G192" i="24"/>
  <c r="E18" i="18"/>
  <c r="E16" i="37" s="1"/>
  <c r="D29" i="31"/>
  <c r="E29" i="31"/>
  <c r="F29" i="31"/>
  <c r="H29" i="31"/>
  <c r="J29" i="31"/>
  <c r="I29" i="31"/>
  <c r="G29" i="31"/>
  <c r="J42" i="18"/>
  <c r="I42" i="18"/>
  <c r="J12" i="37" s="1"/>
  <c r="H42" i="18"/>
  <c r="I12" i="37" s="1"/>
  <c r="K65" i="18"/>
  <c r="D13" i="32" s="1"/>
  <c r="J65" i="18"/>
  <c r="J74" i="18" s="1"/>
  <c r="I65" i="18"/>
  <c r="I74" i="18" s="1"/>
  <c r="H65" i="18"/>
  <c r="H74" i="18" s="1"/>
  <c r="K195" i="24"/>
  <c r="H194" i="24"/>
  <c r="E193" i="24"/>
  <c r="J195" i="24"/>
  <c r="G194" i="24"/>
  <c r="K192" i="24"/>
  <c r="F18" i="19"/>
  <c r="I195" i="24"/>
  <c r="F194" i="24"/>
  <c r="J192" i="24"/>
  <c r="E18" i="19"/>
  <c r="E191" i="24"/>
  <c r="H195" i="24"/>
  <c r="E194" i="24"/>
  <c r="I192" i="24"/>
  <c r="K191" i="24"/>
  <c r="G195" i="24"/>
  <c r="K193" i="24"/>
  <c r="F72" i="24"/>
  <c r="E71" i="24"/>
  <c r="I131" i="24"/>
  <c r="E83" i="24"/>
  <c r="H131" i="24"/>
  <c r="J73" i="24"/>
  <c r="E135" i="24"/>
  <c r="G131" i="24"/>
  <c r="I71" i="24"/>
  <c r="J101" i="24"/>
  <c r="J103" i="24"/>
  <c r="G83" i="24"/>
  <c r="E85" i="24"/>
  <c r="G18" i="19"/>
  <c r="H18" i="19"/>
  <c r="K72" i="24"/>
  <c r="G74" i="24"/>
  <c r="J75" i="24"/>
  <c r="E73" i="24"/>
  <c r="H74" i="24"/>
  <c r="K75" i="24"/>
  <c r="F73" i="24"/>
  <c r="I74" i="24"/>
  <c r="F71" i="24"/>
  <c r="G73" i="24"/>
  <c r="J74" i="24"/>
  <c r="G71" i="24"/>
  <c r="E72" i="24"/>
  <c r="H73" i="24"/>
  <c r="K74" i="24"/>
  <c r="H71" i="24"/>
  <c r="F74" i="24"/>
  <c r="E74" i="24"/>
  <c r="K104" i="24"/>
  <c r="K73" i="24"/>
  <c r="J104" i="24"/>
  <c r="F81" i="24"/>
  <c r="E131" i="24"/>
  <c r="H83" i="24"/>
  <c r="E134" i="24"/>
  <c r="I75" i="24"/>
  <c r="J72" i="24"/>
  <c r="I101" i="24"/>
  <c r="F83" i="24"/>
  <c r="E75" i="24"/>
  <c r="I102" i="24"/>
  <c r="E104" i="24"/>
  <c r="H105" i="24"/>
  <c r="E101" i="24"/>
  <c r="J102" i="24"/>
  <c r="F104" i="24"/>
  <c r="I105" i="24"/>
  <c r="K102" i="24"/>
  <c r="G104" i="24"/>
  <c r="J105" i="24"/>
  <c r="E103" i="24"/>
  <c r="H104" i="24"/>
  <c r="K105" i="24"/>
  <c r="F103" i="24"/>
  <c r="I104" i="24"/>
  <c r="F101" i="24"/>
  <c r="E102" i="24"/>
  <c r="G85" i="24"/>
  <c r="K81" i="24"/>
  <c r="I83" i="24"/>
  <c r="F132" i="24"/>
  <c r="J133" i="24"/>
  <c r="H135" i="24"/>
  <c r="E84" i="24"/>
  <c r="H85" i="24"/>
  <c r="F82" i="24"/>
  <c r="J83" i="24"/>
  <c r="G132" i="24"/>
  <c r="K133" i="24"/>
  <c r="I135" i="24"/>
  <c r="F84" i="24"/>
  <c r="I85" i="24"/>
  <c r="G82" i="24"/>
  <c r="K83" i="24"/>
  <c r="H132" i="24"/>
  <c r="F134" i="24"/>
  <c r="J135" i="24"/>
  <c r="G84" i="24"/>
  <c r="J85" i="24"/>
  <c r="H82" i="24"/>
  <c r="E81" i="24"/>
  <c r="I132" i="24"/>
  <c r="G134" i="24"/>
  <c r="K135" i="24"/>
  <c r="H84" i="24"/>
  <c r="K85" i="24"/>
  <c r="I82" i="24"/>
  <c r="E82" i="24"/>
  <c r="I134" i="24"/>
  <c r="K71" i="24"/>
  <c r="H134" i="24"/>
  <c r="J71" i="24"/>
  <c r="K101" i="24"/>
  <c r="K103" i="24"/>
  <c r="F85" i="24"/>
  <c r="I133" i="24"/>
  <c r="H133" i="24"/>
  <c r="F131" i="24"/>
  <c r="E133" i="24"/>
  <c r="G133" i="24"/>
  <c r="H75" i="24"/>
  <c r="I72" i="24"/>
  <c r="H101" i="24"/>
  <c r="H103" i="24"/>
  <c r="K82" i="24"/>
  <c r="J84" i="24"/>
  <c r="F19" i="43"/>
  <c r="K19" i="43"/>
  <c r="E19" i="43"/>
  <c r="F16" i="43"/>
  <c r="K16" i="43"/>
  <c r="E16" i="43"/>
  <c r="F15" i="43"/>
  <c r="K15" i="43"/>
  <c r="E15" i="43"/>
  <c r="F13" i="43"/>
  <c r="K13" i="43"/>
  <c r="E13" i="43"/>
  <c r="E6" i="43"/>
  <c r="G1" i="43"/>
  <c r="H1" i="43" s="1"/>
  <c r="I1" i="43" s="1"/>
  <c r="J1" i="43" s="1"/>
  <c r="K1" i="43" s="1"/>
  <c r="L1" i="43" s="1"/>
  <c r="M1" i="43" s="1"/>
  <c r="N1" i="43" s="1"/>
  <c r="O1" i="43" s="1"/>
  <c r="P1" i="43" s="1"/>
  <c r="Q1" i="43" s="1"/>
  <c r="I59" i="41"/>
  <c r="J59" i="41"/>
  <c r="G36" i="41"/>
  <c r="H36" i="41"/>
  <c r="F68" i="41"/>
  <c r="G59" i="41"/>
  <c r="H59" i="41"/>
  <c r="E12" i="41"/>
  <c r="E14" i="41" s="1"/>
  <c r="F12" i="41"/>
  <c r="F14" i="41" s="1"/>
  <c r="E59" i="41"/>
  <c r="F59" i="41"/>
  <c r="D59" i="41"/>
  <c r="E50" i="41"/>
  <c r="F50" i="41"/>
  <c r="G50" i="41"/>
  <c r="H50" i="41"/>
  <c r="I50" i="41"/>
  <c r="J50" i="41"/>
  <c r="D50" i="41"/>
  <c r="E17" i="41"/>
  <c r="F17" i="41"/>
  <c r="G17" i="41"/>
  <c r="H17" i="41"/>
  <c r="I17" i="41"/>
  <c r="J17" i="41"/>
  <c r="E23" i="41"/>
  <c r="F23" i="41"/>
  <c r="E68" i="41"/>
  <c r="G68" i="41"/>
  <c r="H68" i="41"/>
  <c r="I68" i="41"/>
  <c r="J68" i="41"/>
  <c r="D68" i="41"/>
  <c r="D28" i="41"/>
  <c r="D23" i="41" s="1"/>
  <c r="D17" i="41"/>
  <c r="J14" i="41"/>
  <c r="I14" i="41"/>
  <c r="H14" i="41"/>
  <c r="G14" i="41"/>
  <c r="D14" i="41"/>
  <c r="P1" i="41"/>
  <c r="K1" i="41"/>
  <c r="L1" i="41" s="1"/>
  <c r="M1" i="41" s="1"/>
  <c r="N1" i="41" s="1"/>
  <c r="F1" i="41"/>
  <c r="G1" i="41" s="1"/>
  <c r="H1" i="41" s="1"/>
  <c r="I1" i="41" s="1"/>
  <c r="W32" i="31"/>
  <c r="E13" i="7"/>
  <c r="F13" i="7"/>
  <c r="G30" i="6"/>
  <c r="H30" i="6"/>
  <c r="I30" i="6"/>
  <c r="J30" i="6"/>
  <c r="K30" i="6"/>
  <c r="F30" i="6"/>
  <c r="E30" i="6"/>
  <c r="E27" i="17"/>
  <c r="D16" i="31" s="1"/>
  <c r="K21" i="7"/>
  <c r="F18" i="21"/>
  <c r="K18" i="21"/>
  <c r="E18" i="21"/>
  <c r="F17" i="21"/>
  <c r="K17" i="21"/>
  <c r="E17" i="21"/>
  <c r="D18" i="5"/>
  <c r="E18" i="5"/>
  <c r="F18" i="5"/>
  <c r="G18" i="5"/>
  <c r="H18" i="5"/>
  <c r="I18" i="5"/>
  <c r="J18" i="5"/>
  <c r="P7" i="10"/>
  <c r="J32" i="5"/>
  <c r="E12" i="19"/>
  <c r="F12" i="19"/>
  <c r="G12" i="19"/>
  <c r="H12" i="19"/>
  <c r="I12" i="19"/>
  <c r="J12" i="19"/>
  <c r="E13" i="19"/>
  <c r="F13" i="19"/>
  <c r="G13" i="19"/>
  <c r="H13" i="19"/>
  <c r="I13" i="19"/>
  <c r="J13" i="19"/>
  <c r="E14" i="19"/>
  <c r="F14" i="19"/>
  <c r="G14" i="19"/>
  <c r="H14" i="19"/>
  <c r="I14" i="19"/>
  <c r="J14" i="19"/>
  <c r="E19" i="19"/>
  <c r="F19" i="19"/>
  <c r="G19" i="19"/>
  <c r="H19" i="19"/>
  <c r="I19" i="19"/>
  <c r="J19" i="19"/>
  <c r="E20" i="19"/>
  <c r="F20" i="19"/>
  <c r="G20" i="19"/>
  <c r="H20" i="19"/>
  <c r="I20" i="19"/>
  <c r="J20" i="19"/>
  <c r="E21" i="19"/>
  <c r="F21" i="19"/>
  <c r="G21" i="19"/>
  <c r="H21" i="19"/>
  <c r="I21" i="19"/>
  <c r="J21" i="19"/>
  <c r="E30" i="19"/>
  <c r="F30" i="19"/>
  <c r="G30" i="19"/>
  <c r="H30" i="19"/>
  <c r="I30" i="19"/>
  <c r="J30" i="19"/>
  <c r="E31" i="19"/>
  <c r="F31" i="19"/>
  <c r="G31" i="19"/>
  <c r="H31" i="19"/>
  <c r="I31" i="19"/>
  <c r="J31" i="19"/>
  <c r="E32" i="19"/>
  <c r="F32" i="19"/>
  <c r="G32" i="19"/>
  <c r="H32" i="19"/>
  <c r="I32" i="19"/>
  <c r="J32" i="19"/>
  <c r="E37" i="19"/>
  <c r="F37" i="19"/>
  <c r="G37" i="19"/>
  <c r="H37" i="19"/>
  <c r="I37" i="19"/>
  <c r="J37" i="19"/>
  <c r="E38" i="19"/>
  <c r="F38" i="19"/>
  <c r="G38" i="19"/>
  <c r="H38" i="19"/>
  <c r="I38" i="19"/>
  <c r="J38" i="19"/>
  <c r="E39" i="19"/>
  <c r="F39" i="19"/>
  <c r="G39" i="19"/>
  <c r="H39" i="19"/>
  <c r="I39" i="19"/>
  <c r="J39" i="19"/>
  <c r="E40" i="19"/>
  <c r="F40" i="19"/>
  <c r="G40" i="19"/>
  <c r="H40" i="19"/>
  <c r="I40" i="19"/>
  <c r="J40" i="19"/>
  <c r="E41" i="19"/>
  <c r="F41" i="19"/>
  <c r="G41" i="19"/>
  <c r="H41" i="19"/>
  <c r="I41" i="19"/>
  <c r="J41" i="19"/>
  <c r="E42" i="19"/>
  <c r="F42" i="19"/>
  <c r="G42" i="19"/>
  <c r="H42" i="19"/>
  <c r="I42" i="19"/>
  <c r="J42" i="19"/>
  <c r="K42" i="19"/>
  <c r="K37" i="19"/>
  <c r="K30" i="19"/>
  <c r="K31" i="19"/>
  <c r="K32" i="19"/>
  <c r="K12" i="19"/>
  <c r="K13" i="19"/>
  <c r="K14" i="19"/>
  <c r="K19" i="19"/>
  <c r="K20" i="19"/>
  <c r="K21" i="19"/>
  <c r="F51" i="7"/>
  <c r="G51" i="7"/>
  <c r="H51" i="7"/>
  <c r="I51" i="7"/>
  <c r="J51" i="7"/>
  <c r="K51" i="7"/>
  <c r="E51" i="7"/>
  <c r="K67" i="7"/>
  <c r="K80" i="7"/>
  <c r="F24" i="7"/>
  <c r="G24" i="7"/>
  <c r="H24" i="7"/>
  <c r="I24" i="7"/>
  <c r="J24" i="7"/>
  <c r="K27" i="7"/>
  <c r="F38" i="17"/>
  <c r="G38" i="17"/>
  <c r="H38" i="17"/>
  <c r="I38" i="17"/>
  <c r="J38" i="17"/>
  <c r="K38" i="17"/>
  <c r="G14" i="33" s="1"/>
  <c r="E38" i="17"/>
  <c r="K32" i="17"/>
  <c r="K33" i="17"/>
  <c r="K34" i="17"/>
  <c r="J27" i="31" s="1"/>
  <c r="F32" i="17"/>
  <c r="G32" i="17"/>
  <c r="H32" i="17"/>
  <c r="I32" i="17"/>
  <c r="J32" i="17"/>
  <c r="F33" i="17"/>
  <c r="G33" i="17"/>
  <c r="H33" i="17"/>
  <c r="I33" i="17"/>
  <c r="I31" i="17" s="1"/>
  <c r="J33" i="17"/>
  <c r="J31" i="17" s="1"/>
  <c r="F34" i="17"/>
  <c r="E27" i="31" s="1"/>
  <c r="G34" i="17"/>
  <c r="F27" i="31" s="1"/>
  <c r="H34" i="17"/>
  <c r="G27" i="31" s="1"/>
  <c r="I34" i="17"/>
  <c r="H27" i="31" s="1"/>
  <c r="J34" i="17"/>
  <c r="I27" i="31" s="1"/>
  <c r="E33" i="17"/>
  <c r="E32" i="17"/>
  <c r="F27" i="17"/>
  <c r="E16" i="31" s="1"/>
  <c r="G27" i="17"/>
  <c r="F16" i="31" s="1"/>
  <c r="H27" i="17"/>
  <c r="G16" i="31" s="1"/>
  <c r="I27" i="17"/>
  <c r="H16" i="31" s="1"/>
  <c r="J27" i="17"/>
  <c r="I16" i="31" s="1"/>
  <c r="K27" i="17"/>
  <c r="J16" i="31" s="1"/>
  <c r="F25" i="17"/>
  <c r="E14" i="31" s="1"/>
  <c r="G25" i="17"/>
  <c r="F14" i="31" s="1"/>
  <c r="H25" i="17"/>
  <c r="G14" i="31" s="1"/>
  <c r="I25" i="17"/>
  <c r="H14" i="31" s="1"/>
  <c r="J25" i="17"/>
  <c r="I14" i="31" s="1"/>
  <c r="K25" i="17"/>
  <c r="E25" i="17"/>
  <c r="D14" i="31" s="1"/>
  <c r="F19" i="17"/>
  <c r="G19" i="17"/>
  <c r="H19" i="17"/>
  <c r="I19" i="17"/>
  <c r="J19" i="17"/>
  <c r="K19" i="17"/>
  <c r="F20" i="17"/>
  <c r="G20" i="17"/>
  <c r="H20" i="17"/>
  <c r="I20" i="17"/>
  <c r="J20" i="17"/>
  <c r="K20" i="17"/>
  <c r="E19" i="17"/>
  <c r="E20" i="17"/>
  <c r="F17" i="17"/>
  <c r="E12" i="31" s="1"/>
  <c r="G17" i="17"/>
  <c r="F12" i="31" s="1"/>
  <c r="H17" i="17"/>
  <c r="G12" i="31" s="1"/>
  <c r="I17" i="17"/>
  <c r="H12" i="31" s="1"/>
  <c r="J17" i="17"/>
  <c r="I12" i="31" s="1"/>
  <c r="K17" i="17"/>
  <c r="J12" i="31" s="1"/>
  <c r="J2" i="31" s="1"/>
  <c r="E17" i="17"/>
  <c r="D12" i="31" s="1"/>
  <c r="K17" i="6"/>
  <c r="K21" i="6" s="1"/>
  <c r="K23" i="6"/>
  <c r="K17" i="43" s="1"/>
  <c r="AF3" i="47" l="1"/>
  <c r="AE4" i="47"/>
  <c r="O21" i="30"/>
  <c r="O22" i="30" s="1"/>
  <c r="O23" i="30" s="1"/>
  <c r="J14" i="31"/>
  <c r="K10" i="37"/>
  <c r="D11" i="32"/>
  <c r="K12" i="37"/>
  <c r="K74" i="18"/>
  <c r="K75" i="18" s="1"/>
  <c r="K16" i="37"/>
  <c r="D10" i="32"/>
  <c r="G12" i="37"/>
  <c r="H31" i="17"/>
  <c r="G31" i="17"/>
  <c r="F31" i="17"/>
  <c r="K31" i="17"/>
  <c r="G13" i="33" s="1"/>
  <c r="K20" i="43"/>
  <c r="K7" i="43"/>
  <c r="K50" i="6"/>
  <c r="M57" i="18"/>
  <c r="N57" i="18"/>
  <c r="O57" i="18"/>
  <c r="P57" i="18"/>
  <c r="Q57" i="18"/>
  <c r="G75" i="18"/>
  <c r="F75" i="18"/>
  <c r="E75" i="18"/>
  <c r="H75" i="18"/>
  <c r="I75" i="18"/>
  <c r="J75" i="18"/>
  <c r="G16" i="41"/>
  <c r="G38" i="41" s="1"/>
  <c r="H16" i="41"/>
  <c r="H38" i="41" s="1"/>
  <c r="I16" i="41"/>
  <c r="I36" i="41" s="1"/>
  <c r="F16" i="41"/>
  <c r="F36" i="41" s="1"/>
  <c r="F38" i="41" s="1"/>
  <c r="J16" i="41"/>
  <c r="J36" i="41" s="1"/>
  <c r="J38" i="41" s="1"/>
  <c r="E16" i="41"/>
  <c r="H61" i="41"/>
  <c r="H70" i="41" s="1"/>
  <c r="G61" i="41"/>
  <c r="G70" i="41" s="1"/>
  <c r="J61" i="41"/>
  <c r="J70" i="41" s="1"/>
  <c r="I61" i="41"/>
  <c r="I70" i="41" s="1"/>
  <c r="E61" i="41"/>
  <c r="E70" i="41" s="1"/>
  <c r="D61" i="41"/>
  <c r="D70" i="41" s="1"/>
  <c r="F61" i="41"/>
  <c r="F70" i="41" s="1"/>
  <c r="I38" i="41"/>
  <c r="D16" i="41"/>
  <c r="D36" i="41" s="1"/>
  <c r="D38" i="41" s="1"/>
  <c r="K55" i="7"/>
  <c r="K69" i="7" s="1"/>
  <c r="K84" i="7" s="1"/>
  <c r="K34" i="19"/>
  <c r="K24" i="7"/>
  <c r="K23" i="7" s="1"/>
  <c r="J34" i="19"/>
  <c r="I34" i="19"/>
  <c r="G47" i="19"/>
  <c r="G34" i="19"/>
  <c r="H47" i="19"/>
  <c r="H34" i="19"/>
  <c r="F34" i="19"/>
  <c r="E34" i="19"/>
  <c r="J47" i="19"/>
  <c r="F47" i="19"/>
  <c r="I47" i="19"/>
  <c r="K28" i="6"/>
  <c r="K49" i="6" s="1"/>
  <c r="K18" i="17"/>
  <c r="G18" i="33" s="1"/>
  <c r="K44" i="35"/>
  <c r="W31" i="31"/>
  <c r="J56" i="31"/>
  <c r="G49" i="33" s="1"/>
  <c r="K24" i="17"/>
  <c r="K3" i="17" s="1"/>
  <c r="C66" i="17"/>
  <c r="C60" i="17"/>
  <c r="R4" i="10"/>
  <c r="Q4" i="10"/>
  <c r="K10" i="21"/>
  <c r="K13" i="21"/>
  <c r="K15" i="21"/>
  <c r="K15" i="22"/>
  <c r="K20" i="22"/>
  <c r="K12" i="22"/>
  <c r="J39" i="5"/>
  <c r="K41" i="19" s="1"/>
  <c r="J38" i="5"/>
  <c r="K40" i="19" s="1"/>
  <c r="J36" i="5"/>
  <c r="J37" i="5"/>
  <c r="K39" i="19" s="1"/>
  <c r="P40" i="39"/>
  <c r="P27" i="39"/>
  <c r="P14" i="39"/>
  <c r="K8" i="29"/>
  <c r="F102" i="23"/>
  <c r="G102" i="23"/>
  <c r="H102" i="23"/>
  <c r="I102" i="23"/>
  <c r="J102" i="23"/>
  <c r="K102" i="23"/>
  <c r="L102" i="23"/>
  <c r="F103" i="23"/>
  <c r="F99" i="23" s="1"/>
  <c r="G103" i="23"/>
  <c r="G99" i="23" s="1"/>
  <c r="H103" i="23"/>
  <c r="H99" i="23" s="1"/>
  <c r="I103" i="23"/>
  <c r="I99" i="23" s="1"/>
  <c r="J103" i="23"/>
  <c r="J99" i="23" s="1"/>
  <c r="K103" i="23"/>
  <c r="K99" i="23" s="1"/>
  <c r="L103" i="23"/>
  <c r="L99" i="23" s="1"/>
  <c r="F104" i="23"/>
  <c r="G104" i="23"/>
  <c r="H104" i="23"/>
  <c r="I104" i="23"/>
  <c r="J104" i="23"/>
  <c r="K104" i="23"/>
  <c r="L104" i="23"/>
  <c r="F105" i="23"/>
  <c r="G105" i="23"/>
  <c r="H105" i="23"/>
  <c r="I105" i="23"/>
  <c r="J105" i="23"/>
  <c r="K105" i="23"/>
  <c r="L105" i="23"/>
  <c r="G101" i="23"/>
  <c r="H101" i="23"/>
  <c r="I101" i="23"/>
  <c r="J101" i="23"/>
  <c r="K101" i="23"/>
  <c r="L101" i="23"/>
  <c r="F101" i="23"/>
  <c r="F93" i="23"/>
  <c r="G93" i="23"/>
  <c r="H93" i="23"/>
  <c r="I93" i="23"/>
  <c r="J93" i="23"/>
  <c r="K93" i="23"/>
  <c r="L93" i="23"/>
  <c r="F94" i="23"/>
  <c r="F90" i="23" s="1"/>
  <c r="G94" i="23"/>
  <c r="G90" i="23" s="1"/>
  <c r="H94" i="23"/>
  <c r="H90" i="23" s="1"/>
  <c r="I94" i="23"/>
  <c r="I90" i="23" s="1"/>
  <c r="J94" i="23"/>
  <c r="J90" i="23" s="1"/>
  <c r="K94" i="23"/>
  <c r="K90" i="23" s="1"/>
  <c r="L94" i="23"/>
  <c r="L90" i="23" s="1"/>
  <c r="F95" i="23"/>
  <c r="G95" i="23"/>
  <c r="H95" i="23"/>
  <c r="I95" i="23"/>
  <c r="J95" i="23"/>
  <c r="K95" i="23"/>
  <c r="L95" i="23"/>
  <c r="F96" i="23"/>
  <c r="G96" i="23"/>
  <c r="H96" i="23"/>
  <c r="I96" i="23"/>
  <c r="J96" i="23"/>
  <c r="K96" i="23"/>
  <c r="L96" i="23"/>
  <c r="G92" i="23"/>
  <c r="H92" i="23"/>
  <c r="I92" i="23"/>
  <c r="J92" i="23"/>
  <c r="K92" i="23"/>
  <c r="L92" i="23"/>
  <c r="F92" i="23"/>
  <c r="P8" i="39"/>
  <c r="J76" i="39"/>
  <c r="J78" i="39" s="1"/>
  <c r="J59" i="39"/>
  <c r="J54" i="39"/>
  <c r="J47" i="39"/>
  <c r="J51" i="39" s="1"/>
  <c r="J30" i="39"/>
  <c r="J38" i="39" s="1"/>
  <c r="J13" i="39"/>
  <c r="J17" i="39" s="1"/>
  <c r="J8" i="39"/>
  <c r="D48" i="39"/>
  <c r="D25" i="39"/>
  <c r="D21" i="39"/>
  <c r="D19" i="39" s="1"/>
  <c r="D6" i="39"/>
  <c r="D17" i="39" s="1"/>
  <c r="K24" i="2"/>
  <c r="J24" i="2"/>
  <c r="I24" i="2"/>
  <c r="H24" i="2"/>
  <c r="G24" i="2"/>
  <c r="N20" i="2"/>
  <c r="M20" i="2"/>
  <c r="M21" i="2"/>
  <c r="N21" i="2"/>
  <c r="H21" i="2"/>
  <c r="N19" i="2"/>
  <c r="M19" i="2"/>
  <c r="H19" i="2"/>
  <c r="C24" i="2" a="1"/>
  <c r="C21" i="2" a="1"/>
  <c r="C20" i="2" a="1"/>
  <c r="C19" i="2" a="1"/>
  <c r="E17" i="2"/>
  <c r="M17" i="2"/>
  <c r="N17" i="2"/>
  <c r="C16" i="2" a="1"/>
  <c r="C17" i="2" a="1"/>
  <c r="N16" i="2"/>
  <c r="M16" i="2"/>
  <c r="H17" i="2"/>
  <c r="H20" i="2"/>
  <c r="K34" i="2"/>
  <c r="H18" i="2" s="1"/>
  <c r="E19" i="10"/>
  <c r="E18" i="10" s="1"/>
  <c r="E21" i="10"/>
  <c r="E22" i="10" s="1"/>
  <c r="B200" i="16"/>
  <c r="B26" i="16"/>
  <c r="D5" i="13" a="1"/>
  <c r="E13" i="34"/>
  <c r="AG3" i="47" l="1"/>
  <c r="AG4" i="47" s="1"/>
  <c r="AF4" i="47"/>
  <c r="H281" i="24"/>
  <c r="K282" i="24"/>
  <c r="G284" i="24"/>
  <c r="J285" i="24"/>
  <c r="I281" i="24"/>
  <c r="E283" i="24"/>
  <c r="H284" i="24"/>
  <c r="K285" i="24"/>
  <c r="J281" i="24"/>
  <c r="F283" i="24"/>
  <c r="I284" i="24"/>
  <c r="K281" i="24"/>
  <c r="G283" i="24"/>
  <c r="J284" i="24"/>
  <c r="E282" i="24"/>
  <c r="H283" i="24"/>
  <c r="K284" i="24"/>
  <c r="F282" i="24"/>
  <c r="I283" i="24"/>
  <c r="E285" i="24"/>
  <c r="G282" i="24"/>
  <c r="J283" i="24"/>
  <c r="F285" i="24"/>
  <c r="E281" i="24"/>
  <c r="H282" i="24"/>
  <c r="K283" i="24"/>
  <c r="G285" i="24"/>
  <c r="F281" i="24"/>
  <c r="I282" i="24"/>
  <c r="E284" i="24"/>
  <c r="H285" i="24"/>
  <c r="G281" i="24"/>
  <c r="J282" i="24"/>
  <c r="F284" i="24"/>
  <c r="I285" i="24"/>
  <c r="J71" i="41"/>
  <c r="G71" i="41"/>
  <c r="I71" i="41"/>
  <c r="H71" i="41"/>
  <c r="F71" i="41"/>
  <c r="E36" i="41"/>
  <c r="E38" i="41" s="1"/>
  <c r="E71" i="41" s="1"/>
  <c r="D71" i="41"/>
  <c r="P42" i="19"/>
  <c r="K35" i="6"/>
  <c r="K39" i="6" s="1"/>
  <c r="J11" i="5" s="1"/>
  <c r="J20" i="31"/>
  <c r="J63" i="39"/>
  <c r="J65" i="39" s="1"/>
  <c r="J80" i="39" s="1"/>
  <c r="J40" i="39"/>
  <c r="J46" i="39"/>
  <c r="D23" i="39"/>
  <c r="D47" i="39" s="1"/>
  <c r="D50" i="39" s="1"/>
  <c r="K38" i="19"/>
  <c r="K47" i="19" s="1"/>
  <c r="J45" i="5"/>
  <c r="K42" i="7"/>
  <c r="K44" i="7" s="1"/>
  <c r="Q42" i="19"/>
  <c r="O42" i="19"/>
  <c r="K53" i="17"/>
  <c r="K22" i="17"/>
  <c r="Y23" i="47" s="1"/>
  <c r="C19" i="22"/>
  <c r="I73" i="23" a="1"/>
  <c r="K74" i="23" a="1"/>
  <c r="J74" i="23" a="1"/>
  <c r="J73" i="23" a="1"/>
  <c r="I74" i="23" a="1"/>
  <c r="H73" i="23" a="1"/>
  <c r="H74" i="23" a="1"/>
  <c r="G73" i="23" a="1"/>
  <c r="G74" i="23" a="1"/>
  <c r="F74" i="23" a="1"/>
  <c r="L73" i="23" a="1"/>
  <c r="L74" i="23" a="1"/>
  <c r="K73" i="23" a="1"/>
  <c r="B11" i="15"/>
  <c r="AJ55" i="1"/>
  <c r="AG46" i="1"/>
  <c r="AG43" i="1"/>
  <c r="AH43" i="1"/>
  <c r="AI43" i="1"/>
  <c r="AJ43" i="1"/>
  <c r="AG44" i="1"/>
  <c r="AH44" i="1"/>
  <c r="AI44" i="1"/>
  <c r="AJ44" i="1"/>
  <c r="AH45" i="1"/>
  <c r="AI45" i="1"/>
  <c r="AJ45" i="1"/>
  <c r="AH46" i="1"/>
  <c r="AI46" i="1"/>
  <c r="AJ46" i="1"/>
  <c r="AH47" i="1"/>
  <c r="AI47" i="1"/>
  <c r="AJ47" i="1"/>
  <c r="AG48" i="1"/>
  <c r="AH48" i="1"/>
  <c r="AI48" i="1"/>
  <c r="AJ48" i="1"/>
  <c r="AH49" i="1"/>
  <c r="AI49" i="1"/>
  <c r="AJ49" i="1"/>
  <c r="AG50" i="1"/>
  <c r="AH50" i="1"/>
  <c r="AI50" i="1"/>
  <c r="AJ50" i="1"/>
  <c r="AG52" i="1"/>
  <c r="AH52" i="1"/>
  <c r="AI52" i="1"/>
  <c r="AJ52" i="1"/>
  <c r="AG53" i="1"/>
  <c r="AH53" i="1"/>
  <c r="AI53" i="1"/>
  <c r="AJ53" i="1"/>
  <c r="AG55" i="1"/>
  <c r="AH55" i="1"/>
  <c r="AI55" i="1"/>
  <c r="AG56" i="1"/>
  <c r="G23" i="35"/>
  <c r="H23" i="35"/>
  <c r="I23" i="35"/>
  <c r="J23" i="35"/>
  <c r="K23" i="35"/>
  <c r="F23" i="35"/>
  <c r="F22" i="35"/>
  <c r="H18" i="35"/>
  <c r="I18" i="35" s="1"/>
  <c r="J18" i="35" s="1"/>
  <c r="K18" i="35" s="1"/>
  <c r="L18" i="35" s="1"/>
  <c r="M18" i="35" s="1"/>
  <c r="B62" i="17"/>
  <c r="B63" i="17" s="1"/>
  <c r="B64" i="17" s="1"/>
  <c r="B65" i="17" s="1"/>
  <c r="B66" i="17" s="1"/>
  <c r="B67" i="17" s="1"/>
  <c r="B68" i="17" s="1"/>
  <c r="B69" i="17" s="1"/>
  <c r="B70" i="17" s="1"/>
  <c r="B71" i="17" s="1"/>
  <c r="B72" i="17" s="1"/>
  <c r="D26" i="34"/>
  <c r="E28" i="34" s="1"/>
  <c r="E5" i="34"/>
  <c r="E6" i="34"/>
  <c r="E7" i="34"/>
  <c r="E8" i="34"/>
  <c r="E9" i="34"/>
  <c r="E10" i="34"/>
  <c r="E11" i="34"/>
  <c r="E12" i="34"/>
  <c r="E14" i="34"/>
  <c r="E15" i="34"/>
  <c r="E16" i="34"/>
  <c r="E17" i="34"/>
  <c r="E18" i="34"/>
  <c r="E19" i="34"/>
  <c r="E20" i="34"/>
  <c r="E21" i="34"/>
  <c r="E22" i="34"/>
  <c r="E23" i="34"/>
  <c r="E24" i="34"/>
  <c r="E25" i="34"/>
  <c r="E4" i="34"/>
  <c r="K29" i="17" l="1"/>
  <c r="K52" i="17" s="1"/>
  <c r="K55" i="17" s="1"/>
  <c r="Y24" i="47"/>
  <c r="O18" i="35"/>
  <c r="P18" i="35" s="1"/>
  <c r="Q18" i="35" s="1"/>
  <c r="R18" i="35" s="1"/>
  <c r="N18" i="35"/>
  <c r="K19" i="37"/>
  <c r="K36" i="17"/>
  <c r="K41" i="17" s="1"/>
  <c r="E279" i="24" a="1"/>
  <c r="J16" i="5"/>
  <c r="J25" i="5" s="1"/>
  <c r="J49" i="5" s="1"/>
  <c r="K11" i="19"/>
  <c r="K16" i="19" s="1"/>
  <c r="K27" i="19" s="1"/>
  <c r="K53" i="19" s="1"/>
  <c r="K15" i="2" s="1"/>
  <c r="J81" i="39"/>
  <c r="D31" i="39"/>
  <c r="D35" i="39" s="1"/>
  <c r="P7" i="39" s="1"/>
  <c r="P12" i="39" s="1"/>
  <c r="P20" i="39" s="1"/>
  <c r="D42" i="39"/>
  <c r="L32" i="19"/>
  <c r="M32" i="19"/>
  <c r="N32" i="19"/>
  <c r="O32" i="19"/>
  <c r="P32" i="19"/>
  <c r="Q32" i="19"/>
  <c r="P42" i="39"/>
  <c r="P44" i="39"/>
  <c r="K85" i="7"/>
  <c r="E26" i="34"/>
  <c r="E29" i="34" s="1"/>
  <c r="E30" i="34" s="1"/>
  <c r="B20" i="15"/>
  <c r="E12" i="22"/>
  <c r="E15" i="22"/>
  <c r="G12" i="33" l="1"/>
  <c r="K13" i="37"/>
  <c r="K11" i="37"/>
  <c r="K49" i="19"/>
  <c r="J47" i="5"/>
  <c r="D39" i="39"/>
  <c r="K33" i="2" l="1"/>
  <c r="H16" i="2" s="1"/>
  <c r="F13" i="21"/>
  <c r="E13" i="21"/>
  <c r="H22" i="11" l="1"/>
  <c r="I25" i="31"/>
  <c r="H25" i="31"/>
  <c r="G25" i="31"/>
  <c r="F25" i="31"/>
  <c r="E25" i="31"/>
  <c r="D25" i="31"/>
  <c r="I21" i="31"/>
  <c r="H21" i="31"/>
  <c r="G21" i="31"/>
  <c r="F21" i="31"/>
  <c r="E21" i="31"/>
  <c r="D21" i="31"/>
  <c r="D11" i="31"/>
  <c r="I20" i="31"/>
  <c r="H20" i="31"/>
  <c r="G20" i="31"/>
  <c r="F20" i="31"/>
  <c r="E20" i="31"/>
  <c r="J24" i="17"/>
  <c r="J3" i="17" s="1"/>
  <c r="I24" i="17"/>
  <c r="H24" i="17"/>
  <c r="G24" i="17"/>
  <c r="F24" i="17"/>
  <c r="F3" i="17" s="1"/>
  <c r="E24" i="17"/>
  <c r="E3" i="17" s="1"/>
  <c r="J10" i="17"/>
  <c r="I10" i="17"/>
  <c r="H10" i="17"/>
  <c r="G10" i="17"/>
  <c r="G5" i="17"/>
  <c r="H5" i="17" s="1"/>
  <c r="I5" i="17" s="1"/>
  <c r="J5" i="17" s="1"/>
  <c r="L5" i="17" s="1"/>
  <c r="M5" i="17" s="1"/>
  <c r="N5" i="17" s="1"/>
  <c r="O5" i="17" s="1"/>
  <c r="P5" i="17" s="1"/>
  <c r="Q5" i="17" s="1"/>
  <c r="E47" i="19"/>
  <c r="I26" i="31"/>
  <c r="H26" i="31"/>
  <c r="D26" i="31"/>
  <c r="G5" i="19"/>
  <c r="H5" i="19" s="1"/>
  <c r="I5" i="19" s="1"/>
  <c r="J5" i="19" s="1"/>
  <c r="L5" i="19" s="1"/>
  <c r="M5" i="19" s="1"/>
  <c r="N5" i="19" s="1"/>
  <c r="O5" i="19" s="1"/>
  <c r="P5" i="19" s="1"/>
  <c r="Q5" i="19" s="1"/>
  <c r="U14" i="31"/>
  <c r="U12" i="31"/>
  <c r="F5" i="31"/>
  <c r="G5" i="31" s="1"/>
  <c r="H5" i="31" s="1"/>
  <c r="I5" i="31" s="1"/>
  <c r="J5" i="31" s="1"/>
  <c r="K5" i="31" s="1"/>
  <c r="L5" i="31" s="1"/>
  <c r="M5" i="31" s="1"/>
  <c r="N5" i="31" s="1"/>
  <c r="O5" i="31" s="1"/>
  <c r="P5" i="31" s="1"/>
  <c r="D4" i="31" l="1"/>
  <c r="D2" i="31"/>
  <c r="H3" i="17"/>
  <c r="E14" i="17"/>
  <c r="E13" i="17"/>
  <c r="E12" i="17"/>
  <c r="G3" i="17"/>
  <c r="I3" i="17"/>
  <c r="L34" i="17"/>
  <c r="K27" i="31" s="1"/>
  <c r="Q34" i="17"/>
  <c r="P27" i="31" s="1"/>
  <c r="M34" i="17"/>
  <c r="L27" i="31" s="1"/>
  <c r="N34" i="17"/>
  <c r="M27" i="31" s="1"/>
  <c r="O34" i="17"/>
  <c r="N27" i="31" s="1"/>
  <c r="P34" i="17"/>
  <c r="O27" i="31" s="1"/>
  <c r="C63" i="17"/>
  <c r="H12" i="43"/>
  <c r="H9" i="43"/>
  <c r="H10" i="37"/>
  <c r="H11" i="43"/>
  <c r="H10" i="43"/>
  <c r="H6" i="43"/>
  <c r="C64" i="17"/>
  <c r="I12" i="43"/>
  <c r="I9" i="43"/>
  <c r="I10" i="37"/>
  <c r="I11" i="43"/>
  <c r="I10" i="43"/>
  <c r="I6" i="43"/>
  <c r="J10" i="43"/>
  <c r="J12" i="43"/>
  <c r="J9" i="43"/>
  <c r="R15" i="2"/>
  <c r="J10" i="37"/>
  <c r="J11" i="43"/>
  <c r="J6" i="43"/>
  <c r="C62" i="17"/>
  <c r="G9" i="43"/>
  <c r="G10" i="37"/>
  <c r="G11" i="43"/>
  <c r="G10" i="43"/>
  <c r="G12" i="43"/>
  <c r="G6" i="43"/>
  <c r="C65" i="17"/>
  <c r="F11" i="31"/>
  <c r="J9" i="17"/>
  <c r="H9" i="17"/>
  <c r="H11" i="31"/>
  <c r="I9" i="17"/>
  <c r="I11" i="31"/>
  <c r="E26" i="31"/>
  <c r="F26" i="31"/>
  <c r="G26" i="31"/>
  <c r="G11" i="31"/>
  <c r="N12" i="17"/>
  <c r="O12" i="17" s="1"/>
  <c r="I4" i="31" l="1"/>
  <c r="I2" i="31"/>
  <c r="H4" i="31"/>
  <c r="H2" i="31"/>
  <c r="F4" i="31"/>
  <c r="F2" i="31"/>
  <c r="G4" i="31"/>
  <c r="G2" i="31"/>
  <c r="E63" i="17"/>
  <c r="E64" i="17"/>
  <c r="G10" i="31"/>
  <c r="I10" i="31"/>
  <c r="J22" i="35"/>
  <c r="H10" i="31"/>
  <c r="H22" i="35"/>
  <c r="E65" i="17"/>
  <c r="E66" i="17"/>
  <c r="K22" i="35"/>
  <c r="G36" i="31"/>
  <c r="I22" i="35"/>
  <c r="H36" i="31"/>
  <c r="I36" i="31"/>
  <c r="J10" i="31" l="1"/>
  <c r="J4" i="31"/>
  <c r="G26" i="33"/>
  <c r="G24" i="33"/>
  <c r="G28" i="33"/>
  <c r="K14" i="37"/>
  <c r="J13" i="31"/>
  <c r="K7" i="37" s="1"/>
  <c r="G7" i="33"/>
  <c r="D6" i="32"/>
  <c r="J36" i="31"/>
  <c r="L22" i="35"/>
  <c r="J17" i="31" l="1"/>
  <c r="J3" i="31"/>
  <c r="G25" i="33"/>
  <c r="G27" i="33"/>
  <c r="G23" i="33"/>
  <c r="G17" i="33"/>
  <c r="G21" i="33"/>
  <c r="G19" i="33"/>
  <c r="G15" i="21" l="1"/>
  <c r="H15" i="21"/>
  <c r="I15" i="21"/>
  <c r="J15" i="21"/>
  <c r="J6" i="29"/>
  <c r="K7" i="29" s="1"/>
  <c r="I6" i="29"/>
  <c r="H6" i="29"/>
  <c r="G6" i="29"/>
  <c r="F6" i="29"/>
  <c r="F8" i="29" s="1"/>
  <c r="E6" i="29"/>
  <c r="G4" i="29"/>
  <c r="H4" i="29" s="1"/>
  <c r="I4" i="29" s="1"/>
  <c r="J4" i="29" s="1"/>
  <c r="K4" i="29" s="1"/>
  <c r="H24" i="13"/>
  <c r="G24" i="13"/>
  <c r="F24" i="13"/>
  <c r="E24" i="13"/>
  <c r="D24" i="13"/>
  <c r="C24" i="13"/>
  <c r="C26" i="13" s="1"/>
  <c r="E22" i="13"/>
  <c r="F22" i="13" s="1"/>
  <c r="G22" i="13" s="1"/>
  <c r="H22" i="13" s="1"/>
  <c r="G13" i="7"/>
  <c r="H13" i="7"/>
  <c r="I13" i="7"/>
  <c r="J13" i="7"/>
  <c r="I20" i="22"/>
  <c r="H74" i="11"/>
  <c r="H69" i="11"/>
  <c r="H68" i="11"/>
  <c r="F15" i="22"/>
  <c r="F12" i="22"/>
  <c r="G6" i="22"/>
  <c r="H6" i="22" s="1"/>
  <c r="I6" i="22" s="1"/>
  <c r="J6" i="22" s="1"/>
  <c r="K6" i="22" s="1"/>
  <c r="L6" i="22" s="1"/>
  <c r="M6" i="22" s="1"/>
  <c r="N6" i="22" s="1"/>
  <c r="O6" i="22" s="1"/>
  <c r="P6" i="22" s="1"/>
  <c r="Q6" i="22" s="1"/>
  <c r="Q7" i="10"/>
  <c r="R7" i="10" s="1"/>
  <c r="F10" i="21"/>
  <c r="E10" i="21"/>
  <c r="G5" i="21"/>
  <c r="H5" i="21" s="1"/>
  <c r="I5" i="21" s="1"/>
  <c r="J5" i="21" s="1"/>
  <c r="K5" i="21" s="1"/>
  <c r="L5" i="21" s="1"/>
  <c r="M5" i="21" s="1"/>
  <c r="N5" i="21" s="1"/>
  <c r="O5" i="21" s="1"/>
  <c r="P5" i="21" s="1"/>
  <c r="Q5" i="21" s="1"/>
  <c r="J20" i="22"/>
  <c r="F31" i="10"/>
  <c r="G31" i="10"/>
  <c r="H31" i="10"/>
  <c r="I31" i="10"/>
  <c r="J31" i="10"/>
  <c r="K31" i="10"/>
  <c r="H51" i="11"/>
  <c r="H28" i="11"/>
  <c r="B201" i="16"/>
  <c r="C8" i="16" s="1"/>
  <c r="B199" i="16"/>
  <c r="B198" i="16"/>
  <c r="B197" i="16"/>
  <c r="B196" i="16"/>
  <c r="B195" i="16"/>
  <c r="B194" i="16"/>
  <c r="B193" i="16"/>
  <c r="C193" i="16" s="1"/>
  <c r="B192" i="16"/>
  <c r="C192" i="16" s="1"/>
  <c r="B191" i="16"/>
  <c r="B190" i="16"/>
  <c r="B189" i="16"/>
  <c r="H75" i="11" s="1"/>
  <c r="B188" i="16"/>
  <c r="B204" i="16"/>
  <c r="B30" i="16"/>
  <c r="B27" i="16"/>
  <c r="C7" i="16" s="1"/>
  <c r="B25" i="16"/>
  <c r="B24" i="16"/>
  <c r="B23" i="16"/>
  <c r="B22" i="16"/>
  <c r="B21" i="16"/>
  <c r="B20" i="16"/>
  <c r="B19" i="16"/>
  <c r="H52" i="11" s="1"/>
  <c r="B18" i="16"/>
  <c r="H46" i="11"/>
  <c r="K48" i="11" s="1"/>
  <c r="H45" i="11"/>
  <c r="K47" i="11" s="1"/>
  <c r="I86" i="23" l="1" a="1"/>
  <c r="L85" i="23" a="1"/>
  <c r="J86" i="23" a="1"/>
  <c r="K85" i="23" a="1"/>
  <c r="K86" i="23" a="1"/>
  <c r="J85" i="23" a="1"/>
  <c r="L86" i="23" a="1"/>
  <c r="I85" i="23" a="1"/>
  <c r="F86" i="23" a="1"/>
  <c r="H85" i="23" a="1"/>
  <c r="G85" i="23" a="1"/>
  <c r="F85" i="23" a="1"/>
  <c r="G86" i="23" a="1"/>
  <c r="H86" i="23" a="1"/>
  <c r="E31" i="10"/>
  <c r="K49" i="11"/>
  <c r="K55" i="11" s="1"/>
  <c r="E8" i="29"/>
  <c r="B7" i="29"/>
  <c r="C20" i="22"/>
  <c r="D25" i="13"/>
  <c r="H7" i="29"/>
  <c r="D26" i="13"/>
  <c r="H25" i="13"/>
  <c r="J7" i="29"/>
  <c r="H47" i="11"/>
  <c r="H70" i="11"/>
  <c r="E25" i="13"/>
  <c r="G25" i="13"/>
  <c r="F25" i="13"/>
  <c r="G7" i="29"/>
  <c r="C194" i="16"/>
  <c r="I7" i="29"/>
  <c r="F7" i="29"/>
  <c r="Q8" i="10"/>
  <c r="L11" i="17" s="1"/>
  <c r="R8" i="10"/>
  <c r="F3" i="50" l="1"/>
  <c r="B4" i="50"/>
  <c r="C4" i="50" s="1"/>
  <c r="M14" i="17"/>
  <c r="K45" i="35"/>
  <c r="N14" i="17" l="1"/>
  <c r="O14" i="17" l="1"/>
  <c r="P14" i="17" l="1"/>
  <c r="Q14" i="17" l="1"/>
  <c r="R14" i="17" s="1"/>
  <c r="H23" i="11"/>
  <c r="B15" i="15"/>
  <c r="B13" i="15"/>
  <c r="C6" i="16" s="1"/>
  <c r="B12" i="15"/>
  <c r="B10" i="15"/>
  <c r="H29" i="11" s="1"/>
  <c r="B14" i="15" l="1"/>
  <c r="H24" i="11"/>
  <c r="F21" i="7" l="1"/>
  <c r="G21" i="7"/>
  <c r="H21" i="7"/>
  <c r="I21" i="7"/>
  <c r="J21" i="7"/>
  <c r="G21" i="10" l="1"/>
  <c r="G22" i="10" s="1"/>
  <c r="F21" i="10"/>
  <c r="F22" i="10" s="1"/>
  <c r="G19" i="10"/>
  <c r="G18" i="10" s="1"/>
  <c r="F19" i="10"/>
  <c r="F18" i="10" s="1"/>
  <c r="I10" i="6"/>
  <c r="J10" i="6"/>
  <c r="H10" i="6"/>
  <c r="G10" i="6"/>
  <c r="Q5" i="7"/>
  <c r="F72" i="7"/>
  <c r="G72" i="7"/>
  <c r="H72" i="7"/>
  <c r="I72" i="7"/>
  <c r="J72" i="7"/>
  <c r="E72" i="7"/>
  <c r="F58" i="7"/>
  <c r="G58" i="7"/>
  <c r="H58" i="7"/>
  <c r="I58" i="7"/>
  <c r="J58" i="7"/>
  <c r="E58" i="7"/>
  <c r="F55" i="7"/>
  <c r="G55" i="7"/>
  <c r="H55" i="7"/>
  <c r="I55" i="7"/>
  <c r="J55" i="7"/>
  <c r="E55" i="7"/>
  <c r="F38" i="7"/>
  <c r="G38" i="7"/>
  <c r="H38" i="7"/>
  <c r="I38" i="7"/>
  <c r="J38" i="7"/>
  <c r="E38" i="7"/>
  <c r="F35" i="7"/>
  <c r="G35" i="7"/>
  <c r="H35" i="7"/>
  <c r="I35" i="7"/>
  <c r="J35" i="7"/>
  <c r="E35" i="7"/>
  <c r="F29" i="7"/>
  <c r="E29" i="7"/>
  <c r="E27" i="7"/>
  <c r="G23" i="7"/>
  <c r="H23" i="7"/>
  <c r="I23" i="7"/>
  <c r="J23" i="7"/>
  <c r="E21" i="7"/>
  <c r="G5" i="7"/>
  <c r="H5" i="7" s="1"/>
  <c r="I5" i="7" s="1"/>
  <c r="J5" i="7" s="1"/>
  <c r="L5" i="7" s="1"/>
  <c r="M5" i="7" s="1"/>
  <c r="N5" i="7" s="1"/>
  <c r="O5" i="7" s="1"/>
  <c r="C66" i="1"/>
  <c r="F23" i="6"/>
  <c r="E17" i="6"/>
  <c r="F17" i="6"/>
  <c r="F50" i="6" s="1"/>
  <c r="G17" i="6"/>
  <c r="G50" i="6" s="1"/>
  <c r="H17" i="6"/>
  <c r="I17" i="6"/>
  <c r="J17" i="6"/>
  <c r="G23" i="6"/>
  <c r="E23" i="6"/>
  <c r="H23" i="6"/>
  <c r="I23" i="6"/>
  <c r="J23" i="6"/>
  <c r="G5" i="6"/>
  <c r="H5" i="6" s="1"/>
  <c r="I5" i="6" s="1"/>
  <c r="J5" i="6" s="1"/>
  <c r="L5" i="6" s="1"/>
  <c r="M5" i="6" s="1"/>
  <c r="N5" i="6" s="1"/>
  <c r="O5" i="6" s="1"/>
  <c r="P5" i="6" s="1"/>
  <c r="Q5" i="6" s="1"/>
  <c r="E45" i="5"/>
  <c r="F45" i="5"/>
  <c r="G45" i="5"/>
  <c r="H45" i="5"/>
  <c r="I45" i="5"/>
  <c r="D45" i="5"/>
  <c r="E32" i="5"/>
  <c r="F32" i="5"/>
  <c r="G32" i="5"/>
  <c r="H32" i="5"/>
  <c r="I32" i="5"/>
  <c r="D32" i="5"/>
  <c r="B85" i="1"/>
  <c r="B106" i="1"/>
  <c r="F5" i="5"/>
  <c r="G5" i="5" s="1"/>
  <c r="H5" i="5" s="1"/>
  <c r="I5" i="5" s="1"/>
  <c r="J5" i="5" s="1"/>
  <c r="K5" i="5" s="1"/>
  <c r="L5" i="5" s="1"/>
  <c r="M5" i="5" s="1"/>
  <c r="N5" i="5" s="1"/>
  <c r="O5" i="5" s="1"/>
  <c r="P5" i="5" s="1"/>
  <c r="AU10" i="1"/>
  <c r="AU9" i="1"/>
  <c r="AU8" i="1"/>
  <c r="AU6" i="1"/>
  <c r="AU5" i="1"/>
  <c r="H187" i="1"/>
  <c r="I17" i="43" l="1"/>
  <c r="I7" i="43"/>
  <c r="I20" i="43"/>
  <c r="F7" i="43"/>
  <c r="F20" i="43"/>
  <c r="H7" i="43"/>
  <c r="H20" i="43"/>
  <c r="H17" i="43"/>
  <c r="E7" i="43"/>
  <c r="E20" i="43"/>
  <c r="G19" i="43"/>
  <c r="G15" i="43"/>
  <c r="G13" i="43"/>
  <c r="G16" i="43"/>
  <c r="G7" i="43"/>
  <c r="G17" i="43"/>
  <c r="G20" i="43"/>
  <c r="H19" i="43"/>
  <c r="H15" i="43"/>
  <c r="H13" i="43"/>
  <c r="H16" i="43"/>
  <c r="J18" i="17"/>
  <c r="I18" i="31" s="1"/>
  <c r="I24" i="31" s="1"/>
  <c r="J50" i="6"/>
  <c r="J19" i="43"/>
  <c r="J15" i="43"/>
  <c r="J13" i="43"/>
  <c r="J16" i="43"/>
  <c r="I18" i="17"/>
  <c r="H18" i="31" s="1"/>
  <c r="H24" i="31" s="1"/>
  <c r="I50" i="6"/>
  <c r="I19" i="43"/>
  <c r="I15" i="43"/>
  <c r="I13" i="43"/>
  <c r="I16" i="43"/>
  <c r="H18" i="17"/>
  <c r="H50" i="6"/>
  <c r="J17" i="43"/>
  <c r="J7" i="43"/>
  <c r="J20" i="43"/>
  <c r="I17" i="21"/>
  <c r="I18" i="21"/>
  <c r="H21" i="6"/>
  <c r="H17" i="21"/>
  <c r="H18" i="21"/>
  <c r="J17" i="21"/>
  <c r="J18" i="21"/>
  <c r="G18" i="21"/>
  <c r="C18" i="21" s="1"/>
  <c r="G17" i="21"/>
  <c r="G67" i="7"/>
  <c r="G69" i="7" s="1"/>
  <c r="J80" i="7"/>
  <c r="J82" i="7" s="1"/>
  <c r="I80" i="7"/>
  <c r="I82" i="7" s="1"/>
  <c r="E24" i="7"/>
  <c r="J42" i="7"/>
  <c r="H80" i="7"/>
  <c r="H82" i="7" s="1"/>
  <c r="I42" i="7"/>
  <c r="I44" i="7" s="1"/>
  <c r="E67" i="7"/>
  <c r="E69" i="7" s="1"/>
  <c r="E84" i="7" s="1"/>
  <c r="G80" i="7"/>
  <c r="G82" i="7" s="1"/>
  <c r="F23" i="7"/>
  <c r="F42" i="7" s="1"/>
  <c r="F44" i="7" s="1"/>
  <c r="H42" i="7"/>
  <c r="H44" i="7" s="1"/>
  <c r="G42" i="7"/>
  <c r="G44" i="7" s="1"/>
  <c r="I67" i="7"/>
  <c r="I69" i="7" s="1"/>
  <c r="H28" i="6"/>
  <c r="H35" i="6" s="1"/>
  <c r="F67" i="7"/>
  <c r="F69" i="7" s="1"/>
  <c r="E80" i="7"/>
  <c r="E82" i="7" s="1"/>
  <c r="F80" i="7"/>
  <c r="F82" i="7" s="1"/>
  <c r="H67" i="7"/>
  <c r="H69" i="7" s="1"/>
  <c r="J44" i="7"/>
  <c r="I13" i="31"/>
  <c r="J7" i="37" s="1"/>
  <c r="J53" i="17"/>
  <c r="J22" i="17"/>
  <c r="E56" i="6"/>
  <c r="J21" i="6"/>
  <c r="J28" i="6" s="1"/>
  <c r="H13" i="31"/>
  <c r="I7" i="37" s="1"/>
  <c r="I21" i="6"/>
  <c r="I28" i="6" s="1"/>
  <c r="G13" i="31"/>
  <c r="H7" i="37" s="1"/>
  <c r="H53" i="17"/>
  <c r="G18" i="31"/>
  <c r="G24" i="31" s="1"/>
  <c r="H22" i="17"/>
  <c r="G18" i="17"/>
  <c r="F18" i="17"/>
  <c r="F21" i="6"/>
  <c r="F28" i="6" s="1"/>
  <c r="E21" i="6"/>
  <c r="E28" i="6" s="1"/>
  <c r="E35" i="6" s="1"/>
  <c r="E18" i="17"/>
  <c r="G21" i="6"/>
  <c r="G28" i="6" s="1"/>
  <c r="G35" i="6" s="1"/>
  <c r="D15" i="39"/>
  <c r="D14" i="39"/>
  <c r="J25" i="39" s="1"/>
  <c r="J20" i="39" s="1"/>
  <c r="F17" i="39" s="1"/>
  <c r="J36" i="39"/>
  <c r="J35" i="39"/>
  <c r="AU11" i="1"/>
  <c r="AU7" i="1"/>
  <c r="I13" i="21"/>
  <c r="I8" i="29"/>
  <c r="I12" i="22"/>
  <c r="I15" i="22"/>
  <c r="I10" i="21"/>
  <c r="G26" i="13"/>
  <c r="G13" i="21"/>
  <c r="G15" i="22"/>
  <c r="G10" i="21"/>
  <c r="G12" i="22"/>
  <c r="G8" i="29"/>
  <c r="E26" i="13"/>
  <c r="H13" i="21"/>
  <c r="H12" i="22"/>
  <c r="H15" i="22"/>
  <c r="H8" i="29"/>
  <c r="H10" i="21"/>
  <c r="F26" i="13"/>
  <c r="J67" i="7"/>
  <c r="J69" i="7" s="1"/>
  <c r="J13" i="21"/>
  <c r="H26" i="13"/>
  <c r="J12" i="22"/>
  <c r="J15" i="22"/>
  <c r="J10" i="21"/>
  <c r="J8" i="29"/>
  <c r="E50" i="6"/>
  <c r="C244" i="1"/>
  <c r="E244" i="1"/>
  <c r="F244" i="1"/>
  <c r="G244" i="1"/>
  <c r="D244" i="1"/>
  <c r="D243" i="1"/>
  <c r="E243" i="1"/>
  <c r="F243" i="1"/>
  <c r="G243" i="1"/>
  <c r="X24" i="47" l="1"/>
  <c r="G24" i="24" a="1"/>
  <c r="H21" i="24" a="1"/>
  <c r="F24" i="24" a="1"/>
  <c r="G21" i="24" a="1"/>
  <c r="E24" i="24" a="1"/>
  <c r="F21" i="24" a="1"/>
  <c r="K23" i="24" a="1"/>
  <c r="E21" i="24" a="1"/>
  <c r="J23" i="24" a="1"/>
  <c r="I23" i="24" a="1"/>
  <c r="K24" i="24" a="1"/>
  <c r="H23" i="24" a="1"/>
  <c r="J24" i="24" a="1"/>
  <c r="G23" i="24" a="1"/>
  <c r="K21" i="24" a="1"/>
  <c r="I24" i="24" a="1"/>
  <c r="F23" i="24" a="1"/>
  <c r="J21" i="24" a="1"/>
  <c r="H24" i="24" a="1"/>
  <c r="E23" i="24" a="1"/>
  <c r="I21" i="24" a="1"/>
  <c r="V24" i="47"/>
  <c r="I17" i="31"/>
  <c r="I19" i="31" s="1"/>
  <c r="I22" i="31" s="1"/>
  <c r="I31" i="31" s="1"/>
  <c r="I3" i="31"/>
  <c r="G17" i="31"/>
  <c r="I26" i="35" s="1"/>
  <c r="G3" i="31"/>
  <c r="H17" i="31"/>
  <c r="J26" i="35" s="1"/>
  <c r="H3" i="31"/>
  <c r="I22" i="17"/>
  <c r="I35" i="6"/>
  <c r="I39" i="6" s="1"/>
  <c r="H11" i="5" s="1"/>
  <c r="I11" i="19" s="1"/>
  <c r="I16" i="19" s="1"/>
  <c r="I27" i="19" s="1"/>
  <c r="I49" i="6"/>
  <c r="I52" i="6" s="1"/>
  <c r="F35" i="6"/>
  <c r="F39" i="6" s="1"/>
  <c r="E11" i="5" s="1"/>
  <c r="F11" i="19" s="1"/>
  <c r="F16" i="19" s="1"/>
  <c r="F27" i="19" s="1"/>
  <c r="I53" i="17"/>
  <c r="C16" i="43"/>
  <c r="C7" i="43"/>
  <c r="J161" i="24" a="1"/>
  <c r="I162" i="24" a="1"/>
  <c r="H164" i="24" a="1"/>
  <c r="G165" i="24" a="1"/>
  <c r="E165" i="24" a="1"/>
  <c r="H165" i="24" a="1"/>
  <c r="E164" i="24" a="1"/>
  <c r="F161" i="24" a="1"/>
  <c r="K161" i="24" a="1"/>
  <c r="J162" i="24" a="1"/>
  <c r="I164" i="24" a="1"/>
  <c r="E162" i="24" a="1"/>
  <c r="E161" i="24" a="1"/>
  <c r="H162" i="24" a="1"/>
  <c r="F165" i="24" a="1"/>
  <c r="G161" i="24" a="1"/>
  <c r="K162" i="24" a="1"/>
  <c r="I165" i="24" a="1"/>
  <c r="G162" i="24" a="1"/>
  <c r="H161" i="24" a="1"/>
  <c r="F164" i="24" a="1"/>
  <c r="J165" i="24" a="1"/>
  <c r="I161" i="24" a="1"/>
  <c r="G164" i="24" a="1"/>
  <c r="K165" i="24" a="1"/>
  <c r="F162" i="24" a="1"/>
  <c r="J164" i="24" a="1"/>
  <c r="K164" i="24" a="1"/>
  <c r="C17" i="43"/>
  <c r="C13" i="43"/>
  <c r="F95" i="24" a="1"/>
  <c r="I95" i="24" a="1"/>
  <c r="J91" i="24" a="1"/>
  <c r="G91" i="24" a="1"/>
  <c r="F92" i="24" a="1"/>
  <c r="K95" i="24" a="1"/>
  <c r="G94" i="24" a="1"/>
  <c r="J95" i="24" a="1"/>
  <c r="K91" i="24" a="1"/>
  <c r="H94" i="24" a="1"/>
  <c r="G92" i="24" a="1"/>
  <c r="J94" i="24" a="1"/>
  <c r="I92" i="24" a="1"/>
  <c r="E94" i="24" a="1"/>
  <c r="E95" i="24" a="1"/>
  <c r="G95" i="24" a="1"/>
  <c r="H92" i="24" a="1"/>
  <c r="F91" i="24" a="1"/>
  <c r="H91" i="24" a="1"/>
  <c r="E91" i="24" a="1"/>
  <c r="K94" i="24" a="1"/>
  <c r="K92" i="24" a="1"/>
  <c r="H95" i="24" a="1"/>
  <c r="I91" i="24" a="1"/>
  <c r="F94" i="24" a="1"/>
  <c r="I94" i="24" a="1"/>
  <c r="E92" i="24" a="1"/>
  <c r="J92" i="24" a="1"/>
  <c r="J35" i="6"/>
  <c r="J39" i="6" s="1"/>
  <c r="I11" i="5" s="1"/>
  <c r="J11" i="19" s="1"/>
  <c r="J16" i="19" s="1"/>
  <c r="J27" i="19" s="1"/>
  <c r="J49" i="6"/>
  <c r="J52" i="6" s="1"/>
  <c r="C15" i="43"/>
  <c r="C19" i="43"/>
  <c r="H175" i="24" a="1"/>
  <c r="F174" i="24" a="1"/>
  <c r="F175" i="24" a="1"/>
  <c r="E172" i="24" a="1"/>
  <c r="K174" i="24" a="1"/>
  <c r="H171" i="24" a="1"/>
  <c r="J171" i="24" a="1"/>
  <c r="J175" i="24" a="1"/>
  <c r="G175" i="24" a="1"/>
  <c r="I172" i="24" a="1"/>
  <c r="G172" i="24" a="1"/>
  <c r="F172" i="24" a="1"/>
  <c r="J174" i="24" a="1"/>
  <c r="H174" i="24" a="1"/>
  <c r="K175" i="24" a="1"/>
  <c r="I175" i="24" a="1"/>
  <c r="E175" i="24" a="1"/>
  <c r="E171" i="24" a="1"/>
  <c r="E174" i="24" a="1"/>
  <c r="G174" i="24" a="1"/>
  <c r="G171" i="24" a="1"/>
  <c r="K172" i="24" a="1"/>
  <c r="I171" i="24" a="1"/>
  <c r="H172" i="24" a="1"/>
  <c r="I174" i="24" a="1"/>
  <c r="F171" i="24" a="1"/>
  <c r="K171" i="24" a="1"/>
  <c r="J172" i="24" a="1"/>
  <c r="C20" i="43"/>
  <c r="E23" i="7"/>
  <c r="C17" i="21"/>
  <c r="I84" i="7"/>
  <c r="H84" i="7"/>
  <c r="G84" i="7"/>
  <c r="J84" i="7"/>
  <c r="F84" i="7"/>
  <c r="F53" i="17"/>
  <c r="E18" i="31"/>
  <c r="E24" i="31" s="1"/>
  <c r="F13" i="31"/>
  <c r="G7" i="37" s="1"/>
  <c r="F18" i="31"/>
  <c r="F24" i="31" s="1"/>
  <c r="G53" i="17"/>
  <c r="G22" i="17"/>
  <c r="I24" i="35"/>
  <c r="H29" i="17"/>
  <c r="J29" i="17"/>
  <c r="K24" i="35"/>
  <c r="D13" i="31"/>
  <c r="E7" i="37" s="1"/>
  <c r="E22" i="17"/>
  <c r="D18" i="31"/>
  <c r="D24" i="31" s="1"/>
  <c r="E53" i="17"/>
  <c r="B8" i="29"/>
  <c r="C16" i="22"/>
  <c r="C15" i="22"/>
  <c r="J24" i="39"/>
  <c r="J22" i="39"/>
  <c r="J21" i="39"/>
  <c r="C12" i="22"/>
  <c r="C13" i="21"/>
  <c r="C10" i="21"/>
  <c r="E49" i="6"/>
  <c r="E52" i="6" s="1"/>
  <c r="F49" i="6"/>
  <c r="F52" i="6" s="1"/>
  <c r="H49" i="6"/>
  <c r="H52" i="6" s="1"/>
  <c r="H39" i="6"/>
  <c r="G11" i="5" s="1"/>
  <c r="H11" i="19" s="1"/>
  <c r="H16" i="19" s="1"/>
  <c r="H27" i="19" s="1"/>
  <c r="G49" i="6"/>
  <c r="G52" i="6" s="1"/>
  <c r="G39" i="6"/>
  <c r="F11" i="5" s="1"/>
  <c r="G11" i="19" s="1"/>
  <c r="G16" i="19" s="1"/>
  <c r="G27" i="19" s="1"/>
  <c r="D65" i="1"/>
  <c r="D64" i="1"/>
  <c r="K26" i="35" l="1"/>
  <c r="H19" i="31"/>
  <c r="H22" i="31" s="1"/>
  <c r="H31" i="31" s="1"/>
  <c r="K22" i="24"/>
  <c r="J22" i="24"/>
  <c r="I22" i="24"/>
  <c r="H22" i="24"/>
  <c r="E22" i="24"/>
  <c r="G22" i="24"/>
  <c r="F22" i="24"/>
  <c r="S24" i="47"/>
  <c r="U24" i="47"/>
  <c r="D17" i="31"/>
  <c r="D19" i="31" s="1"/>
  <c r="D3" i="31"/>
  <c r="F17" i="31"/>
  <c r="H26" i="35" s="1"/>
  <c r="F3" i="31"/>
  <c r="W24" i="47"/>
  <c r="G19" i="31"/>
  <c r="G22" i="31" s="1"/>
  <c r="G31" i="31" s="1"/>
  <c r="J24" i="35"/>
  <c r="I29" i="17"/>
  <c r="I36" i="17" s="1"/>
  <c r="I41" i="17" s="1"/>
  <c r="M11" i="17"/>
  <c r="G3" i="50" s="1"/>
  <c r="H36" i="17"/>
  <c r="H41" i="17" s="1"/>
  <c r="H19" i="37"/>
  <c r="J36" i="17"/>
  <c r="J41" i="17" s="1"/>
  <c r="J19" i="37"/>
  <c r="F49" i="19"/>
  <c r="F53" i="19"/>
  <c r="H173" i="24"/>
  <c r="E173" i="24"/>
  <c r="I173" i="24"/>
  <c r="J173" i="24"/>
  <c r="K173" i="24"/>
  <c r="F173" i="24"/>
  <c r="G173" i="24"/>
  <c r="G93" i="24"/>
  <c r="H93" i="24"/>
  <c r="I93" i="24"/>
  <c r="E93" i="24"/>
  <c r="F93" i="24"/>
  <c r="J93" i="24"/>
  <c r="K93" i="24"/>
  <c r="J163" i="24"/>
  <c r="K163" i="24"/>
  <c r="F163" i="24"/>
  <c r="G163" i="24"/>
  <c r="H163" i="24"/>
  <c r="E163" i="24"/>
  <c r="E159" i="24" s="1" a="1"/>
  <c r="I163" i="24"/>
  <c r="C13" i="22"/>
  <c r="E42" i="7"/>
  <c r="E44" i="7" s="1"/>
  <c r="E85" i="7" s="1"/>
  <c r="H49" i="19"/>
  <c r="H53" i="19"/>
  <c r="H14" i="37" s="1"/>
  <c r="I49" i="19"/>
  <c r="I53" i="19"/>
  <c r="I14" i="37" s="1"/>
  <c r="J49" i="19"/>
  <c r="J53" i="19"/>
  <c r="J14" i="37" s="1"/>
  <c r="G49" i="19"/>
  <c r="G53" i="19"/>
  <c r="AG47" i="1"/>
  <c r="AG49" i="1"/>
  <c r="AG45" i="1"/>
  <c r="I52" i="17"/>
  <c r="I55" i="17" s="1"/>
  <c r="I8" i="37" s="1"/>
  <c r="J28" i="35"/>
  <c r="E29" i="17"/>
  <c r="F24" i="35"/>
  <c r="G29" i="17"/>
  <c r="H24" i="35"/>
  <c r="I37" i="31"/>
  <c r="J52" i="17"/>
  <c r="J55" i="17" s="1"/>
  <c r="J8" i="37" s="1"/>
  <c r="K28" i="35"/>
  <c r="H52" i="17"/>
  <c r="H55" i="17" s="1"/>
  <c r="H8" i="37" s="1"/>
  <c r="I28" i="35"/>
  <c r="J42" i="6"/>
  <c r="J44" i="6"/>
  <c r="F44" i="6"/>
  <c r="F42" i="6"/>
  <c r="E16" i="5"/>
  <c r="G16" i="5"/>
  <c r="G25" i="5" s="1"/>
  <c r="I16" i="5"/>
  <c r="I25" i="5" s="1"/>
  <c r="F16" i="5"/>
  <c r="H138" i="1"/>
  <c r="I49" i="1" s="1"/>
  <c r="D9" i="4"/>
  <c r="D18" i="4"/>
  <c r="D21" i="4"/>
  <c r="D22" i="4" s="1"/>
  <c r="D23" i="4" s="1"/>
  <c r="I8" i="4" s="1"/>
  <c r="Y40" i="1"/>
  <c r="X40" i="1" s="1"/>
  <c r="W40" i="1" s="1"/>
  <c r="AA40" i="1"/>
  <c r="AB40" i="1" s="1"/>
  <c r="AC40" i="1" s="1"/>
  <c r="V44" i="1"/>
  <c r="V43" i="1" s="1"/>
  <c r="V42" i="1" s="1"/>
  <c r="V41" i="1" s="1"/>
  <c r="V46" i="1"/>
  <c r="V47" i="1" s="1"/>
  <c r="V48" i="1" s="1"/>
  <c r="V49" i="1" s="1"/>
  <c r="I58" i="1"/>
  <c r="I47" i="1"/>
  <c r="AG12" i="1"/>
  <c r="AG10" i="1"/>
  <c r="G86" i="1"/>
  <c r="G85" i="1"/>
  <c r="G84" i="1"/>
  <c r="I236" i="1"/>
  <c r="H32" i="1"/>
  <c r="I232" i="1"/>
  <c r="I231" i="1"/>
  <c r="J229" i="1"/>
  <c r="L229" i="1" s="1"/>
  <c r="N229" i="1" s="1"/>
  <c r="J228" i="1"/>
  <c r="L228" i="1" s="1"/>
  <c r="N228" i="1" s="1"/>
  <c r="J227" i="1"/>
  <c r="L227" i="1" s="1"/>
  <c r="N227" i="1" s="1"/>
  <c r="J226" i="1"/>
  <c r="L226" i="1" s="1"/>
  <c r="N226" i="1" s="1"/>
  <c r="J225" i="1"/>
  <c r="L225" i="1" s="1"/>
  <c r="N225" i="1" s="1"/>
  <c r="J224" i="1"/>
  <c r="L224" i="1" s="1"/>
  <c r="N224" i="1" s="1"/>
  <c r="J223" i="1"/>
  <c r="L223" i="1" s="1"/>
  <c r="N223" i="1" s="1"/>
  <c r="I141" i="1"/>
  <c r="I122" i="1"/>
  <c r="I120" i="1"/>
  <c r="J120" i="1" s="1"/>
  <c r="K120" i="1" s="1"/>
  <c r="L120" i="1" s="1"/>
  <c r="M120" i="1" s="1"/>
  <c r="N120" i="1" s="1"/>
  <c r="I118" i="1"/>
  <c r="J118" i="1" s="1"/>
  <c r="K118" i="1" s="1"/>
  <c r="L118" i="1" s="1"/>
  <c r="M118" i="1" s="1"/>
  <c r="N118" i="1" s="1"/>
  <c r="O118" i="1" s="1"/>
  <c r="I117" i="1"/>
  <c r="J117" i="1" s="1"/>
  <c r="K117" i="1" s="1"/>
  <c r="L117" i="1" s="1"/>
  <c r="M117" i="1" s="1"/>
  <c r="N117" i="1" s="1"/>
  <c r="O117" i="1" s="1"/>
  <c r="I108" i="1"/>
  <c r="J108" i="1" s="1"/>
  <c r="K108" i="1" s="1"/>
  <c r="L108" i="1" s="1"/>
  <c r="M108" i="1" s="1"/>
  <c r="N108" i="1" s="1"/>
  <c r="O108" i="1" s="1"/>
  <c r="I53" i="1"/>
  <c r="I52" i="1"/>
  <c r="I224" i="1"/>
  <c r="K224" i="1" s="1"/>
  <c r="M224" i="1" s="1"/>
  <c r="O224" i="1" s="1"/>
  <c r="I225" i="1"/>
  <c r="K225" i="1" s="1"/>
  <c r="M225" i="1" s="1"/>
  <c r="O225" i="1" s="1"/>
  <c r="I226" i="1"/>
  <c r="K226" i="1" s="1"/>
  <c r="M226" i="1" s="1"/>
  <c r="O226" i="1" s="1"/>
  <c r="I227" i="1"/>
  <c r="K227" i="1" s="1"/>
  <c r="M227" i="1" s="1"/>
  <c r="O227" i="1" s="1"/>
  <c r="I228" i="1"/>
  <c r="K228" i="1" s="1"/>
  <c r="M228" i="1" s="1"/>
  <c r="O228" i="1" s="1"/>
  <c r="I229" i="1"/>
  <c r="K229" i="1" s="1"/>
  <c r="M229" i="1" s="1"/>
  <c r="O229" i="1" s="1"/>
  <c r="I223" i="1"/>
  <c r="K223" i="1" s="1"/>
  <c r="M223" i="1" s="1"/>
  <c r="O223" i="1" s="1"/>
  <c r="K218" i="1"/>
  <c r="L218" i="1"/>
  <c r="M218" i="1"/>
  <c r="N218" i="1"/>
  <c r="O218" i="1"/>
  <c r="J218" i="1"/>
  <c r="J215" i="1"/>
  <c r="J185" i="1"/>
  <c r="K185" i="1" s="1"/>
  <c r="L185" i="1" s="1"/>
  <c r="M185" i="1" s="1"/>
  <c r="N185" i="1" s="1"/>
  <c r="O185" i="1" s="1"/>
  <c r="I103" i="1"/>
  <c r="J103" i="1" s="1"/>
  <c r="K103" i="1" s="1"/>
  <c r="L103" i="1" s="1"/>
  <c r="M103" i="1" s="1"/>
  <c r="N103" i="1" s="1"/>
  <c r="O103" i="1" s="1"/>
  <c r="I129" i="1"/>
  <c r="J129" i="1" s="1"/>
  <c r="C106" i="1"/>
  <c r="D106" i="1"/>
  <c r="E106" i="1"/>
  <c r="F106" i="1"/>
  <c r="G106" i="1"/>
  <c r="I72" i="1"/>
  <c r="O54" i="1"/>
  <c r="N54" i="1"/>
  <c r="M54" i="1"/>
  <c r="L54" i="1"/>
  <c r="K54" i="1"/>
  <c r="J54" i="1"/>
  <c r="K52" i="1"/>
  <c r="L52" i="1"/>
  <c r="M52" i="1"/>
  <c r="N52" i="1"/>
  <c r="O52" i="1"/>
  <c r="K53" i="1"/>
  <c r="L53" i="1"/>
  <c r="M53" i="1"/>
  <c r="N53" i="1"/>
  <c r="O53" i="1"/>
  <c r="J53" i="1"/>
  <c r="J52" i="1"/>
  <c r="U32" i="1"/>
  <c r="AI37" i="1" s="1"/>
  <c r="F7" i="1"/>
  <c r="M21" i="1" s="1"/>
  <c r="K21" i="1"/>
  <c r="L21" i="1"/>
  <c r="J21" i="1"/>
  <c r="M22" i="1"/>
  <c r="C2" i="1"/>
  <c r="D2" i="1"/>
  <c r="K22" i="1" s="1"/>
  <c r="E2" i="1"/>
  <c r="L22" i="1" s="1"/>
  <c r="K14" i="1"/>
  <c r="L14" i="1"/>
  <c r="M14" i="1"/>
  <c r="J14" i="1"/>
  <c r="I14" i="1"/>
  <c r="J12" i="1"/>
  <c r="K12" i="1"/>
  <c r="L12" i="1"/>
  <c r="M12" i="1"/>
  <c r="I12" i="1"/>
  <c r="I32" i="1"/>
  <c r="I35" i="1"/>
  <c r="G33" i="1"/>
  <c r="H33" i="1" s="1"/>
  <c r="F35" i="1"/>
  <c r="F34" i="1"/>
  <c r="F33" i="1"/>
  <c r="D35" i="1"/>
  <c r="D34" i="1"/>
  <c r="D33" i="1"/>
  <c r="D32" i="1"/>
  <c r="E35" i="1"/>
  <c r="E34" i="1"/>
  <c r="E33" i="1"/>
  <c r="A37" i="2"/>
  <c r="A35" i="2"/>
  <c r="A34" i="2"/>
  <c r="K23" i="2"/>
  <c r="J23" i="2"/>
  <c r="I23" i="2"/>
  <c r="G23" i="2"/>
  <c r="K22" i="2"/>
  <c r="J22" i="2"/>
  <c r="I22" i="2"/>
  <c r="G22" i="2"/>
  <c r="R20" i="2"/>
  <c r="S20" i="2" s="1"/>
  <c r="T17" i="2"/>
  <c r="Q17" i="2"/>
  <c r="R17" i="2"/>
  <c r="S17" i="2" s="1"/>
  <c r="R16" i="2"/>
  <c r="W7" i="2"/>
  <c r="X42" i="2" s="1"/>
  <c r="AA25" i="1"/>
  <c r="AA5" i="1"/>
  <c r="Z5" i="1"/>
  <c r="Y5" i="1"/>
  <c r="X5" i="1"/>
  <c r="W5" i="1"/>
  <c r="V5" i="1"/>
  <c r="U5" i="1"/>
  <c r="F26" i="35" l="1"/>
  <c r="H37" i="31"/>
  <c r="B5" i="50"/>
  <c r="C5" i="50" s="1"/>
  <c r="H3" i="50"/>
  <c r="F19" i="31"/>
  <c r="F22" i="31" s="1"/>
  <c r="F31" i="31" s="1"/>
  <c r="G37" i="31"/>
  <c r="I19" i="37"/>
  <c r="G20" i="23"/>
  <c r="K20" i="23"/>
  <c r="E169" i="24" a="1"/>
  <c r="E89" i="24" a="1"/>
  <c r="G36" i="17"/>
  <c r="G19" i="37"/>
  <c r="H11" i="37"/>
  <c r="H13" i="37"/>
  <c r="I11" i="37"/>
  <c r="I13" i="37"/>
  <c r="J11" i="37"/>
  <c r="J13" i="37"/>
  <c r="M33" i="18"/>
  <c r="N33" i="18"/>
  <c r="O33" i="18"/>
  <c r="P33" i="18"/>
  <c r="Q33" i="18"/>
  <c r="J20" i="23"/>
  <c r="L20" i="23"/>
  <c r="H20" i="23"/>
  <c r="I20" i="23"/>
  <c r="G47" i="5"/>
  <c r="F49" i="5"/>
  <c r="I49" i="5"/>
  <c r="K11" i="21" s="1"/>
  <c r="E47" i="5"/>
  <c r="K129" i="1"/>
  <c r="G34" i="31"/>
  <c r="G35" i="31" s="1"/>
  <c r="I32" i="35"/>
  <c r="E52" i="17"/>
  <c r="E55" i="17" s="1"/>
  <c r="F28" i="35"/>
  <c r="J45" i="17"/>
  <c r="K30" i="35"/>
  <c r="J47" i="17"/>
  <c r="J9" i="37"/>
  <c r="I34" i="31"/>
  <c r="I35" i="31" s="1"/>
  <c r="K32" i="35"/>
  <c r="I47" i="17"/>
  <c r="I9" i="37"/>
  <c r="J30" i="35"/>
  <c r="I45" i="17"/>
  <c r="H9" i="37"/>
  <c r="H47" i="17"/>
  <c r="H45" i="17"/>
  <c r="I30" i="35"/>
  <c r="H28" i="35"/>
  <c r="G41" i="17"/>
  <c r="G52" i="17"/>
  <c r="G55" i="17" s="1"/>
  <c r="H34" i="31"/>
  <c r="H35" i="31" s="1"/>
  <c r="J32" i="35"/>
  <c r="D10" i="4"/>
  <c r="D11" i="4" s="1"/>
  <c r="J35" i="1"/>
  <c r="K35" i="1" s="1"/>
  <c r="L35" i="1" s="1"/>
  <c r="M35" i="1" s="1"/>
  <c r="N35" i="1" s="1"/>
  <c r="O35" i="1" s="1"/>
  <c r="I23" i="1"/>
  <c r="AA17" i="1"/>
  <c r="AG8" i="1" s="1"/>
  <c r="AU15" i="1"/>
  <c r="G44" i="6"/>
  <c r="G42" i="6"/>
  <c r="H44" i="6"/>
  <c r="H42" i="6"/>
  <c r="I42" i="6"/>
  <c r="I44" i="6"/>
  <c r="H16" i="5"/>
  <c r="H25" i="5" s="1"/>
  <c r="I201" i="1"/>
  <c r="I202" i="1" s="1"/>
  <c r="J122" i="1"/>
  <c r="K122" i="1" s="1"/>
  <c r="L122" i="1" s="1"/>
  <c r="M122" i="1" s="1"/>
  <c r="N122" i="1" s="1"/>
  <c r="O122" i="1" s="1"/>
  <c r="J141" i="1"/>
  <c r="O120" i="1"/>
  <c r="O119" i="1" s="1"/>
  <c r="N119" i="1"/>
  <c r="J22" i="1"/>
  <c r="P17" i="2"/>
  <c r="S15" i="2"/>
  <c r="N22" i="2"/>
  <c r="R19" i="2"/>
  <c r="S19" i="2" s="1"/>
  <c r="I33" i="1"/>
  <c r="I22" i="1" s="1"/>
  <c r="S16" i="2"/>
  <c r="H22" i="2"/>
  <c r="M23" i="2"/>
  <c r="N23" i="2"/>
  <c r="X40" i="2"/>
  <c r="R21" i="2"/>
  <c r="S21" i="2" s="1"/>
  <c r="R24" i="2"/>
  <c r="S24" i="2" s="1"/>
  <c r="X41" i="2"/>
  <c r="M22" i="2"/>
  <c r="X39" i="2"/>
  <c r="X43" i="2"/>
  <c r="H23" i="2"/>
  <c r="X38" i="2"/>
  <c r="F37" i="31" l="1"/>
  <c r="B6" i="50"/>
  <c r="C6" i="50" s="1"/>
  <c r="I3" i="50"/>
  <c r="G13" i="37"/>
  <c r="G11" i="37"/>
  <c r="G49" i="5"/>
  <c r="H11" i="21" s="1"/>
  <c r="E49" i="5"/>
  <c r="F47" i="5"/>
  <c r="H47" i="5"/>
  <c r="I47" i="5"/>
  <c r="L129" i="1"/>
  <c r="E20" i="37"/>
  <c r="E8" i="37"/>
  <c r="G9" i="37"/>
  <c r="H30" i="35"/>
  <c r="G45" i="17"/>
  <c r="G47" i="17"/>
  <c r="F34" i="31"/>
  <c r="F35" i="31" s="1"/>
  <c r="H32" i="35"/>
  <c r="G20" i="37"/>
  <c r="G8" i="37"/>
  <c r="J18" i="31"/>
  <c r="J24" i="31" s="1"/>
  <c r="H49" i="5"/>
  <c r="I31" i="1"/>
  <c r="K141" i="1"/>
  <c r="J201" i="1"/>
  <c r="J202" i="1" s="1"/>
  <c r="B5" i="1"/>
  <c r="R22" i="2"/>
  <c r="S23" i="2"/>
  <c r="S22" i="2"/>
  <c r="R23" i="2"/>
  <c r="P11" i="17" l="1"/>
  <c r="J3" i="50" s="1"/>
  <c r="B7" i="50"/>
  <c r="C7" i="50" s="1"/>
  <c r="I11" i="21"/>
  <c r="G11" i="21"/>
  <c r="M129" i="1"/>
  <c r="I94" i="1"/>
  <c r="L23" i="35"/>
  <c r="C5" i="1"/>
  <c r="D6" i="1" s="1"/>
  <c r="C6" i="1"/>
  <c r="J11" i="21"/>
  <c r="I26" i="1"/>
  <c r="B268" i="1" s="1"/>
  <c r="L141" i="1"/>
  <c r="K201" i="1"/>
  <c r="K202" i="1" s="1"/>
  <c r="Q11" i="17" l="1"/>
  <c r="K3" i="50" s="1"/>
  <c r="I237" i="1"/>
  <c r="N129" i="1"/>
  <c r="L26" i="35"/>
  <c r="J19" i="31"/>
  <c r="L24" i="35"/>
  <c r="J33" i="1"/>
  <c r="D5" i="1"/>
  <c r="E6" i="1" s="1"/>
  <c r="J25" i="31"/>
  <c r="M141" i="1"/>
  <c r="L201" i="1"/>
  <c r="L202" i="1" s="1"/>
  <c r="D7" i="32" l="1"/>
  <c r="K33" i="1"/>
  <c r="E5" i="1"/>
  <c r="F6" i="1" s="1"/>
  <c r="O129" i="1"/>
  <c r="L28" i="35"/>
  <c r="N141" i="1"/>
  <c r="M201" i="1"/>
  <c r="M202" i="1" s="1"/>
  <c r="F5" i="1" l="1"/>
  <c r="L33" i="1"/>
  <c r="K8" i="37"/>
  <c r="K20" i="37"/>
  <c r="O141" i="1"/>
  <c r="O201" i="1" s="1"/>
  <c r="O202" i="1" s="1"/>
  <c r="N201" i="1"/>
  <c r="N202" i="1" s="1"/>
  <c r="I21" i="1"/>
  <c r="J32" i="1"/>
  <c r="K32" i="1" s="1"/>
  <c r="W33" i="31" l="1"/>
  <c r="I104" i="1"/>
  <c r="I107" i="1"/>
  <c r="I40" i="1"/>
  <c r="I121" i="1" s="1"/>
  <c r="I186" i="1"/>
  <c r="I149" i="1" s="1"/>
  <c r="I130" i="1"/>
  <c r="I123" i="1"/>
  <c r="I131" i="1"/>
  <c r="I208" i="1" s="1"/>
  <c r="I43" i="1"/>
  <c r="L32" i="1"/>
  <c r="M32" i="1" s="1"/>
  <c r="K31" i="1"/>
  <c r="J31" i="1"/>
  <c r="U7" i="1"/>
  <c r="J94" i="1" l="1"/>
  <c r="K186" i="1"/>
  <c r="K203" i="1" s="1"/>
  <c r="K222" i="1" s="1"/>
  <c r="J237" i="1"/>
  <c r="K94" i="1"/>
  <c r="I112" i="1"/>
  <c r="I109" i="1"/>
  <c r="I111" i="1"/>
  <c r="I203" i="1"/>
  <c r="I221" i="1" s="1"/>
  <c r="I39" i="1"/>
  <c r="I113" i="1" s="1"/>
  <c r="I207" i="1"/>
  <c r="J40" i="1"/>
  <c r="K40" i="1" s="1"/>
  <c r="J186" i="1"/>
  <c r="J149" i="1" s="1"/>
  <c r="K149" i="1" s="1"/>
  <c r="J107" i="1"/>
  <c r="J104" i="1"/>
  <c r="K104" i="1" s="1"/>
  <c r="K221" i="1"/>
  <c r="K234" i="1" s="1"/>
  <c r="J131" i="1"/>
  <c r="J208" i="1" s="1"/>
  <c r="J130" i="1"/>
  <c r="J123" i="1"/>
  <c r="I124" i="1"/>
  <c r="I98" i="1"/>
  <c r="I102" i="1"/>
  <c r="J44" i="1"/>
  <c r="J43" i="1"/>
  <c r="K43" i="1"/>
  <c r="K44" i="1"/>
  <c r="K41" i="1"/>
  <c r="AM43" i="1" s="1"/>
  <c r="I143" i="1"/>
  <c r="I132" i="1"/>
  <c r="I144" i="1"/>
  <c r="J41" i="1"/>
  <c r="AL43" i="1" s="1"/>
  <c r="J26" i="1"/>
  <c r="K26" i="1"/>
  <c r="L31" i="1"/>
  <c r="L186" i="1" l="1"/>
  <c r="L203" i="1" s="1"/>
  <c r="L222" i="1" s="1"/>
  <c r="J36" i="1"/>
  <c r="L94" i="1"/>
  <c r="K237" i="1"/>
  <c r="K36" i="1"/>
  <c r="I206" i="1"/>
  <c r="J112" i="1"/>
  <c r="J109" i="1"/>
  <c r="J111" i="1"/>
  <c r="I222" i="1"/>
  <c r="I234" i="1"/>
  <c r="K107" i="1"/>
  <c r="J39" i="1"/>
  <c r="K130" i="1"/>
  <c r="K207" i="1" s="1"/>
  <c r="J207" i="1"/>
  <c r="J203" i="1"/>
  <c r="L40" i="1"/>
  <c r="K131" i="1"/>
  <c r="K208" i="1" s="1"/>
  <c r="J144" i="1"/>
  <c r="K144" i="1" s="1"/>
  <c r="L104" i="1"/>
  <c r="J124" i="1"/>
  <c r="J125" i="1" s="1"/>
  <c r="K123" i="1"/>
  <c r="I125" i="1"/>
  <c r="K42" i="1"/>
  <c r="K45" i="1" s="1"/>
  <c r="J102" i="1"/>
  <c r="I97" i="1"/>
  <c r="I99" i="1"/>
  <c r="J98" i="1"/>
  <c r="L44" i="1"/>
  <c r="L43" i="1"/>
  <c r="I142" i="1"/>
  <c r="I209" i="1" s="1"/>
  <c r="W6" i="1"/>
  <c r="V6" i="1"/>
  <c r="V7" i="1" s="1"/>
  <c r="J132" i="1"/>
  <c r="J143" i="1"/>
  <c r="L41" i="1"/>
  <c r="AN43" i="1" s="1"/>
  <c r="N32" i="1"/>
  <c r="M31" i="1"/>
  <c r="L26" i="1"/>
  <c r="X6" i="1" s="1"/>
  <c r="L221" i="1" l="1"/>
  <c r="L234" i="1" s="1"/>
  <c r="L149" i="1"/>
  <c r="M186" i="1"/>
  <c r="M203" i="1" s="1"/>
  <c r="M222" i="1" s="1"/>
  <c r="I205" i="1"/>
  <c r="U11" i="1" s="1"/>
  <c r="L36" i="1"/>
  <c r="L237" i="1"/>
  <c r="M94" i="1"/>
  <c r="L131" i="1"/>
  <c r="L208" i="1" s="1"/>
  <c r="K112" i="1"/>
  <c r="K109" i="1"/>
  <c r="K111" i="1"/>
  <c r="M104" i="1"/>
  <c r="M40" i="1"/>
  <c r="L130" i="1"/>
  <c r="L207" i="1" s="1"/>
  <c r="J222" i="1"/>
  <c r="J221" i="1"/>
  <c r="J113" i="1"/>
  <c r="K39" i="1"/>
  <c r="K102" i="1"/>
  <c r="M221" i="1"/>
  <c r="M234" i="1" s="1"/>
  <c r="L107" i="1"/>
  <c r="L123" i="1"/>
  <c r="K124" i="1"/>
  <c r="K77" i="1"/>
  <c r="K243" i="1" s="1"/>
  <c r="J99" i="1"/>
  <c r="K98" i="1"/>
  <c r="J97" i="1"/>
  <c r="J206" i="1" s="1"/>
  <c r="M44" i="1"/>
  <c r="M43" i="1"/>
  <c r="L42" i="1"/>
  <c r="L45" i="1" s="1"/>
  <c r="L144" i="1"/>
  <c r="W7" i="1"/>
  <c r="X7" i="1" s="1"/>
  <c r="J135" i="1"/>
  <c r="AL53" i="1" s="1"/>
  <c r="K132" i="1"/>
  <c r="J142" i="1"/>
  <c r="K143" i="1"/>
  <c r="M41" i="1"/>
  <c r="AO43" i="1" s="1"/>
  <c r="I15" i="1" a="1"/>
  <c r="M26" i="1"/>
  <c r="Y6" i="1" s="1"/>
  <c r="O32" i="1"/>
  <c r="O31" i="1" s="1"/>
  <c r="N31" i="1"/>
  <c r="N186" i="1" l="1"/>
  <c r="N203" i="1" s="1"/>
  <c r="N222" i="1" s="1"/>
  <c r="M149" i="1"/>
  <c r="N94" i="1"/>
  <c r="M237" i="1"/>
  <c r="M36" i="1"/>
  <c r="O186" i="1"/>
  <c r="O203" i="1" s="1"/>
  <c r="O221" i="1" s="1"/>
  <c r="O234" i="1" s="1"/>
  <c r="P31" i="1"/>
  <c r="M131" i="1"/>
  <c r="M208" i="1" s="1"/>
  <c r="J234" i="1"/>
  <c r="L111" i="1"/>
  <c r="L112" i="1"/>
  <c r="L109" i="1"/>
  <c r="M130" i="1"/>
  <c r="M207" i="1" s="1"/>
  <c r="L39" i="1"/>
  <c r="L102" i="1"/>
  <c r="M102" i="1" s="1"/>
  <c r="N104" i="1"/>
  <c r="O104" i="1" s="1"/>
  <c r="K113" i="1"/>
  <c r="M107" i="1"/>
  <c r="J209" i="1"/>
  <c r="J205" i="1" s="1"/>
  <c r="V11" i="1" s="1"/>
  <c r="N40" i="1"/>
  <c r="O40" i="1" s="1"/>
  <c r="L124" i="1"/>
  <c r="L125" i="1" s="1"/>
  <c r="M123" i="1"/>
  <c r="K125" i="1"/>
  <c r="L98" i="1"/>
  <c r="K99" i="1"/>
  <c r="K97" i="1"/>
  <c r="K206" i="1" s="1"/>
  <c r="M42" i="1"/>
  <c r="M45" i="1" s="1"/>
  <c r="L77" i="1"/>
  <c r="L243" i="1" s="1"/>
  <c r="N43" i="1"/>
  <c r="N44" i="1"/>
  <c r="O43" i="1"/>
  <c r="O44" i="1"/>
  <c r="L132" i="1"/>
  <c r="M144" i="1"/>
  <c r="L143" i="1"/>
  <c r="K142" i="1"/>
  <c r="K209" i="1" s="1"/>
  <c r="J17" i="1"/>
  <c r="L17" i="1"/>
  <c r="M17" i="1"/>
  <c r="K17" i="1"/>
  <c r="N41" i="1"/>
  <c r="AP43" i="1" s="1"/>
  <c r="O41" i="1"/>
  <c r="AQ43" i="1" s="1"/>
  <c r="K16" i="1"/>
  <c r="L16" i="1"/>
  <c r="M16" i="1"/>
  <c r="Y7" i="1"/>
  <c r="N26" i="1"/>
  <c r="Z6" i="1" s="1"/>
  <c r="O26" i="1"/>
  <c r="AA6" i="1" s="1"/>
  <c r="AG9" i="1" s="1"/>
  <c r="N149" i="1" l="1"/>
  <c r="O149" i="1" s="1"/>
  <c r="O222" i="1"/>
  <c r="N221" i="1"/>
  <c r="N234" i="1" s="1"/>
  <c r="N36" i="1"/>
  <c r="N131" i="1"/>
  <c r="O131" i="1" s="1"/>
  <c r="O208" i="1" s="1"/>
  <c r="N237" i="1"/>
  <c r="O94" i="1"/>
  <c r="N130" i="1"/>
  <c r="O130" i="1" s="1"/>
  <c r="O207" i="1" s="1"/>
  <c r="M111" i="1"/>
  <c r="M112" i="1"/>
  <c r="M109" i="1"/>
  <c r="L113" i="1"/>
  <c r="M39" i="1"/>
  <c r="N107" i="1"/>
  <c r="K205" i="1"/>
  <c r="W11" i="1" s="1"/>
  <c r="N123" i="1"/>
  <c r="M124" i="1"/>
  <c r="M77" i="1"/>
  <c r="M243" i="1" s="1"/>
  <c r="N144" i="1"/>
  <c r="O144" i="1" s="1"/>
  <c r="M98" i="1"/>
  <c r="L99" i="1"/>
  <c r="L97" i="1"/>
  <c r="L206" i="1" s="1"/>
  <c r="N102" i="1"/>
  <c r="O36" i="1"/>
  <c r="O42" i="1"/>
  <c r="O45" i="1" s="1"/>
  <c r="N42" i="1"/>
  <c r="N45" i="1" s="1"/>
  <c r="M143" i="1"/>
  <c r="L142" i="1"/>
  <c r="M132" i="1"/>
  <c r="L135" i="1"/>
  <c r="AN53" i="1" s="1"/>
  <c r="I16" i="1"/>
  <c r="I17" i="1"/>
  <c r="Z7" i="1"/>
  <c r="AA7" i="1" s="1"/>
  <c r="J16" i="1"/>
  <c r="O237" i="1" l="1"/>
  <c r="N208" i="1"/>
  <c r="N207" i="1"/>
  <c r="M113" i="1"/>
  <c r="L209" i="1"/>
  <c r="L205" i="1" s="1"/>
  <c r="X11" i="1" s="1"/>
  <c r="N112" i="1"/>
  <c r="N109" i="1"/>
  <c r="O107" i="1"/>
  <c r="N111" i="1"/>
  <c r="O102" i="1"/>
  <c r="N39" i="1"/>
  <c r="N124" i="1"/>
  <c r="N125" i="1" s="1"/>
  <c r="O123" i="1"/>
  <c r="M125" i="1"/>
  <c r="N77" i="1"/>
  <c r="N243" i="1" s="1"/>
  <c r="N200" i="1"/>
  <c r="M99" i="1"/>
  <c r="N98" i="1"/>
  <c r="M97" i="1"/>
  <c r="M206" i="1" s="1"/>
  <c r="O200" i="1"/>
  <c r="O77" i="1"/>
  <c r="O243" i="1" s="1"/>
  <c r="I135" i="1"/>
  <c r="AK53" i="1" s="1"/>
  <c r="N143" i="1"/>
  <c r="M142" i="1"/>
  <c r="M209" i="1" s="1"/>
  <c r="N132" i="1"/>
  <c r="J42" i="1"/>
  <c r="J45" i="1" s="1"/>
  <c r="O98" i="1" l="1"/>
  <c r="O97" i="1" s="1"/>
  <c r="N113" i="1"/>
  <c r="O39" i="1"/>
  <c r="O112" i="1"/>
  <c r="O109" i="1"/>
  <c r="O111" i="1"/>
  <c r="M205" i="1"/>
  <c r="Y11" i="1" s="1"/>
  <c r="O124" i="1"/>
  <c r="O125" i="1" s="1"/>
  <c r="N99" i="1"/>
  <c r="N97" i="1"/>
  <c r="N206" i="1" s="1"/>
  <c r="J77" i="1"/>
  <c r="J243" i="1" s="1"/>
  <c r="O132" i="1"/>
  <c r="N135" i="1"/>
  <c r="AP53" i="1" s="1"/>
  <c r="O143" i="1"/>
  <c r="O142" i="1" s="1"/>
  <c r="N142" i="1"/>
  <c r="O99" i="1" l="1"/>
  <c r="O113" i="1"/>
  <c r="O206" i="1"/>
  <c r="O209" i="1"/>
  <c r="N209" i="1"/>
  <c r="N205" i="1" s="1"/>
  <c r="Z11" i="1" s="1"/>
  <c r="K135" i="1"/>
  <c r="AM53" i="1" s="1"/>
  <c r="M135" i="1"/>
  <c r="AO53" i="1" s="1"/>
  <c r="O205" i="1" l="1"/>
  <c r="AA11" i="1" s="1"/>
  <c r="O135" i="1"/>
  <c r="AQ53" i="1" s="1"/>
  <c r="I200" i="1" l="1"/>
  <c r="I119" i="1" l="1"/>
  <c r="K200" i="1"/>
  <c r="L200" i="1"/>
  <c r="J200" i="1"/>
  <c r="M200" i="1"/>
  <c r="J121" i="1"/>
  <c r="K121" i="1" s="1"/>
  <c r="K119" i="1" l="1"/>
  <c r="L121" i="1"/>
  <c r="J119" i="1"/>
  <c r="M121" i="1" l="1"/>
  <c r="M119" i="1" s="1"/>
  <c r="L119" i="1"/>
  <c r="N106" i="1"/>
  <c r="O106" i="1"/>
  <c r="M106" i="1"/>
  <c r="L106" i="1"/>
  <c r="J106" i="1"/>
  <c r="K106" i="1"/>
  <c r="I106" i="1"/>
  <c r="I199" i="1"/>
  <c r="O212" i="1" l="1"/>
  <c r="J38" i="1"/>
  <c r="J76" i="1" s="1"/>
  <c r="AL44" i="1" s="1"/>
  <c r="I212" i="1"/>
  <c r="L212" i="1"/>
  <c r="K212" i="1"/>
  <c r="J212" i="1"/>
  <c r="N212" i="1"/>
  <c r="M212" i="1"/>
  <c r="I38" i="1"/>
  <c r="J199" i="1"/>
  <c r="J37" i="1" l="1"/>
  <c r="V9" i="1"/>
  <c r="J198" i="1"/>
  <c r="J78" i="1"/>
  <c r="I219" i="1"/>
  <c r="I213" i="1"/>
  <c r="U10" i="1"/>
  <c r="V10" i="1"/>
  <c r="J219" i="1"/>
  <c r="J213" i="1"/>
  <c r="L219" i="1"/>
  <c r="L213" i="1"/>
  <c r="X10" i="1"/>
  <c r="M219" i="1"/>
  <c r="M213" i="1"/>
  <c r="Y10" i="1"/>
  <c r="Z10" i="1"/>
  <c r="N219" i="1"/>
  <c r="N213" i="1"/>
  <c r="K219" i="1"/>
  <c r="K213" i="1"/>
  <c r="W10" i="1"/>
  <c r="AA10" i="1"/>
  <c r="O219" i="1"/>
  <c r="O213" i="1"/>
  <c r="K38" i="1"/>
  <c r="K199" i="1"/>
  <c r="I78" i="1"/>
  <c r="I198" i="1"/>
  <c r="U9" i="1"/>
  <c r="K37" i="1" l="1"/>
  <c r="W9" i="1"/>
  <c r="K198" i="1"/>
  <c r="K78" i="1"/>
  <c r="K76" i="1"/>
  <c r="AM44" i="1" s="1"/>
  <c r="L38" i="1"/>
  <c r="L199" i="1"/>
  <c r="M199" i="1" l="1"/>
  <c r="M38" i="1"/>
  <c r="L37" i="1"/>
  <c r="X9" i="1"/>
  <c r="L78" i="1"/>
  <c r="L76" i="1"/>
  <c r="AN44" i="1" s="1"/>
  <c r="L198" i="1"/>
  <c r="N38" i="1" l="1"/>
  <c r="N199" i="1"/>
  <c r="M78" i="1"/>
  <c r="Y9" i="1"/>
  <c r="M198" i="1"/>
  <c r="M76" i="1"/>
  <c r="AO44" i="1" s="1"/>
  <c r="M37" i="1"/>
  <c r="N78" i="1" l="1"/>
  <c r="N37" i="1"/>
  <c r="Z9" i="1"/>
  <c r="N76" i="1"/>
  <c r="AP44" i="1" s="1"/>
  <c r="N198" i="1"/>
  <c r="O38" i="1"/>
  <c r="AA9" i="1" s="1"/>
  <c r="O199" i="1"/>
  <c r="O198" i="1" l="1"/>
  <c r="O37" i="1"/>
  <c r="O78" i="1"/>
  <c r="O76" i="1"/>
  <c r="AQ44" i="1" s="1"/>
  <c r="I46" i="1"/>
  <c r="J58" i="1" l="1"/>
  <c r="I45" i="1" s="1"/>
  <c r="AK55" i="1" s="1"/>
  <c r="I76" i="1" l="1"/>
  <c r="AK44" i="1" s="1"/>
  <c r="I77" i="1"/>
  <c r="I243" i="1" s="1"/>
  <c r="I105" i="1" l="1"/>
  <c r="AK52" i="1" s="1"/>
  <c r="J47" i="1"/>
  <c r="J46" i="1" s="1"/>
  <c r="U23" i="1"/>
  <c r="AI29" i="1"/>
  <c r="I95" i="1"/>
  <c r="I126" i="1" l="1"/>
  <c r="AK46" i="1" l="1"/>
  <c r="B269" i="1"/>
  <c r="B270" i="1" s="1"/>
  <c r="I41" i="1"/>
  <c r="AK43" i="1" s="1"/>
  <c r="I42" i="1" l="1"/>
  <c r="I44" i="1" s="1"/>
  <c r="I36" i="1"/>
  <c r="I37" i="1" l="1"/>
  <c r="U12" i="1"/>
  <c r="I50" i="1"/>
  <c r="I57" i="1"/>
  <c r="I64" i="1" s="1"/>
  <c r="AK47" i="1" l="1"/>
  <c r="AK45" i="1"/>
  <c r="I195" i="1"/>
  <c r="I204" i="1" s="1"/>
  <c r="I210" i="1" s="1"/>
  <c r="I187" i="1" s="1"/>
  <c r="I150" i="1" s="1"/>
  <c r="U8" i="1"/>
  <c r="U13" i="1" s="1"/>
  <c r="B271" i="1"/>
  <c r="B276" i="1" s="1"/>
  <c r="I71" i="1"/>
  <c r="I238" i="1" l="1"/>
  <c r="U14" i="1"/>
  <c r="I184" i="1"/>
  <c r="I147" i="1"/>
  <c r="I154" i="1" s="1"/>
  <c r="AK48" i="1" l="1"/>
  <c r="AK49" i="1"/>
  <c r="I239" i="1"/>
  <c r="I240" i="1" s="1"/>
  <c r="AK50" i="1"/>
  <c r="I155" i="1"/>
  <c r="I138" i="1" s="1"/>
  <c r="J49" i="1" s="1"/>
  <c r="AL55" i="1" s="1"/>
  <c r="I137" i="1" l="1"/>
  <c r="I244" i="1" l="1"/>
  <c r="AI30" i="1"/>
  <c r="AI31" i="1" s="1"/>
  <c r="U24" i="1"/>
  <c r="U25" i="1" s="1"/>
  <c r="AU12" i="1" s="1"/>
  <c r="I145" i="1"/>
  <c r="V12" i="1"/>
  <c r="J50" i="1"/>
  <c r="J57" i="1"/>
  <c r="J64" i="1" s="1"/>
  <c r="AL45" i="1" l="1"/>
  <c r="I156" i="1"/>
  <c r="I183" i="1" s="1"/>
  <c r="J195" i="1"/>
  <c r="J204" i="1" s="1"/>
  <c r="J210" i="1" s="1"/>
  <c r="J187" i="1" s="1"/>
  <c r="V8" i="1"/>
  <c r="V13" i="1" s="1"/>
  <c r="J71" i="1"/>
  <c r="V14" i="1" l="1"/>
  <c r="J184" i="1"/>
  <c r="J238" i="1"/>
  <c r="AL50" i="1" s="1"/>
  <c r="J150" i="1"/>
  <c r="J239" i="1" l="1"/>
  <c r="J240" i="1" s="1"/>
  <c r="J95" i="1"/>
  <c r="J105" i="1"/>
  <c r="AL52" i="1" s="1"/>
  <c r="K47" i="1"/>
  <c r="K46" i="1" s="1"/>
  <c r="J147" i="1"/>
  <c r="J154" i="1" s="1"/>
  <c r="AL49" i="1" s="1"/>
  <c r="J126" i="1" l="1"/>
  <c r="J155" i="1"/>
  <c r="AL48" i="1" l="1"/>
  <c r="AL46" i="1"/>
  <c r="AL47" i="1"/>
  <c r="J138" i="1"/>
  <c r="K49" i="1" s="1"/>
  <c r="AM55" i="1" s="1"/>
  <c r="J137" i="1" l="1"/>
  <c r="K50" i="1"/>
  <c r="W12" i="1"/>
  <c r="K57" i="1"/>
  <c r="J145" i="1" l="1"/>
  <c r="J156" i="1" s="1"/>
  <c r="J183" i="1" s="1"/>
  <c r="AL56" i="1"/>
  <c r="J244" i="1"/>
  <c r="K58" i="1"/>
  <c r="K64" i="1" s="1"/>
  <c r="AM45" i="1" l="1"/>
  <c r="K71" i="1"/>
  <c r="W8" i="1"/>
  <c r="W13" i="1" s="1"/>
  <c r="K195" i="1"/>
  <c r="K204" i="1" s="1"/>
  <c r="K210" i="1" s="1"/>
  <c r="K187" i="1" s="1"/>
  <c r="W14" i="1" l="1"/>
  <c r="K184" i="1"/>
  <c r="K238" i="1"/>
  <c r="AM50" i="1" s="1"/>
  <c r="K150" i="1"/>
  <c r="K239" i="1" l="1"/>
  <c r="K240" i="1" s="1"/>
  <c r="K95" i="1"/>
  <c r="K105" i="1"/>
  <c r="AM52" i="1" s="1"/>
  <c r="L47" i="1"/>
  <c r="L46" i="1" s="1"/>
  <c r="K147" i="1"/>
  <c r="K154" i="1" s="1"/>
  <c r="AM49" i="1" s="1"/>
  <c r="K126" i="1" l="1"/>
  <c r="K155" i="1"/>
  <c r="AM48" i="1" l="1"/>
  <c r="AM46" i="1"/>
  <c r="AM47" i="1"/>
  <c r="K138" i="1"/>
  <c r="L49" i="1" s="1"/>
  <c r="AN55" i="1" s="1"/>
  <c r="K137" i="1" l="1"/>
  <c r="AM56" i="1" s="1"/>
  <c r="X12" i="1"/>
  <c r="L57" i="1"/>
  <c r="L50" i="1"/>
  <c r="K244" i="1" l="1"/>
  <c r="K145" i="1"/>
  <c r="K156" i="1" s="1"/>
  <c r="K183" i="1" s="1"/>
  <c r="L58" i="1"/>
  <c r="L64" i="1" s="1"/>
  <c r="AN45" i="1" l="1"/>
  <c r="X8" i="1"/>
  <c r="X13" i="1" s="1"/>
  <c r="L195" i="1"/>
  <c r="L204" i="1" s="1"/>
  <c r="L210" i="1" s="1"/>
  <c r="L187" i="1" s="1"/>
  <c r="L71" i="1"/>
  <c r="X14" i="1" l="1"/>
  <c r="L184" i="1"/>
  <c r="L150" i="1"/>
  <c r="L238" i="1"/>
  <c r="AN50" i="1" s="1"/>
  <c r="L239" i="1" l="1"/>
  <c r="L240" i="1" s="1"/>
  <c r="M47" i="1"/>
  <c r="M46" i="1" s="1"/>
  <c r="L105" i="1"/>
  <c r="AN52" i="1" s="1"/>
  <c r="L95" i="1"/>
  <c r="L147" i="1"/>
  <c r="L154" i="1" s="1"/>
  <c r="AN49" i="1" s="1"/>
  <c r="L126" i="1" l="1"/>
  <c r="L155" i="1"/>
  <c r="AN48" i="1" l="1"/>
  <c r="AN46" i="1"/>
  <c r="AN47" i="1"/>
  <c r="L138" i="1"/>
  <c r="M49" i="1" s="1"/>
  <c r="AO55" i="1" s="1"/>
  <c r="L137" i="1" l="1"/>
  <c r="M50" i="1"/>
  <c r="M57" i="1"/>
  <c r="Y12" i="1"/>
  <c r="L145" i="1" l="1"/>
  <c r="L156" i="1" s="1"/>
  <c r="L183" i="1" s="1"/>
  <c r="AN56" i="1"/>
  <c r="L244" i="1"/>
  <c r="M58" i="1"/>
  <c r="M64" i="1" s="1"/>
  <c r="AO45" i="1" l="1"/>
  <c r="M195" i="1"/>
  <c r="M204" i="1" s="1"/>
  <c r="M210" i="1" s="1"/>
  <c r="M187" i="1" s="1"/>
  <c r="Y8" i="1"/>
  <c r="Y13" i="1" s="1"/>
  <c r="M71" i="1"/>
  <c r="Y14" i="1" l="1"/>
  <c r="M184" i="1"/>
  <c r="M238" i="1"/>
  <c r="AO50" i="1" s="1"/>
  <c r="M150" i="1"/>
  <c r="M239" i="1" l="1"/>
  <c r="M240" i="1" s="1"/>
  <c r="M105" i="1"/>
  <c r="AO52" i="1" s="1"/>
  <c r="N47" i="1"/>
  <c r="N46" i="1" s="1"/>
  <c r="M95" i="1"/>
  <c r="M147" i="1"/>
  <c r="M154" i="1" s="1"/>
  <c r="AO49" i="1" s="1"/>
  <c r="M126" i="1" l="1"/>
  <c r="M155" i="1"/>
  <c r="AO48" i="1" l="1"/>
  <c r="AO46" i="1"/>
  <c r="AO47" i="1"/>
  <c r="M138" i="1"/>
  <c r="N49" i="1" s="1"/>
  <c r="AP55" i="1" s="1"/>
  <c r="M137" i="1" l="1"/>
  <c r="Z12" i="1"/>
  <c r="N50" i="1"/>
  <c r="N57" i="1"/>
  <c r="M145" i="1" l="1"/>
  <c r="M156" i="1" s="1"/>
  <c r="M183" i="1" s="1"/>
  <c r="AO56" i="1"/>
  <c r="M244" i="1"/>
  <c r="N58" i="1"/>
  <c r="N64" i="1" s="1"/>
  <c r="AP45" i="1" l="1"/>
  <c r="N195" i="1"/>
  <c r="N204" i="1" s="1"/>
  <c r="N210" i="1" s="1"/>
  <c r="N187" i="1" s="1"/>
  <c r="Z8" i="1"/>
  <c r="Z13" i="1" s="1"/>
  <c r="N71" i="1"/>
  <c r="Z14" i="1" l="1"/>
  <c r="N184" i="1"/>
  <c r="N238" i="1"/>
  <c r="AP50" i="1" s="1"/>
  <c r="N150" i="1"/>
  <c r="N239" i="1" l="1"/>
  <c r="N240" i="1" s="1"/>
  <c r="N95" i="1"/>
  <c r="O47" i="1"/>
  <c r="O46" i="1" s="1"/>
  <c r="N105" i="1"/>
  <c r="AP52" i="1" s="1"/>
  <c r="N147" i="1"/>
  <c r="N154" i="1" s="1"/>
  <c r="AP49" i="1" s="1"/>
  <c r="N126" i="1" l="1"/>
  <c r="N155" i="1"/>
  <c r="AP48" i="1" l="1"/>
  <c r="AP46" i="1"/>
  <c r="AP47" i="1"/>
  <c r="N138" i="1"/>
  <c r="O49" i="1" s="1"/>
  <c r="AQ55" i="1" s="1"/>
  <c r="AA12" i="1" l="1"/>
  <c r="N137" i="1"/>
  <c r="N145" i="1"/>
  <c r="O50" i="1"/>
  <c r="O57" i="1"/>
  <c r="N244" i="1" l="1"/>
  <c r="AP56" i="1"/>
  <c r="N156" i="1"/>
  <c r="N183" i="1" s="1"/>
  <c r="O58" i="1"/>
  <c r="O64" i="1" s="1"/>
  <c r="AQ45" i="1" l="1"/>
  <c r="AA8" i="1"/>
  <c r="AA13" i="1" s="1"/>
  <c r="O184" i="1" s="1"/>
  <c r="O195" i="1"/>
  <c r="O204" i="1" s="1"/>
  <c r="O210" i="1" s="1"/>
  <c r="O187" i="1" s="1"/>
  <c r="O71" i="1"/>
  <c r="O150" i="1" l="1"/>
  <c r="O147" i="1" s="1"/>
  <c r="O154" i="1" s="1"/>
  <c r="AQ49" i="1" s="1"/>
  <c r="O238" i="1"/>
  <c r="AQ50" i="1" s="1"/>
  <c r="AA14" i="1"/>
  <c r="AG7" i="1"/>
  <c r="O239" i="1" l="1"/>
  <c r="O240" i="1" s="1"/>
  <c r="O105" i="1"/>
  <c r="AQ52" i="1" s="1"/>
  <c r="O95" i="1"/>
  <c r="O155" i="1"/>
  <c r="AG15" i="1"/>
  <c r="AG16" i="1"/>
  <c r="AG21" i="1"/>
  <c r="U18" i="1" s="1"/>
  <c r="U19" i="1" s="1"/>
  <c r="U21" i="1"/>
  <c r="AI27" i="1"/>
  <c r="O126" i="1" l="1"/>
  <c r="U22" i="1"/>
  <c r="AG17" i="1"/>
  <c r="AQ48" i="1" l="1"/>
  <c r="AQ46" i="1"/>
  <c r="AQ47" i="1"/>
  <c r="U26" i="1"/>
  <c r="AU14" i="1"/>
  <c r="O138" i="1"/>
  <c r="O137" i="1" s="1"/>
  <c r="AQ56" i="1" s="1"/>
  <c r="AG22" i="1"/>
  <c r="AI25" i="1"/>
  <c r="AI26" i="1" s="1"/>
  <c r="AI28" i="1" s="1"/>
  <c r="AI32" i="1" s="1"/>
  <c r="AI35" i="1" s="1"/>
  <c r="AI38" i="1" s="1"/>
  <c r="AG18" i="1"/>
  <c r="U29" i="1" l="1"/>
  <c r="AU13" i="1"/>
  <c r="O145" i="1"/>
  <c r="O244" i="1"/>
  <c r="V40" i="1" l="1"/>
  <c r="U33" i="1"/>
  <c r="O156" i="1"/>
  <c r="O183" i="1" s="1"/>
  <c r="H85" i="7" l="1"/>
  <c r="I85" i="7"/>
  <c r="F85" i="7"/>
  <c r="G85" i="7"/>
  <c r="J85" i="7"/>
  <c r="J21" i="31" l="1"/>
  <c r="J22" i="31" s="1"/>
  <c r="J31" i="31" s="1"/>
  <c r="J37" i="31" l="1"/>
  <c r="L30" i="35"/>
  <c r="K9" i="37"/>
  <c r="J34" i="31"/>
  <c r="J35" i="31" s="1"/>
  <c r="L32" i="35"/>
  <c r="D17" i="32" l="1"/>
  <c r="H8" i="32" l="1"/>
  <c r="H7" i="32"/>
  <c r="H9" i="32"/>
  <c r="H6" i="32"/>
  <c r="D49" i="5" l="1"/>
  <c r="F11" i="21" s="1"/>
  <c r="D47" i="5"/>
  <c r="C11" i="21" l="1"/>
  <c r="E39" i="6" l="1"/>
  <c r="E34" i="17"/>
  <c r="D27" i="31" l="1"/>
  <c r="E19" i="37"/>
  <c r="E31" i="17"/>
  <c r="E42" i="6"/>
  <c r="D11" i="5"/>
  <c r="E44" i="6"/>
  <c r="D20" i="31" l="1"/>
  <c r="D22" i="31" s="1"/>
  <c r="D31" i="31" s="1"/>
  <c r="E36" i="17"/>
  <c r="E41" i="17" s="1"/>
  <c r="E11" i="19"/>
  <c r="E16" i="19" s="1"/>
  <c r="E27" i="19" s="1"/>
  <c r="D16" i="5"/>
  <c r="E9" i="37" l="1"/>
  <c r="E47" i="17"/>
  <c r="F30" i="35"/>
  <c r="E45" i="17"/>
  <c r="D37" i="31"/>
  <c r="E53" i="19"/>
  <c r="E49" i="19"/>
  <c r="D34" i="31" l="1"/>
  <c r="F32" i="35"/>
  <c r="D35" i="31" l="1"/>
  <c r="M34" i="18"/>
  <c r="P34" i="18"/>
  <c r="Q34" i="18"/>
  <c r="N34" i="18"/>
  <c r="O34" i="18"/>
  <c r="Q13" i="19" l="1"/>
  <c r="O13" i="19"/>
  <c r="N13" i="19"/>
  <c r="P13" i="19"/>
  <c r="G11" i="33" l="1"/>
  <c r="G15" i="33" s="1"/>
  <c r="G30" i="33" s="1"/>
  <c r="G16" i="33" l="1"/>
  <c r="G44" i="23" l="1"/>
  <c r="H44" i="23" s="1"/>
  <c r="I44" i="23" s="1"/>
  <c r="J44" i="23" s="1"/>
  <c r="K44" i="23" s="1"/>
  <c r="L44" i="23" s="1"/>
  <c r="G43" i="23" l="1"/>
  <c r="H43" i="23" s="1"/>
  <c r="I43" i="23" s="1"/>
  <c r="J43" i="23" s="1"/>
  <c r="K43" i="23" s="1"/>
  <c r="L43" i="23" s="1"/>
  <c r="G40" i="23"/>
  <c r="G42" i="23" l="1"/>
  <c r="H42" i="23" s="1"/>
  <c r="I42" i="23" s="1"/>
  <c r="J42" i="23" s="1"/>
  <c r="K42" i="23" s="1"/>
  <c r="L42" i="23" s="1"/>
  <c r="H40" i="23"/>
  <c r="I40" i="23" l="1"/>
  <c r="J40" i="23" l="1"/>
  <c r="L40" i="23" l="1"/>
  <c r="K40" i="23"/>
  <c r="F14" i="17" l="1"/>
  <c r="F12" i="17"/>
  <c r="F9" i="17"/>
  <c r="F10" i="37"/>
  <c r="G9" i="17"/>
  <c r="F13" i="17"/>
  <c r="F10" i="43"/>
  <c r="E45" i="24" s="1" a="1"/>
  <c r="F9" i="43"/>
  <c r="E41" i="30" s="1" a="1"/>
  <c r="C9" i="43"/>
  <c r="C61" i="17"/>
  <c r="E61" i="17" s="1"/>
  <c r="F22" i="17"/>
  <c r="G24" i="35" s="1"/>
  <c r="F11" i="43"/>
  <c r="I52" i="24" s="1" a="1"/>
  <c r="F6" i="43"/>
  <c r="I14" i="24" s="1" a="1"/>
  <c r="F12" i="43"/>
  <c r="I65" i="24" s="1" a="1"/>
  <c r="F15" i="21"/>
  <c r="J45" i="25" s="1" a="1"/>
  <c r="F51" i="24" a="1"/>
  <c r="G54" i="24" a="1"/>
  <c r="E53" i="24" a="1"/>
  <c r="F11" i="17"/>
  <c r="E11" i="17" s="1"/>
  <c r="E11" i="31"/>
  <c r="E2" i="31" s="1"/>
  <c r="E48" i="25" l="1" a="1"/>
  <c r="E32" i="24"/>
  <c r="E43" i="30"/>
  <c r="E39" i="30" s="1" a="1"/>
  <c r="J31" i="24" a="1"/>
  <c r="K34" i="24" a="1"/>
  <c r="J35" i="24" a="1"/>
  <c r="F52" i="24" a="1"/>
  <c r="J54" i="24" a="1"/>
  <c r="G46" i="25" a="1"/>
  <c r="E31" i="24" a="1"/>
  <c r="I33" i="24" a="1"/>
  <c r="E33" i="24" a="1"/>
  <c r="K33" i="24" a="1"/>
  <c r="E62" i="17"/>
  <c r="H63" i="24" a="1"/>
  <c r="G64" i="24" a="1"/>
  <c r="E64" i="24" a="1"/>
  <c r="J61" i="24" a="1"/>
  <c r="E61" i="24" a="1"/>
  <c r="G34" i="24" a="1"/>
  <c r="K63" i="24" a="1"/>
  <c r="J33" i="24" a="1"/>
  <c r="G32" i="24"/>
  <c r="I53" i="24" a="1"/>
  <c r="F64" i="24" a="1"/>
  <c r="I31" i="24" a="1"/>
  <c r="K51" i="24" a="1"/>
  <c r="H62" i="24" a="1"/>
  <c r="G35" i="24" a="1"/>
  <c r="F32" i="24"/>
  <c r="G31" i="24" a="1"/>
  <c r="H65" i="24" a="1"/>
  <c r="G65" i="24" a="1"/>
  <c r="F33" i="24" a="1"/>
  <c r="I32" i="24"/>
  <c r="K64" i="24" a="1"/>
  <c r="I64" i="24" a="1"/>
  <c r="G61" i="24" a="1"/>
  <c r="J65" i="24" a="1"/>
  <c r="G33" i="24" a="1"/>
  <c r="J32" i="24"/>
  <c r="I62" i="24" a="1"/>
  <c r="H54" i="24" a="1"/>
  <c r="G62" i="24" a="1"/>
  <c r="F35" i="24" a="1"/>
  <c r="F65" i="24" a="1"/>
  <c r="J63" i="24" a="1"/>
  <c r="J42" i="24" a="1"/>
  <c r="E52" i="24" a="1"/>
  <c r="J64" i="24" a="1"/>
  <c r="J62" i="24" a="1"/>
  <c r="I61" i="24" a="1"/>
  <c r="J34" i="24" a="1"/>
  <c r="H34" i="24" a="1"/>
  <c r="H33" i="24" a="1"/>
  <c r="K41" i="24" a="1"/>
  <c r="E65" i="24" a="1"/>
  <c r="K32" i="24"/>
  <c r="E45" i="30"/>
  <c r="E44" i="30"/>
  <c r="E42" i="30"/>
  <c r="F63" i="24" a="1"/>
  <c r="I63" i="24" a="1"/>
  <c r="E62" i="24" a="1"/>
  <c r="F31" i="24" a="1"/>
  <c r="F34" i="24" a="1"/>
  <c r="E63" i="24" a="1"/>
  <c r="K62" i="24" a="1"/>
  <c r="K65" i="24" a="1"/>
  <c r="H53" i="24" a="1"/>
  <c r="K61" i="24" a="1"/>
  <c r="H31" i="24" a="1"/>
  <c r="F29" i="17"/>
  <c r="F52" i="17" s="1"/>
  <c r="F55" i="17" s="1"/>
  <c r="T24" i="47"/>
  <c r="F61" i="24" a="1"/>
  <c r="F62" i="24" a="1"/>
  <c r="E34" i="24" a="1"/>
  <c r="H35" i="24" a="1"/>
  <c r="K53" i="24" a="1"/>
  <c r="H61" i="24" a="1"/>
  <c r="K31" i="24" a="1"/>
  <c r="I35" i="24" a="1"/>
  <c r="C12" i="43"/>
  <c r="G63" i="24" a="1"/>
  <c r="H64" i="24" a="1"/>
  <c r="I34" i="24" a="1"/>
  <c r="E35" i="24" a="1"/>
  <c r="K35" i="24" a="1"/>
  <c r="H32" i="24"/>
  <c r="C10" i="43"/>
  <c r="K14" i="24" a="1"/>
  <c r="K44" i="24" a="1"/>
  <c r="F45" i="25" a="1"/>
  <c r="K48" i="25" a="1"/>
  <c r="J46" i="25" a="1"/>
  <c r="G45" i="25" a="1"/>
  <c r="K45" i="25" a="1"/>
  <c r="I45" i="25" a="1"/>
  <c r="I48" i="25" a="1"/>
  <c r="C15" i="21"/>
  <c r="F46" i="25" a="1"/>
  <c r="J48" i="25" a="1"/>
  <c r="H48" i="25" a="1"/>
  <c r="H45" i="25" a="1"/>
  <c r="I46" i="25" a="1"/>
  <c r="K46" i="25" a="1"/>
  <c r="H46" i="25" a="1"/>
  <c r="G48" i="25" a="1"/>
  <c r="E45" i="25" a="1"/>
  <c r="F48" i="25" a="1"/>
  <c r="E46" i="25" a="1"/>
  <c r="F14" i="24" a="1"/>
  <c r="J14" i="24" a="1"/>
  <c r="E14" i="24" a="1"/>
  <c r="H13" i="24" a="1"/>
  <c r="G11" i="24" a="1"/>
  <c r="F11" i="24" a="1"/>
  <c r="E13" i="24" a="1"/>
  <c r="J11" i="24" a="1"/>
  <c r="H11" i="24" a="1"/>
  <c r="F13" i="24" a="1"/>
  <c r="E11" i="24" a="1"/>
  <c r="H14" i="24" a="1"/>
  <c r="J13" i="24" a="1"/>
  <c r="K11" i="24" a="1"/>
  <c r="I11" i="24" a="1"/>
  <c r="K13" i="24" a="1"/>
  <c r="G14" i="24" a="1"/>
  <c r="I13" i="24" a="1"/>
  <c r="G13" i="24" a="1"/>
  <c r="E13" i="31"/>
  <c r="F7" i="37" s="1"/>
  <c r="E10" i="31"/>
  <c r="G22" i="35"/>
  <c r="E36" i="31"/>
  <c r="F10" i="31"/>
  <c r="F36" i="31"/>
  <c r="E4" i="31"/>
  <c r="F14" i="37"/>
  <c r="G14" i="37"/>
  <c r="I41" i="24" a="1"/>
  <c r="J43" i="24" a="1"/>
  <c r="H45" i="24" a="1"/>
  <c r="G44" i="24" a="1"/>
  <c r="H42" i="24" a="1"/>
  <c r="K42" i="24" a="1"/>
  <c r="F45" i="24" a="1"/>
  <c r="E44" i="24" a="1"/>
  <c r="K45" i="24" a="1"/>
  <c r="K43" i="24" a="1"/>
  <c r="J45" i="24" a="1"/>
  <c r="E42" i="24" a="1"/>
  <c r="F43" i="24" a="1"/>
  <c r="G42" i="24" a="1"/>
  <c r="I44" i="24" a="1"/>
  <c r="H41" i="24" a="1"/>
  <c r="F44" i="24" a="1"/>
  <c r="I45" i="24" a="1"/>
  <c r="I43" i="24" a="1"/>
  <c r="F42" i="24" a="1"/>
  <c r="F41" i="24" a="1"/>
  <c r="I42" i="24" a="1"/>
  <c r="G43" i="24" a="1"/>
  <c r="E43" i="24" a="1"/>
  <c r="H44" i="24" a="1"/>
  <c r="J44" i="24" a="1"/>
  <c r="G41" i="24" a="1"/>
  <c r="J41" i="24" a="1"/>
  <c r="H43" i="24" a="1"/>
  <c r="G45" i="24" a="1"/>
  <c r="C6" i="43"/>
  <c r="J53" i="24" a="1"/>
  <c r="I54" i="24" a="1"/>
  <c r="G52" i="24" a="1"/>
  <c r="G51" i="24" a="1"/>
  <c r="K52" i="24" a="1"/>
  <c r="K54" i="24" a="1"/>
  <c r="H51" i="24" a="1"/>
  <c r="E51" i="24" a="1"/>
  <c r="F53" i="24" a="1"/>
  <c r="H52" i="24" a="1"/>
  <c r="I51" i="24" a="1"/>
  <c r="C11" i="43"/>
  <c r="E54" i="24" a="1"/>
  <c r="J52" i="24" a="1"/>
  <c r="J51" i="24" a="1"/>
  <c r="F54" i="24" a="1"/>
  <c r="G53" i="24" a="1"/>
  <c r="F36" i="17" l="1"/>
  <c r="F41" i="17" s="1"/>
  <c r="G28" i="35"/>
  <c r="F19" i="37"/>
  <c r="E12" i="24"/>
  <c r="F12" i="24"/>
  <c r="K12" i="24"/>
  <c r="G12" i="24"/>
  <c r="H12" i="24"/>
  <c r="J12" i="24"/>
  <c r="I12" i="24"/>
  <c r="F47" i="17"/>
  <c r="F11" i="37"/>
  <c r="F45" i="17"/>
  <c r="F9" i="37"/>
  <c r="G30" i="35"/>
  <c r="F13" i="37"/>
  <c r="E3" i="31"/>
  <c r="E17" i="31"/>
  <c r="F8" i="37"/>
  <c r="F20" i="37"/>
  <c r="K55" i="24"/>
  <c r="F55" i="24"/>
  <c r="I55" i="24"/>
  <c r="E55" i="24"/>
  <c r="G55" i="24"/>
  <c r="H55" i="24"/>
  <c r="J55" i="24"/>
  <c r="I47" i="25"/>
  <c r="K47" i="25"/>
  <c r="J47" i="25"/>
  <c r="F47" i="25"/>
  <c r="G47" i="25"/>
  <c r="E47" i="25"/>
  <c r="H47" i="25"/>
  <c r="G26" i="35" l="1"/>
  <c r="E19" i="31"/>
  <c r="E22" i="31" s="1"/>
  <c r="E31" i="31" s="1"/>
  <c r="E37" i="31" l="1"/>
  <c r="G32" i="35" l="1"/>
  <c r="E34" i="31"/>
  <c r="E35" i="31" s="1"/>
  <c r="E28" i="25" l="1" a="1"/>
  <c r="I15" i="1" l="1"/>
  <c r="D5" i="13"/>
  <c r="E41" i="30"/>
  <c r="E39" i="30"/>
  <c r="E29" i="30"/>
  <c r="E19" i="30"/>
  <c r="E9" i="30"/>
  <c r="E25" i="10"/>
  <c r="E16" i="10"/>
  <c r="E7" i="10"/>
  <c r="K56" i="25"/>
  <c r="J56" i="25"/>
  <c r="I56" i="25"/>
  <c r="H56" i="25"/>
  <c r="G56" i="25"/>
  <c r="F56" i="25"/>
  <c r="E56" i="25"/>
  <c r="K55" i="25"/>
  <c r="J55" i="25"/>
  <c r="I55" i="25"/>
  <c r="H55" i="25"/>
  <c r="G55" i="25"/>
  <c r="F55" i="25"/>
  <c r="E55" i="25"/>
  <c r="E52" i="25"/>
  <c r="K48" i="25"/>
  <c r="J48" i="25"/>
  <c r="I48" i="25"/>
  <c r="H48" i="25"/>
  <c r="G48" i="25"/>
  <c r="F48" i="25"/>
  <c r="E48" i="25"/>
  <c r="K46" i="25"/>
  <c r="J46" i="25"/>
  <c r="I46" i="25"/>
  <c r="H46" i="25"/>
  <c r="G46" i="25"/>
  <c r="F46" i="25"/>
  <c r="E46" i="25"/>
  <c r="K45" i="25"/>
  <c r="K44" i="25" s="1"/>
  <c r="J45" i="25"/>
  <c r="J44" i="25" s="1"/>
  <c r="I45" i="25"/>
  <c r="I44" i="25" s="1"/>
  <c r="H45" i="25"/>
  <c r="H44" i="25" s="1"/>
  <c r="G45" i="25"/>
  <c r="G44" i="25" s="1"/>
  <c r="F45" i="25"/>
  <c r="F44" i="25" s="1"/>
  <c r="E45" i="25"/>
  <c r="E44" i="25" s="1"/>
  <c r="F34" i="25"/>
  <c r="F33" i="25"/>
  <c r="F31" i="25"/>
  <c r="F30" i="25"/>
  <c r="E28" i="25"/>
  <c r="E38" i="25" s="1"/>
  <c r="K13" i="25"/>
  <c r="J13" i="25"/>
  <c r="I13" i="25"/>
  <c r="H13" i="25"/>
  <c r="G13" i="25"/>
  <c r="F13" i="25"/>
  <c r="E13" i="25"/>
  <c r="K12" i="25"/>
  <c r="J12" i="25"/>
  <c r="I12" i="25"/>
  <c r="H12" i="25"/>
  <c r="G12" i="25"/>
  <c r="F12" i="25"/>
  <c r="E12" i="25"/>
  <c r="K10" i="25"/>
  <c r="J10" i="25"/>
  <c r="I10" i="25"/>
  <c r="H10" i="25"/>
  <c r="G10" i="25"/>
  <c r="F10" i="25"/>
  <c r="E10" i="25"/>
  <c r="E8" i="25"/>
  <c r="L86" i="23"/>
  <c r="K86" i="23"/>
  <c r="J86" i="23"/>
  <c r="I86" i="23"/>
  <c r="H86" i="23"/>
  <c r="G86" i="23"/>
  <c r="F86" i="23"/>
  <c r="L85" i="23"/>
  <c r="L84" i="23" s="1"/>
  <c r="K85" i="23"/>
  <c r="K84" i="23" s="1"/>
  <c r="J85" i="23"/>
  <c r="J84" i="23" s="1"/>
  <c r="I85" i="23"/>
  <c r="I84" i="23" s="1"/>
  <c r="H85" i="23"/>
  <c r="H84" i="23" s="1"/>
  <c r="G85" i="23"/>
  <c r="G84" i="23" s="1"/>
  <c r="F85" i="23"/>
  <c r="F84" i="23" s="1"/>
  <c r="L76" i="23"/>
  <c r="K76" i="23"/>
  <c r="J76" i="23"/>
  <c r="I76" i="23"/>
  <c r="H76" i="23"/>
  <c r="G76" i="23"/>
  <c r="F76" i="23"/>
  <c r="L75" i="23"/>
  <c r="K75" i="23"/>
  <c r="J75" i="23"/>
  <c r="I75" i="23"/>
  <c r="H75" i="23"/>
  <c r="G75" i="23"/>
  <c r="F75" i="23"/>
  <c r="L74" i="23"/>
  <c r="L70" i="23" s="1"/>
  <c r="Q32" i="17" s="1"/>
  <c r="K74" i="23"/>
  <c r="K70" i="23" s="1"/>
  <c r="P32" i="17" s="1"/>
  <c r="J74" i="23"/>
  <c r="J70" i="23" s="1"/>
  <c r="O32" i="17" s="1"/>
  <c r="I74" i="23"/>
  <c r="I70" i="23" s="1"/>
  <c r="N32" i="17" s="1"/>
  <c r="H74" i="23"/>
  <c r="H70" i="23" s="1"/>
  <c r="M32" i="17" s="1"/>
  <c r="G74" i="23"/>
  <c r="G70" i="23" s="1"/>
  <c r="L32" i="17" s="1"/>
  <c r="F74" i="23"/>
  <c r="F70" i="23" s="1"/>
  <c r="L73" i="23"/>
  <c r="K73" i="23"/>
  <c r="J73" i="23"/>
  <c r="I73" i="23"/>
  <c r="H73" i="23"/>
  <c r="G73" i="23"/>
  <c r="F73" i="23"/>
  <c r="L72" i="23"/>
  <c r="K72" i="23"/>
  <c r="J72" i="23"/>
  <c r="I72" i="23"/>
  <c r="H72" i="23"/>
  <c r="G72" i="23"/>
  <c r="F72" i="23"/>
  <c r="F65" i="23"/>
  <c r="F64" i="23"/>
  <c r="F63" i="23"/>
  <c r="G63" i="23" s="1"/>
  <c r="H63" i="23" s="1"/>
  <c r="I63" i="23" s="1"/>
  <c r="J63" i="23" s="1"/>
  <c r="K63" i="23" s="1"/>
  <c r="L63" i="23" s="1"/>
  <c r="F56" i="23"/>
  <c r="G54" i="23"/>
  <c r="F54" i="23"/>
  <c r="F46" i="23"/>
  <c r="F45" i="23"/>
  <c r="F43" i="23"/>
  <c r="F42" i="23"/>
  <c r="F24" i="23"/>
  <c r="F20" i="23" s="1"/>
  <c r="E279" i="24"/>
  <c r="E249" i="24"/>
  <c r="E239" i="24"/>
  <c r="E229" i="24"/>
  <c r="E219" i="24"/>
  <c r="E205" i="24"/>
  <c r="E204" i="24"/>
  <c r="E203" i="24"/>
  <c r="E199" i="24"/>
  <c r="E189" i="24"/>
  <c r="L57" i="18" s="1"/>
  <c r="K184" i="24"/>
  <c r="J184" i="24"/>
  <c r="I184" i="24"/>
  <c r="H184" i="24"/>
  <c r="G184" i="24"/>
  <c r="F184" i="24"/>
  <c r="E184" i="24"/>
  <c r="K183" i="24"/>
  <c r="J183" i="24"/>
  <c r="I183" i="24"/>
  <c r="H183" i="24"/>
  <c r="G183" i="24"/>
  <c r="F183" i="24"/>
  <c r="E183" i="24"/>
  <c r="K181" i="24"/>
  <c r="J181" i="24"/>
  <c r="I181" i="24"/>
  <c r="H181" i="24"/>
  <c r="G181" i="24"/>
  <c r="F181" i="24"/>
  <c r="E181" i="24"/>
  <c r="E179" i="24"/>
  <c r="K175" i="24"/>
  <c r="J175" i="24"/>
  <c r="I175" i="24"/>
  <c r="H175" i="24"/>
  <c r="G175" i="24"/>
  <c r="F175" i="24"/>
  <c r="E175" i="24"/>
  <c r="K174" i="24"/>
  <c r="J174" i="24"/>
  <c r="I174" i="24"/>
  <c r="H174" i="24"/>
  <c r="G174" i="24"/>
  <c r="F174" i="24"/>
  <c r="E174" i="24"/>
  <c r="K172" i="24"/>
  <c r="J172" i="24"/>
  <c r="I172" i="24"/>
  <c r="H172" i="24"/>
  <c r="G172" i="24"/>
  <c r="F172" i="24"/>
  <c r="E172" i="24"/>
  <c r="K171" i="24"/>
  <c r="J171" i="24"/>
  <c r="I171" i="24"/>
  <c r="H171" i="24"/>
  <c r="G171" i="24"/>
  <c r="F171" i="24"/>
  <c r="E171" i="24"/>
  <c r="E169" i="24"/>
  <c r="K165" i="24"/>
  <c r="J165" i="24"/>
  <c r="I165" i="24"/>
  <c r="H165" i="24"/>
  <c r="G165" i="24"/>
  <c r="F165" i="24"/>
  <c r="E165" i="24"/>
  <c r="K164" i="24"/>
  <c r="J164" i="24"/>
  <c r="I164" i="24"/>
  <c r="H164" i="24"/>
  <c r="G164" i="24"/>
  <c r="F164" i="24"/>
  <c r="E164" i="24"/>
  <c r="K162" i="24"/>
  <c r="J162" i="24"/>
  <c r="I162" i="24"/>
  <c r="H162" i="24"/>
  <c r="G162" i="24"/>
  <c r="F162" i="24"/>
  <c r="E162" i="24"/>
  <c r="K161" i="24"/>
  <c r="J161" i="24"/>
  <c r="I161" i="24"/>
  <c r="H161" i="24"/>
  <c r="G161" i="24"/>
  <c r="F161" i="24"/>
  <c r="E161" i="24"/>
  <c r="E159" i="24"/>
  <c r="K154" i="24"/>
  <c r="J154" i="24"/>
  <c r="I154" i="24"/>
  <c r="H154" i="24"/>
  <c r="G154" i="24"/>
  <c r="F154" i="24"/>
  <c r="E154" i="24"/>
  <c r="K153" i="24"/>
  <c r="J153" i="24"/>
  <c r="I153" i="24"/>
  <c r="H153" i="24"/>
  <c r="G153" i="24"/>
  <c r="F153" i="24"/>
  <c r="E153" i="24"/>
  <c r="E149" i="24"/>
  <c r="K145" i="24"/>
  <c r="J145" i="24"/>
  <c r="I145" i="24"/>
  <c r="H145" i="24"/>
  <c r="G145" i="24"/>
  <c r="F145" i="24"/>
  <c r="E145" i="24"/>
  <c r="K143" i="24"/>
  <c r="J143" i="24"/>
  <c r="I143" i="24"/>
  <c r="H143" i="24"/>
  <c r="G143" i="24"/>
  <c r="F143" i="24"/>
  <c r="E143" i="24"/>
  <c r="K142" i="24"/>
  <c r="J142" i="24"/>
  <c r="I142" i="24"/>
  <c r="H142" i="24"/>
  <c r="G142" i="24"/>
  <c r="F142" i="24"/>
  <c r="E142" i="24"/>
  <c r="E139" i="24"/>
  <c r="E129" i="24"/>
  <c r="E119" i="24"/>
  <c r="L36" i="18" s="1"/>
  <c r="E99" i="24"/>
  <c r="K95" i="24"/>
  <c r="J95" i="24"/>
  <c r="I95" i="24"/>
  <c r="H95" i="24"/>
  <c r="G95" i="24"/>
  <c r="F95" i="24"/>
  <c r="E95" i="24"/>
  <c r="K94" i="24"/>
  <c r="J94" i="24"/>
  <c r="I94" i="24"/>
  <c r="H94" i="24"/>
  <c r="G94" i="24"/>
  <c r="F94" i="24"/>
  <c r="E94" i="24"/>
  <c r="K92" i="24"/>
  <c r="J92" i="24"/>
  <c r="I92" i="24"/>
  <c r="H92" i="24"/>
  <c r="G92" i="24"/>
  <c r="F92" i="24"/>
  <c r="E92" i="24"/>
  <c r="K91" i="24"/>
  <c r="J91" i="24"/>
  <c r="I91" i="24"/>
  <c r="H91" i="24"/>
  <c r="G91" i="24"/>
  <c r="F91" i="24"/>
  <c r="E91" i="24"/>
  <c r="E89" i="24"/>
  <c r="E79" i="24"/>
  <c r="L34" i="18" s="1"/>
  <c r="E69" i="24"/>
  <c r="L33" i="18" s="1"/>
  <c r="K65" i="24"/>
  <c r="J65" i="24"/>
  <c r="I65" i="24"/>
  <c r="H65" i="24"/>
  <c r="G65" i="24"/>
  <c r="F65" i="24"/>
  <c r="E65" i="24"/>
  <c r="K64" i="24"/>
  <c r="J64" i="24"/>
  <c r="I64" i="24"/>
  <c r="H64" i="24"/>
  <c r="G64" i="24"/>
  <c r="F64" i="24"/>
  <c r="E64" i="24"/>
  <c r="K63" i="24"/>
  <c r="J63" i="24"/>
  <c r="I63" i="24"/>
  <c r="H63" i="24"/>
  <c r="G63" i="24"/>
  <c r="F63" i="24"/>
  <c r="E63" i="24"/>
  <c r="K62" i="24"/>
  <c r="J62" i="24"/>
  <c r="I62" i="24"/>
  <c r="H62" i="24"/>
  <c r="G62" i="24"/>
  <c r="F62" i="24"/>
  <c r="E62" i="24"/>
  <c r="K61" i="24"/>
  <c r="J61" i="24"/>
  <c r="I61" i="24"/>
  <c r="H61" i="24"/>
  <c r="G61" i="24"/>
  <c r="F61" i="24"/>
  <c r="E61" i="24"/>
  <c r="K54" i="24"/>
  <c r="J54" i="24"/>
  <c r="I54" i="24"/>
  <c r="H54" i="24"/>
  <c r="G54" i="24"/>
  <c r="F54" i="24"/>
  <c r="E54" i="24"/>
  <c r="K53" i="24"/>
  <c r="J53" i="24"/>
  <c r="I53" i="24"/>
  <c r="H53" i="24"/>
  <c r="G53" i="24"/>
  <c r="F53" i="24"/>
  <c r="E53" i="24"/>
  <c r="K52" i="24"/>
  <c r="J52" i="24"/>
  <c r="I52" i="24"/>
  <c r="H52" i="24"/>
  <c r="G52" i="24"/>
  <c r="F52" i="24"/>
  <c r="E52" i="24"/>
  <c r="K51" i="24"/>
  <c r="J51" i="24"/>
  <c r="I51" i="24"/>
  <c r="H51" i="24"/>
  <c r="G51" i="24"/>
  <c r="F51" i="24"/>
  <c r="E51" i="24"/>
  <c r="K45" i="24"/>
  <c r="J45" i="24"/>
  <c r="I45" i="24"/>
  <c r="H45" i="24"/>
  <c r="G45" i="24"/>
  <c r="F45" i="24"/>
  <c r="E45" i="24"/>
  <c r="K44" i="24"/>
  <c r="J44" i="24"/>
  <c r="I44" i="24"/>
  <c r="H44" i="24"/>
  <c r="G44" i="24"/>
  <c r="F44" i="24"/>
  <c r="E44" i="24"/>
  <c r="K43" i="24"/>
  <c r="J43" i="24"/>
  <c r="I43" i="24"/>
  <c r="H43" i="24"/>
  <c r="G43" i="24"/>
  <c r="F43" i="24"/>
  <c r="E43" i="24"/>
  <c r="K42" i="24"/>
  <c r="J42" i="24"/>
  <c r="I42" i="24"/>
  <c r="H42" i="24"/>
  <c r="G42" i="24"/>
  <c r="F42" i="24"/>
  <c r="E42" i="24"/>
  <c r="K41" i="24"/>
  <c r="J41" i="24"/>
  <c r="I41" i="24"/>
  <c r="H41" i="24"/>
  <c r="G41" i="24"/>
  <c r="F41" i="24"/>
  <c r="K35" i="24"/>
  <c r="J35" i="24"/>
  <c r="I35" i="24"/>
  <c r="H35" i="24"/>
  <c r="G35" i="24"/>
  <c r="F35" i="24"/>
  <c r="E35" i="24"/>
  <c r="K34" i="24"/>
  <c r="J34" i="24"/>
  <c r="I34" i="24"/>
  <c r="H34" i="24"/>
  <c r="G34" i="24"/>
  <c r="F34" i="24"/>
  <c r="E34" i="24"/>
  <c r="K33" i="24"/>
  <c r="J33" i="24"/>
  <c r="I33" i="24"/>
  <c r="H33" i="24"/>
  <c r="G33" i="24"/>
  <c r="F33" i="24"/>
  <c r="E33" i="24"/>
  <c r="K31" i="24"/>
  <c r="J31" i="24"/>
  <c r="I31" i="24"/>
  <c r="H31" i="24"/>
  <c r="G31" i="24"/>
  <c r="F31" i="24"/>
  <c r="E31" i="24"/>
  <c r="K24" i="24"/>
  <c r="K25" i="24" s="1"/>
  <c r="J24" i="24"/>
  <c r="J25" i="24" s="1"/>
  <c r="I24" i="24"/>
  <c r="I25" i="24" s="1"/>
  <c r="H24" i="24"/>
  <c r="H25" i="24" s="1"/>
  <c r="G24" i="24"/>
  <c r="G25" i="24" s="1"/>
  <c r="F24" i="24"/>
  <c r="F25" i="24" s="1"/>
  <c r="E24" i="24"/>
  <c r="E25" i="24" s="1"/>
  <c r="K23" i="24"/>
  <c r="J23" i="24"/>
  <c r="I23" i="24"/>
  <c r="H23" i="24"/>
  <c r="G23" i="24"/>
  <c r="F23" i="24"/>
  <c r="E23" i="24"/>
  <c r="K21" i="24"/>
  <c r="J21" i="24"/>
  <c r="I21" i="24"/>
  <c r="H21" i="24"/>
  <c r="G21" i="24"/>
  <c r="F21" i="24"/>
  <c r="E21" i="24"/>
  <c r="K14" i="24"/>
  <c r="K15" i="24" s="1"/>
  <c r="J14" i="24"/>
  <c r="J15" i="24" s="1"/>
  <c r="I14" i="24"/>
  <c r="I15" i="24" s="1"/>
  <c r="H14" i="24"/>
  <c r="H15" i="24" s="1"/>
  <c r="G14" i="24"/>
  <c r="G15" i="24" s="1"/>
  <c r="F14" i="24"/>
  <c r="F15" i="24" s="1"/>
  <c r="E14" i="24"/>
  <c r="E15" i="24" s="1"/>
  <c r="K13" i="24"/>
  <c r="J13" i="24"/>
  <c r="I13" i="24"/>
  <c r="H13" i="24"/>
  <c r="G13" i="24"/>
  <c r="F13" i="24"/>
  <c r="E13" i="24"/>
  <c r="K11" i="24"/>
  <c r="J11" i="24"/>
  <c r="I11" i="24"/>
  <c r="H11" i="24"/>
  <c r="G11" i="24"/>
  <c r="F11" i="24"/>
  <c r="E11" i="24"/>
  <c r="C24" i="2"/>
  <c r="D24" i="2" s="1"/>
  <c r="E24" i="2" s="1"/>
  <c r="C21" i="2"/>
  <c r="D21" i="2" s="1"/>
  <c r="E21" i="2" s="1"/>
  <c r="C20" i="2"/>
  <c r="D20" i="2" s="1"/>
  <c r="E20" i="2" s="1"/>
  <c r="C19" i="2"/>
  <c r="D19" i="2" s="1"/>
  <c r="E19" i="2" s="1"/>
  <c r="C17" i="2"/>
  <c r="D17" i="2" s="1"/>
  <c r="C16" i="2"/>
  <c r="D16" i="2" s="1"/>
  <c r="I5" i="40"/>
  <c r="E13" i="45" l="1"/>
  <c r="F15" i="3"/>
  <c r="F53" i="23"/>
  <c r="F50" i="23"/>
  <c r="G64" i="23"/>
  <c r="F60" i="23"/>
  <c r="G65" i="23"/>
  <c r="H65" i="23" s="1"/>
  <c r="I65" i="23" s="1"/>
  <c r="J65" i="23" s="1"/>
  <c r="K65" i="23" s="1"/>
  <c r="L65" i="23" s="1"/>
  <c r="F66" i="23"/>
  <c r="G66" i="23" s="1"/>
  <c r="H66" i="23" s="1"/>
  <c r="I66" i="23" s="1"/>
  <c r="J66" i="23" s="1"/>
  <c r="K66" i="23" s="1"/>
  <c r="L66" i="23" s="1"/>
  <c r="H54" i="23"/>
  <c r="G50" i="23"/>
  <c r="E42" i="25" a="1"/>
  <c r="E42" i="25" s="1"/>
  <c r="E19" i="24" a="1"/>
  <c r="E29" i="24" a="1"/>
  <c r="E59" i="24" a="1"/>
  <c r="F83" i="23"/>
  <c r="F82" i="23" s="1"/>
  <c r="F80" i="23"/>
  <c r="E49" i="24" a="1"/>
  <c r="G83" i="23"/>
  <c r="G82" i="23" s="1"/>
  <c r="G80" i="23"/>
  <c r="E39" i="24" a="1"/>
  <c r="K83" i="23"/>
  <c r="K82" i="23" s="1"/>
  <c r="K80" i="23"/>
  <c r="L83" i="23"/>
  <c r="L82" i="23" s="1"/>
  <c r="L80" i="23"/>
  <c r="H83" i="23"/>
  <c r="H82" i="23" s="1"/>
  <c r="H80" i="23"/>
  <c r="I83" i="23"/>
  <c r="I82" i="23" s="1"/>
  <c r="I80" i="23"/>
  <c r="J83" i="23"/>
  <c r="J82" i="23" s="1"/>
  <c r="J80" i="23"/>
  <c r="E9" i="24" a="1"/>
  <c r="Q14" i="30"/>
  <c r="Q15" i="30" s="1"/>
  <c r="L13" i="19"/>
  <c r="M13" i="19"/>
  <c r="E22" i="25"/>
  <c r="E20" i="25"/>
  <c r="E23" i="25"/>
  <c r="E21" i="25"/>
  <c r="E24" i="25"/>
  <c r="L20" i="17"/>
  <c r="M36" i="18"/>
  <c r="N36" i="18" s="1"/>
  <c r="P19" i="2"/>
  <c r="T19" i="2"/>
  <c r="Q19" i="2"/>
  <c r="C23" i="2"/>
  <c r="C22" i="2"/>
  <c r="Q20" i="2"/>
  <c r="T20" i="2"/>
  <c r="P20" i="2"/>
  <c r="T21" i="2"/>
  <c r="Q21" i="2"/>
  <c r="P21" i="2"/>
  <c r="C15" i="2"/>
  <c r="G11" i="44"/>
  <c r="K50" i="35"/>
  <c r="L40" i="33"/>
  <c r="J63" i="31"/>
  <c r="W40" i="31"/>
  <c r="Q24" i="2"/>
  <c r="P24" i="2"/>
  <c r="T24" i="2"/>
  <c r="B12" i="16"/>
  <c r="H73" i="11"/>
  <c r="H27" i="11"/>
  <c r="H30" i="11" s="1"/>
  <c r="B6" i="16" s="1"/>
  <c r="G10" i="44"/>
  <c r="K36" i="11"/>
  <c r="K43" i="11" s="1"/>
  <c r="K56" i="11" s="1"/>
  <c r="H50" i="11"/>
  <c r="B19" i="15"/>
  <c r="H64" i="23" l="1"/>
  <c r="G60" i="23"/>
  <c r="I54" i="23"/>
  <c r="H50" i="23"/>
  <c r="F52" i="23"/>
  <c r="G53" i="23"/>
  <c r="E19" i="24"/>
  <c r="E39" i="24"/>
  <c r="E59" i="24"/>
  <c r="E9" i="24"/>
  <c r="E49" i="24"/>
  <c r="E29" i="24"/>
  <c r="M20" i="17"/>
  <c r="N20" i="17"/>
  <c r="O36" i="18"/>
  <c r="O20" i="17" s="1"/>
  <c r="E16" i="2"/>
  <c r="D22" i="2"/>
  <c r="D23" i="2"/>
  <c r="B15" i="16"/>
  <c r="B33" i="16"/>
  <c r="B7" i="16" s="1"/>
  <c r="B209" i="16"/>
  <c r="G12" i="44"/>
  <c r="G13" i="44" s="1"/>
  <c r="G14" i="44" s="1"/>
  <c r="W53" i="2"/>
  <c r="W10" i="2"/>
  <c r="D15" i="2"/>
  <c r="G52" i="23" l="1"/>
  <c r="H52" i="23" s="1"/>
  <c r="I52" i="23" s="1"/>
  <c r="J52" i="23" s="1"/>
  <c r="K52" i="23" s="1"/>
  <c r="L52" i="23" s="1"/>
  <c r="H53" i="23"/>
  <c r="I53" i="23" s="1"/>
  <c r="J53" i="23" s="1"/>
  <c r="K53" i="23" s="1"/>
  <c r="L53" i="23" s="1"/>
  <c r="I64" i="23"/>
  <c r="H60" i="23"/>
  <c r="J54" i="23"/>
  <c r="I50" i="23"/>
  <c r="P36" i="18"/>
  <c r="Q36" i="18" s="1"/>
  <c r="Q20" i="17" s="1"/>
  <c r="W9" i="2"/>
  <c r="E15" i="2"/>
  <c r="H76" i="11"/>
  <c r="B8" i="16"/>
  <c r="D8" i="16" s="1"/>
  <c r="G15" i="44"/>
  <c r="G16" i="44" s="1"/>
  <c r="G17" i="44" s="1"/>
  <c r="H53" i="11"/>
  <c r="D7" i="16"/>
  <c r="E23" i="2"/>
  <c r="E22" i="2"/>
  <c r="T16" i="2"/>
  <c r="P16" i="2"/>
  <c r="Q16" i="2"/>
  <c r="K54" i="23" l="1"/>
  <c r="J50" i="23"/>
  <c r="J64" i="23"/>
  <c r="I60" i="23"/>
  <c r="P20" i="17"/>
  <c r="W30" i="2"/>
  <c r="W33" i="2"/>
  <c r="W32" i="2"/>
  <c r="W29" i="2"/>
  <c r="W28" i="2"/>
  <c r="Q23" i="2"/>
  <c r="W31" i="2"/>
  <c r="Q22" i="2"/>
  <c r="AF20" i="2" s="1"/>
  <c r="P22" i="2"/>
  <c r="AE20" i="2" s="1"/>
  <c r="W19" i="2"/>
  <c r="W18" i="2"/>
  <c r="W21" i="2"/>
  <c r="W20" i="2"/>
  <c r="W23" i="2"/>
  <c r="P23" i="2"/>
  <c r="W22" i="2"/>
  <c r="W42" i="2"/>
  <c r="Y42" i="2" s="1"/>
  <c r="W39" i="2"/>
  <c r="Y39" i="2" s="1"/>
  <c r="T22" i="2"/>
  <c r="W38" i="2"/>
  <c r="Y38" i="2" s="1"/>
  <c r="T23" i="2"/>
  <c r="W40" i="2" s="1"/>
  <c r="Y40" i="2" s="1"/>
  <c r="W43" i="2"/>
  <c r="Y43" i="2" s="1"/>
  <c r="W12" i="2"/>
  <c r="T15" i="2"/>
  <c r="AG21" i="2" s="1"/>
  <c r="W8" i="2"/>
  <c r="W13" i="2"/>
  <c r="D16" i="32"/>
  <c r="H10" i="32" s="1"/>
  <c r="G12" i="32" s="1"/>
  <c r="W41" i="2" l="1"/>
  <c r="Y41" i="2" s="1"/>
  <c r="AG20" i="2"/>
  <c r="K64" i="23"/>
  <c r="J60" i="23"/>
  <c r="L54" i="23"/>
  <c r="L50" i="23" s="1"/>
  <c r="K50" i="23"/>
  <c r="Z18" i="2"/>
  <c r="Z28" i="2" s="1"/>
  <c r="Z38" i="2" s="1"/>
  <c r="AA38" i="2" s="1"/>
  <c r="AB38" i="2" s="1"/>
  <c r="Z20" i="2"/>
  <c r="Z30" i="2" s="1"/>
  <c r="Z40" i="2" s="1"/>
  <c r="AA40" i="2" s="1"/>
  <c r="AB40" i="2" s="1"/>
  <c r="Y50" i="2" s="1"/>
  <c r="Z23" i="2"/>
  <c r="Z33" i="2" s="1"/>
  <c r="Z43" i="2" s="1"/>
  <c r="AA43" i="2" s="1"/>
  <c r="AB43" i="2" s="1"/>
  <c r="Z21" i="2"/>
  <c r="Z31" i="2" s="1"/>
  <c r="Z41" i="2" s="1"/>
  <c r="Z22" i="2"/>
  <c r="Z32" i="2" s="1"/>
  <c r="Z42" i="2" s="1"/>
  <c r="AA42" i="2" s="1"/>
  <c r="AB42" i="2" s="1"/>
  <c r="AA50" i="2" s="1"/>
  <c r="Z19" i="2"/>
  <c r="Z29" i="2" s="1"/>
  <c r="Z39" i="2" s="1"/>
  <c r="AA39" i="2" s="1"/>
  <c r="AB39" i="2" s="1"/>
  <c r="W50" i="2" s="1"/>
  <c r="W36" i="31"/>
  <c r="Q48" i="17"/>
  <c r="M48" i="17"/>
  <c r="K47" i="35"/>
  <c r="L38" i="33"/>
  <c r="N48" i="17"/>
  <c r="O48" i="17"/>
  <c r="P48" i="17"/>
  <c r="L48" i="17"/>
  <c r="J59" i="31"/>
  <c r="H39" i="11"/>
  <c r="H16" i="11"/>
  <c r="H62" i="11"/>
  <c r="AA41" i="2" l="1"/>
  <c r="AB41" i="2" s="1"/>
  <c r="L64" i="23"/>
  <c r="L60" i="23" s="1"/>
  <c r="K60" i="23"/>
  <c r="H64" i="11"/>
  <c r="H65" i="11"/>
  <c r="H19" i="11"/>
  <c r="L6" i="3" s="1"/>
  <c r="H18" i="11"/>
  <c r="H42" i="11"/>
  <c r="C26" i="16" s="1"/>
  <c r="H41" i="11"/>
  <c r="H66" i="11" l="1"/>
  <c r="H20" i="11"/>
  <c r="H32" i="11"/>
  <c r="H7" i="11" s="1"/>
  <c r="H55" i="11"/>
  <c r="J43" i="31" s="1"/>
  <c r="K53" i="11"/>
  <c r="H43" i="11"/>
  <c r="K54" i="11"/>
  <c r="H78" i="11"/>
  <c r="H9" i="11" s="1"/>
  <c r="K57" i="11" l="1"/>
  <c r="H8" i="11"/>
  <c r="F31" i="33" s="1"/>
  <c r="K52" i="35"/>
  <c r="H5" i="35"/>
  <c r="U10" i="31"/>
  <c r="E209" i="24" l="1" a="1"/>
  <c r="E209" i="24" s="1"/>
  <c r="L10" i="17" l="1"/>
  <c r="M15" i="2" s="1"/>
  <c r="E112" i="24" l="1"/>
  <c r="R15" i="17"/>
  <c r="L26" i="17"/>
  <c r="L24" i="18"/>
  <c r="L22" i="18"/>
  <c r="L25" i="18"/>
  <c r="L31" i="19"/>
  <c r="M15" i="17" s="1"/>
  <c r="T50" i="47" s="1"/>
  <c r="K11" i="31"/>
  <c r="L27" i="17"/>
  <c r="L25" i="17"/>
  <c r="Q3" i="47" s="1"/>
  <c r="E113" i="24"/>
  <c r="L17" i="17"/>
  <c r="L50" i="18"/>
  <c r="E114" i="24"/>
  <c r="L38" i="18"/>
  <c r="L23" i="18"/>
  <c r="F38" i="25"/>
  <c r="L56" i="18"/>
  <c r="E111" i="24"/>
  <c r="L9" i="17"/>
  <c r="O60" i="17" s="1"/>
  <c r="E115" i="24"/>
  <c r="L61" i="18"/>
  <c r="L47" i="18"/>
  <c r="L13" i="18"/>
  <c r="C67" i="17"/>
  <c r="L33" i="17"/>
  <c r="L31" i="17" s="1"/>
  <c r="S49" i="47" l="1"/>
  <c r="L63" i="18"/>
  <c r="L21" i="18"/>
  <c r="L30" i="19" s="1"/>
  <c r="K15" i="31"/>
  <c r="Q4" i="47"/>
  <c r="K16" i="31"/>
  <c r="Q5" i="47"/>
  <c r="L23" i="19"/>
  <c r="M23" i="35"/>
  <c r="K12" i="31"/>
  <c r="L35" i="18"/>
  <c r="L19" i="19"/>
  <c r="K10" i="31"/>
  <c r="H8" i="33" s="1"/>
  <c r="H9" i="33" s="1"/>
  <c r="H7" i="33" s="1"/>
  <c r="M22" i="35"/>
  <c r="K36" i="31"/>
  <c r="H24" i="33"/>
  <c r="L21" i="19"/>
  <c r="L24" i="19"/>
  <c r="G45" i="10"/>
  <c r="G40" i="10"/>
  <c r="G38" i="10"/>
  <c r="G39" i="10"/>
  <c r="G41" i="10"/>
  <c r="G37" i="10"/>
  <c r="O24" i="30"/>
  <c r="L24" i="17"/>
  <c r="K14" i="31"/>
  <c r="H13" i="33"/>
  <c r="K20" i="31"/>
  <c r="F20" i="25"/>
  <c r="F23" i="25"/>
  <c r="L68" i="18"/>
  <c r="L14" i="19"/>
  <c r="K28" i="31" s="1"/>
  <c r="F22" i="25"/>
  <c r="F24" i="25"/>
  <c r="F21" i="25"/>
  <c r="P15" i="2"/>
  <c r="AE21" i="2" s="1"/>
  <c r="W5" i="2"/>
  <c r="E67" i="17"/>
  <c r="L25" i="19"/>
  <c r="K13" i="31" l="1"/>
  <c r="K17" i="31" s="1"/>
  <c r="K2" i="31"/>
  <c r="M10" i="17"/>
  <c r="S15" i="17" s="1"/>
  <c r="L19" i="17"/>
  <c r="L18" i="17" s="1"/>
  <c r="K4" i="31"/>
  <c r="L16" i="18"/>
  <c r="L3" i="17"/>
  <c r="L52" i="18"/>
  <c r="H23" i="33"/>
  <c r="K25" i="31"/>
  <c r="H20" i="33"/>
  <c r="H19" i="33" s="1"/>
  <c r="L34" i="19"/>
  <c r="X18" i="2"/>
  <c r="Y18" i="2" s="1"/>
  <c r="AA18" i="2" s="1"/>
  <c r="AB18" i="2" s="1"/>
  <c r="X20" i="2"/>
  <c r="Y20" i="2" s="1"/>
  <c r="AA20" i="2" s="1"/>
  <c r="AB20" i="2" s="1"/>
  <c r="Y48" i="2" s="1"/>
  <c r="X21" i="2"/>
  <c r="Y21" i="2" s="1"/>
  <c r="AA21" i="2" s="1"/>
  <c r="AB21" i="2" s="1"/>
  <c r="X23" i="2"/>
  <c r="Y23" i="2" s="1"/>
  <c r="AA23" i="2" s="1"/>
  <c r="AB23" i="2" s="1"/>
  <c r="X19" i="2"/>
  <c r="Y19" i="2" s="1"/>
  <c r="AA19" i="2" s="1"/>
  <c r="AB19" i="2" s="1"/>
  <c r="W48" i="2" s="1"/>
  <c r="X22" i="2"/>
  <c r="Y22" i="2" s="1"/>
  <c r="AA22" i="2" s="1"/>
  <c r="AB22" i="2" s="1"/>
  <c r="AA48" i="2" s="1"/>
  <c r="H26" i="33"/>
  <c r="H25" i="33" s="1"/>
  <c r="K29" i="31"/>
  <c r="H28" i="33" s="1"/>
  <c r="H27" i="33" s="1"/>
  <c r="F114" i="24" l="1"/>
  <c r="K3" i="31"/>
  <c r="L7" i="37"/>
  <c r="F113" i="24"/>
  <c r="M35" i="18" s="1"/>
  <c r="F115" i="24"/>
  <c r="F111" i="24"/>
  <c r="F112" i="24"/>
  <c r="M9" i="17"/>
  <c r="P60" i="17" s="1"/>
  <c r="M38" i="18"/>
  <c r="M24" i="19" s="1"/>
  <c r="M56" i="18"/>
  <c r="M13" i="18"/>
  <c r="M19" i="19" s="1"/>
  <c r="M24" i="18"/>
  <c r="M25" i="17"/>
  <c r="M22" i="18"/>
  <c r="M31" i="19"/>
  <c r="N15" i="17" s="1"/>
  <c r="U50" i="47" s="1"/>
  <c r="M50" i="18"/>
  <c r="M61" i="18"/>
  <c r="M25" i="19" s="1"/>
  <c r="L11" i="31"/>
  <c r="M33" i="17"/>
  <c r="M31" i="17" s="1"/>
  <c r="C68" i="17"/>
  <c r="E68" i="17" s="1"/>
  <c r="M26" i="17"/>
  <c r="M17" i="17"/>
  <c r="M25" i="18"/>
  <c r="M47" i="18"/>
  <c r="M21" i="19" s="1"/>
  <c r="G38" i="25"/>
  <c r="M27" i="17"/>
  <c r="M23" i="18"/>
  <c r="L27" i="18"/>
  <c r="L20" i="18" s="1"/>
  <c r="L40" i="18" s="1"/>
  <c r="M26" i="35"/>
  <c r="K18" i="31"/>
  <c r="K24" i="31" s="1"/>
  <c r="L53" i="17"/>
  <c r="H18" i="33"/>
  <c r="H17" i="33" s="1"/>
  <c r="L12" i="19"/>
  <c r="L22" i="17"/>
  <c r="Z23" i="47" s="1"/>
  <c r="L22" i="19"/>
  <c r="K38" i="31"/>
  <c r="H32" i="33"/>
  <c r="L20" i="19"/>
  <c r="L54" i="18"/>
  <c r="L65" i="18" s="1"/>
  <c r="M23" i="19" l="1"/>
  <c r="M21" i="18"/>
  <c r="M19" i="17" s="1"/>
  <c r="M18" i="17" s="1"/>
  <c r="M12" i="19" s="1"/>
  <c r="M63" i="18"/>
  <c r="R5" i="47"/>
  <c r="L16" i="31"/>
  <c r="G22" i="25"/>
  <c r="M14" i="19"/>
  <c r="L28" i="31" s="1"/>
  <c r="G20" i="25"/>
  <c r="G21" i="25"/>
  <c r="M68" i="18"/>
  <c r="G24" i="25"/>
  <c r="G23" i="25"/>
  <c r="T49" i="47"/>
  <c r="H40" i="10"/>
  <c r="H41" i="10"/>
  <c r="H37" i="10"/>
  <c r="H38" i="10"/>
  <c r="H39" i="10"/>
  <c r="R3" i="47"/>
  <c r="M24" i="17"/>
  <c r="L14" i="31"/>
  <c r="N23" i="35"/>
  <c r="L12" i="31"/>
  <c r="R4" i="47"/>
  <c r="L15" i="31"/>
  <c r="L20" i="31"/>
  <c r="I13" i="33"/>
  <c r="L10" i="31"/>
  <c r="I8" i="33" s="1"/>
  <c r="I9" i="33" s="1"/>
  <c r="I7" i="33" s="1"/>
  <c r="L36" i="31"/>
  <c r="I24" i="33"/>
  <c r="N22" i="35"/>
  <c r="L18" i="19"/>
  <c r="K26" i="31" s="1"/>
  <c r="K19" i="31"/>
  <c r="M24" i="35"/>
  <c r="L29" i="17"/>
  <c r="Z24" i="47"/>
  <c r="R22" i="17"/>
  <c r="I18" i="33" l="1"/>
  <c r="I17" i="33" s="1"/>
  <c r="M22" i="17"/>
  <c r="AA23" i="47" s="1"/>
  <c r="M30" i="19"/>
  <c r="I20" i="33" s="1"/>
  <c r="I19" i="33" s="1"/>
  <c r="M27" i="18"/>
  <c r="M20" i="18" s="1"/>
  <c r="M40" i="18" s="1"/>
  <c r="L13" i="31"/>
  <c r="L2" i="31"/>
  <c r="L18" i="31"/>
  <c r="L24" i="31" s="1"/>
  <c r="M53" i="17"/>
  <c r="L29" i="31"/>
  <c r="I26" i="33"/>
  <c r="I25" i="33" s="1"/>
  <c r="I23" i="33"/>
  <c r="N10" i="17"/>
  <c r="T15" i="17" s="1"/>
  <c r="M16" i="18"/>
  <c r="M22" i="19" s="1"/>
  <c r="M52" i="18"/>
  <c r="M3" i="17"/>
  <c r="L4" i="31"/>
  <c r="H22" i="33"/>
  <c r="H21" i="33" s="1"/>
  <c r="H12" i="33"/>
  <c r="H11" i="33" s="1"/>
  <c r="M28" i="35"/>
  <c r="L19" i="37"/>
  <c r="L36" i="17"/>
  <c r="L52" i="17"/>
  <c r="L55" i="17" s="1"/>
  <c r="S22" i="17" l="1"/>
  <c r="M29" i="17"/>
  <c r="I12" i="33" s="1"/>
  <c r="I11" i="33" s="1"/>
  <c r="I14" i="33" s="1"/>
  <c r="I15" i="33" s="1"/>
  <c r="N24" i="35"/>
  <c r="L25" i="31"/>
  <c r="AA24" i="47"/>
  <c r="M34" i="19"/>
  <c r="L3" i="31"/>
  <c r="M7" i="37"/>
  <c r="L17" i="31"/>
  <c r="N26" i="35" s="1"/>
  <c r="M54" i="18"/>
  <c r="M65" i="18" s="1"/>
  <c r="M20" i="19"/>
  <c r="M18" i="19" s="1"/>
  <c r="I28" i="33"/>
  <c r="I27" i="33" s="1"/>
  <c r="I32" i="33" s="1"/>
  <c r="L38" i="31"/>
  <c r="H38" i="25"/>
  <c r="N38" i="18"/>
  <c r="N24" i="19" s="1"/>
  <c r="N24" i="18"/>
  <c r="M11" i="31"/>
  <c r="N9" i="17"/>
  <c r="Q60" i="17" s="1"/>
  <c r="N26" i="17"/>
  <c r="N23" i="18"/>
  <c r="N25" i="17"/>
  <c r="N33" i="17"/>
  <c r="N31" i="17" s="1"/>
  <c r="N27" i="17"/>
  <c r="N31" i="19"/>
  <c r="O15" i="17" s="1"/>
  <c r="V50" i="47" s="1"/>
  <c r="N25" i="18"/>
  <c r="N22" i="18"/>
  <c r="C69" i="17"/>
  <c r="E69" i="17" s="1"/>
  <c r="N61" i="18"/>
  <c r="N25" i="19" s="1"/>
  <c r="N13" i="18"/>
  <c r="N19" i="19" s="1"/>
  <c r="N17" i="17"/>
  <c r="N47" i="18"/>
  <c r="N21" i="19" s="1"/>
  <c r="N50" i="18"/>
  <c r="N56" i="18"/>
  <c r="G113" i="24"/>
  <c r="N35" i="18" s="1"/>
  <c r="G112" i="24"/>
  <c r="G111" i="24"/>
  <c r="G114" i="24"/>
  <c r="G115" i="24"/>
  <c r="L8" i="37"/>
  <c r="N15" i="2"/>
  <c r="L20" i="37"/>
  <c r="L38" i="17"/>
  <c r="K21" i="31" s="1"/>
  <c r="K22" i="31" s="1"/>
  <c r="K31" i="31" s="1"/>
  <c r="K32" i="31" s="1"/>
  <c r="H14" i="33"/>
  <c r="H15" i="33" s="1"/>
  <c r="H30" i="33" s="1"/>
  <c r="M36" i="17" l="1"/>
  <c r="M38" i="17" s="1"/>
  <c r="L21" i="31" s="1"/>
  <c r="N28" i="35"/>
  <c r="M19" i="37"/>
  <c r="M52" i="17"/>
  <c r="M55" i="17" s="1"/>
  <c r="M20" i="37" s="1"/>
  <c r="N63" i="18"/>
  <c r="L19" i="31"/>
  <c r="M12" i="31"/>
  <c r="O23" i="35"/>
  <c r="I22" i="33"/>
  <c r="I21" i="33" s="1"/>
  <c r="I30" i="33" s="1"/>
  <c r="I33" i="33" s="1"/>
  <c r="L26" i="31"/>
  <c r="N21" i="18"/>
  <c r="U49" i="47"/>
  <c r="I40" i="10"/>
  <c r="I37" i="10"/>
  <c r="I38" i="10"/>
  <c r="I41" i="10"/>
  <c r="I39" i="10"/>
  <c r="S5" i="47"/>
  <c r="M16" i="31"/>
  <c r="N23" i="19"/>
  <c r="N14" i="19"/>
  <c r="M28" i="31" s="1"/>
  <c r="H23" i="25"/>
  <c r="N68" i="18"/>
  <c r="H24" i="25"/>
  <c r="H21" i="25"/>
  <c r="H20" i="25"/>
  <c r="H22" i="25"/>
  <c r="M20" i="31"/>
  <c r="J13" i="33"/>
  <c r="I16" i="33"/>
  <c r="M14" i="31"/>
  <c r="S3" i="47"/>
  <c r="N24" i="17"/>
  <c r="M15" i="31"/>
  <c r="S4" i="47"/>
  <c r="M36" i="31"/>
  <c r="M10" i="31"/>
  <c r="J8" i="33" s="1"/>
  <c r="J9" i="33" s="1"/>
  <c r="J7" i="33" s="1"/>
  <c r="O22" i="35"/>
  <c r="J24" i="33"/>
  <c r="L41" i="17"/>
  <c r="M30" i="35" s="1"/>
  <c r="H16" i="33"/>
  <c r="H33" i="33"/>
  <c r="Q15" i="2"/>
  <c r="AF21" i="2" s="1"/>
  <c r="W6" i="2"/>
  <c r="X28" i="2"/>
  <c r="Y28" i="2" s="1"/>
  <c r="AA28" i="2" s="1"/>
  <c r="AB28" i="2" s="1"/>
  <c r="X30" i="2"/>
  <c r="Y30" i="2" s="1"/>
  <c r="AA30" i="2" s="1"/>
  <c r="AB30" i="2" s="1"/>
  <c r="Y49" i="2" s="1"/>
  <c r="Y51" i="2" s="1"/>
  <c r="W54" i="2" s="1"/>
  <c r="X33" i="2"/>
  <c r="Y33" i="2" s="1"/>
  <c r="AA33" i="2" s="1"/>
  <c r="AB33" i="2" s="1"/>
  <c r="X31" i="2"/>
  <c r="Y31" i="2" s="1"/>
  <c r="AA31" i="2" s="1"/>
  <c r="AB31" i="2" s="1"/>
  <c r="X32" i="2"/>
  <c r="Y32" i="2" s="1"/>
  <c r="AA32" i="2" s="1"/>
  <c r="AB32" i="2" s="1"/>
  <c r="AA49" i="2" s="1"/>
  <c r="AA51" i="2" s="1"/>
  <c r="X29" i="2"/>
  <c r="Y29" i="2" s="1"/>
  <c r="AA29" i="2" s="1"/>
  <c r="AB29" i="2" s="1"/>
  <c r="W49" i="2" s="1"/>
  <c r="W51" i="2" s="1"/>
  <c r="K37" i="31"/>
  <c r="M8" i="37" l="1"/>
  <c r="L22" i="31"/>
  <c r="L37" i="31" s="1"/>
  <c r="J23" i="33"/>
  <c r="M13" i="31"/>
  <c r="M2" i="31"/>
  <c r="M41" i="17"/>
  <c r="M47" i="17" s="1"/>
  <c r="L45" i="17"/>
  <c r="M4" i="31"/>
  <c r="J26" i="33"/>
  <c r="J25" i="33" s="1"/>
  <c r="M29" i="31"/>
  <c r="J28" i="33" s="1"/>
  <c r="J27" i="33" s="1"/>
  <c r="O10" i="17"/>
  <c r="U15" i="17" s="1"/>
  <c r="N3" i="17"/>
  <c r="N52" i="18"/>
  <c r="N16" i="18"/>
  <c r="N22" i="19" s="1"/>
  <c r="N19" i="17"/>
  <c r="N30" i="19"/>
  <c r="L11" i="19"/>
  <c r="L16" i="19" s="1"/>
  <c r="L27" i="19" s="1"/>
  <c r="L53" i="19" s="1"/>
  <c r="L14" i="37" s="1"/>
  <c r="L47" i="17"/>
  <c r="L9" i="37"/>
  <c r="M32" i="35"/>
  <c r="M33" i="35" s="1"/>
  <c r="K34" i="31"/>
  <c r="K35" i="31" s="1"/>
  <c r="L31" i="31" l="1"/>
  <c r="L32" i="31" s="1"/>
  <c r="M17" i="31"/>
  <c r="O26" i="35" s="1"/>
  <c r="N7" i="37"/>
  <c r="M3" i="31"/>
  <c r="M45" i="17"/>
  <c r="M11" i="19"/>
  <c r="M16" i="19" s="1"/>
  <c r="M27" i="19" s="1"/>
  <c r="M53" i="19" s="1"/>
  <c r="M14" i="37" s="1"/>
  <c r="M9" i="37"/>
  <c r="N30" i="35"/>
  <c r="M25" i="31"/>
  <c r="J20" i="33"/>
  <c r="J19" i="33" s="1"/>
  <c r="N34" i="19"/>
  <c r="N20" i="19"/>
  <c r="N18" i="19" s="1"/>
  <c r="N54" i="18"/>
  <c r="N65" i="18" s="1"/>
  <c r="C70" i="17"/>
  <c r="E70" i="17" s="1"/>
  <c r="O26" i="17"/>
  <c r="O33" i="17"/>
  <c r="O31" i="17" s="1"/>
  <c r="O27" i="17"/>
  <c r="O50" i="18"/>
  <c r="O22" i="18"/>
  <c r="O25" i="17"/>
  <c r="O23" i="18"/>
  <c r="O24" i="18"/>
  <c r="O61" i="18"/>
  <c r="O25" i="19" s="1"/>
  <c r="O31" i="19"/>
  <c r="P15" i="17" s="1"/>
  <c r="W50" i="47" s="1"/>
  <c r="O13" i="18"/>
  <c r="O19" i="19" s="1"/>
  <c r="O47" i="18"/>
  <c r="O38" i="18"/>
  <c r="O24" i="19" s="1"/>
  <c r="O25" i="18"/>
  <c r="I38" i="25"/>
  <c r="O9" i="17"/>
  <c r="R60" i="17" s="1"/>
  <c r="O17" i="17"/>
  <c r="N11" i="31"/>
  <c r="O56" i="18"/>
  <c r="H113" i="24"/>
  <c r="O35" i="18" s="1"/>
  <c r="H115" i="24"/>
  <c r="H114" i="24"/>
  <c r="H112" i="24"/>
  <c r="H111" i="24"/>
  <c r="M38" i="31"/>
  <c r="N18" i="17"/>
  <c r="N27" i="18"/>
  <c r="J32" i="33"/>
  <c r="L34" i="31" l="1"/>
  <c r="L35" i="31" s="1"/>
  <c r="N32" i="35"/>
  <c r="N33" i="35" s="1"/>
  <c r="O63" i="18"/>
  <c r="O23" i="19"/>
  <c r="V49" i="47"/>
  <c r="J40" i="10"/>
  <c r="J37" i="10"/>
  <c r="J39" i="10"/>
  <c r="J41" i="10"/>
  <c r="J38" i="10"/>
  <c r="O21" i="19"/>
  <c r="N20" i="31"/>
  <c r="K13" i="33"/>
  <c r="N15" i="31"/>
  <c r="T4" i="47"/>
  <c r="K24" i="33"/>
  <c r="N10" i="31"/>
  <c r="K8" i="33" s="1"/>
  <c r="K9" i="33" s="1"/>
  <c r="K7" i="33" s="1"/>
  <c r="P22" i="35"/>
  <c r="N36" i="31"/>
  <c r="M26" i="31"/>
  <c r="J22" i="33"/>
  <c r="J21" i="33" s="1"/>
  <c r="N20" i="18"/>
  <c r="N40" i="18" s="1"/>
  <c r="P23" i="35"/>
  <c r="N12" i="31"/>
  <c r="N53" i="17"/>
  <c r="M18" i="31"/>
  <c r="N22" i="17"/>
  <c r="AB23" i="47" s="1"/>
  <c r="N12" i="19"/>
  <c r="J18" i="33"/>
  <c r="J17" i="33" s="1"/>
  <c r="N14" i="31"/>
  <c r="O24" i="17"/>
  <c r="T3" i="47"/>
  <c r="T5" i="47"/>
  <c r="N16" i="31"/>
  <c r="I22" i="25"/>
  <c r="I21" i="25"/>
  <c r="I24" i="25"/>
  <c r="I23" i="25"/>
  <c r="I20" i="25"/>
  <c r="O14" i="19"/>
  <c r="N28" i="31" s="1"/>
  <c r="O68" i="18"/>
  <c r="O21" i="18"/>
  <c r="N13" i="31" l="1"/>
  <c r="O7" i="37" s="1"/>
  <c r="N2" i="31"/>
  <c r="K23" i="33"/>
  <c r="O52" i="18"/>
  <c r="O3" i="17"/>
  <c r="O16" i="18"/>
  <c r="O22" i="19" s="1"/>
  <c r="K26" i="33"/>
  <c r="K25" i="33" s="1"/>
  <c r="N29" i="31"/>
  <c r="K28" i="33" s="1"/>
  <c r="K27" i="33" s="1"/>
  <c r="N4" i="31"/>
  <c r="O30" i="19"/>
  <c r="O19" i="17"/>
  <c r="T22" i="17"/>
  <c r="O24" i="35"/>
  <c r="N29" i="17"/>
  <c r="AB24" i="47"/>
  <c r="P10" i="17"/>
  <c r="M24" i="31"/>
  <c r="M19" i="31"/>
  <c r="N3" i="31" l="1"/>
  <c r="N17" i="31"/>
  <c r="P26" i="35" s="1"/>
  <c r="N38" i="31"/>
  <c r="O18" i="17"/>
  <c r="O27" i="18"/>
  <c r="O20" i="19"/>
  <c r="O18" i="19" s="1"/>
  <c r="O54" i="18"/>
  <c r="O65" i="18" s="1"/>
  <c r="V15" i="17"/>
  <c r="P9" i="17"/>
  <c r="S60" i="17" s="1"/>
  <c r="C71" i="17"/>
  <c r="E71" i="17" s="1"/>
  <c r="P13" i="18"/>
  <c r="P19" i="19" s="1"/>
  <c r="J38" i="25"/>
  <c r="P25" i="18"/>
  <c r="P22" i="18"/>
  <c r="P47" i="18"/>
  <c r="P26" i="17"/>
  <c r="P38" i="18"/>
  <c r="P24" i="19" s="1"/>
  <c r="P25" i="17"/>
  <c r="O11" i="31"/>
  <c r="P61" i="18"/>
  <c r="P25" i="19" s="1"/>
  <c r="P56" i="18"/>
  <c r="P33" i="17"/>
  <c r="P31" i="17" s="1"/>
  <c r="P27" i="17"/>
  <c r="P23" i="18"/>
  <c r="P24" i="18"/>
  <c r="P17" i="17"/>
  <c r="P31" i="19"/>
  <c r="Q15" i="17" s="1"/>
  <c r="X50" i="47" s="1"/>
  <c r="P50" i="18"/>
  <c r="I115" i="24"/>
  <c r="I111" i="24"/>
  <c r="I112" i="24"/>
  <c r="I114" i="24"/>
  <c r="I113" i="24"/>
  <c r="P35" i="18" s="1"/>
  <c r="N36" i="17"/>
  <c r="N52" i="17"/>
  <c r="N55" i="17" s="1"/>
  <c r="J12" i="33"/>
  <c r="J11" i="33" s="1"/>
  <c r="J14" i="33" s="1"/>
  <c r="J15" i="33" s="1"/>
  <c r="O28" i="35"/>
  <c r="N19" i="37"/>
  <c r="K32" i="33"/>
  <c r="K20" i="33"/>
  <c r="K19" i="33" s="1"/>
  <c r="O34" i="19"/>
  <c r="N25" i="31"/>
  <c r="P23" i="19" l="1"/>
  <c r="O14" i="31"/>
  <c r="U3" i="47"/>
  <c r="P24" i="17"/>
  <c r="Q23" i="35"/>
  <c r="O12" i="31"/>
  <c r="U4" i="47"/>
  <c r="O15" i="31"/>
  <c r="N20" i="37"/>
  <c r="N8" i="37"/>
  <c r="P21" i="19"/>
  <c r="W49" i="47"/>
  <c r="K37" i="10"/>
  <c r="K38" i="10"/>
  <c r="K39" i="10"/>
  <c r="K40" i="10"/>
  <c r="K41" i="10"/>
  <c r="N38" i="17"/>
  <c r="M21" i="31" s="1"/>
  <c r="M22" i="31" s="1"/>
  <c r="O16" i="31"/>
  <c r="U5" i="47"/>
  <c r="O20" i="18"/>
  <c r="O40" i="18" s="1"/>
  <c r="O10" i="31"/>
  <c r="L8" i="33" s="1"/>
  <c r="L9" i="33" s="1"/>
  <c r="L7" i="33" s="1"/>
  <c r="L24" i="33"/>
  <c r="O36" i="31"/>
  <c r="Q22" i="35"/>
  <c r="P21" i="18"/>
  <c r="K22" i="33"/>
  <c r="K21" i="33" s="1"/>
  <c r="N26" i="31"/>
  <c r="O20" i="31"/>
  <c r="L13" i="33"/>
  <c r="P68" i="18"/>
  <c r="J24" i="25"/>
  <c r="J20" i="25"/>
  <c r="P14" i="19"/>
  <c r="O28" i="31" s="1"/>
  <c r="J21" i="25"/>
  <c r="J22" i="25"/>
  <c r="J23" i="25"/>
  <c r="O12" i="19"/>
  <c r="K18" i="33"/>
  <c r="K17" i="33" s="1"/>
  <c r="O53" i="17"/>
  <c r="N18" i="31"/>
  <c r="O22" i="17"/>
  <c r="AC23" i="47" s="1"/>
  <c r="J30" i="33"/>
  <c r="J33" i="33" s="1"/>
  <c r="J16" i="33"/>
  <c r="P63" i="18"/>
  <c r="E35" i="10" l="1" a="1"/>
  <c r="E35" i="10" s="1"/>
  <c r="O13" i="31"/>
  <c r="O17" i="31" s="1"/>
  <c r="O2" i="31"/>
  <c r="N41" i="17"/>
  <c r="N11" i="19" s="1"/>
  <c r="N16" i="19" s="1"/>
  <c r="N27" i="19" s="1"/>
  <c r="N53" i="19" s="1"/>
  <c r="N14" i="37" s="1"/>
  <c r="L23" i="33"/>
  <c r="Q10" i="17"/>
  <c r="R10" i="17" s="1"/>
  <c r="M31" i="31"/>
  <c r="M37" i="31"/>
  <c r="P30" i="19"/>
  <c r="P19" i="17"/>
  <c r="N24" i="31"/>
  <c r="N19" i="31"/>
  <c r="L26" i="33"/>
  <c r="L25" i="33" s="1"/>
  <c r="O29" i="31"/>
  <c r="L28" i="33" s="1"/>
  <c r="L27" i="33" s="1"/>
  <c r="P3" i="17"/>
  <c r="P52" i="18"/>
  <c r="P16" i="18"/>
  <c r="P22" i="19" s="1"/>
  <c r="P24" i="35"/>
  <c r="AC24" i="47"/>
  <c r="O29" i="17"/>
  <c r="U22" i="17"/>
  <c r="O4" i="31"/>
  <c r="O62" i="17" l="1"/>
  <c r="P62" i="17"/>
  <c r="Q62" i="17"/>
  <c r="R62" i="17"/>
  <c r="S62" i="17"/>
  <c r="T62" i="17"/>
  <c r="W15" i="17"/>
  <c r="O3" i="31"/>
  <c r="P7" i="37"/>
  <c r="O38" i="31"/>
  <c r="O30" i="35"/>
  <c r="N45" i="17"/>
  <c r="N47" i="17"/>
  <c r="N9" i="37"/>
  <c r="P28" i="35"/>
  <c r="O52" i="17"/>
  <c r="O55" i="17" s="1"/>
  <c r="K12" i="33"/>
  <c r="K11" i="33" s="1"/>
  <c r="K14" i="33" s="1"/>
  <c r="K15" i="33" s="1"/>
  <c r="O36" i="17"/>
  <c r="O19" i="37"/>
  <c r="P18" i="17"/>
  <c r="P27" i="18"/>
  <c r="P34" i="19"/>
  <c r="O25" i="31"/>
  <c r="L20" i="33"/>
  <c r="L19" i="33" s="1"/>
  <c r="L32" i="33"/>
  <c r="P20" i="19"/>
  <c r="P18" i="19" s="1"/>
  <c r="P54" i="18"/>
  <c r="P65" i="18" s="1"/>
  <c r="Q26" i="35"/>
  <c r="O32" i="35"/>
  <c r="O33" i="35" s="1"/>
  <c r="M32" i="31"/>
  <c r="M34" i="31"/>
  <c r="M35" i="31" s="1"/>
  <c r="Q47" i="18"/>
  <c r="Q23" i="18"/>
  <c r="Q38" i="18"/>
  <c r="Q24" i="19" s="1"/>
  <c r="K38" i="25"/>
  <c r="Q33" i="17"/>
  <c r="Q31" i="17" s="1"/>
  <c r="Q31" i="19"/>
  <c r="X49" i="47" s="1"/>
  <c r="Q25" i="18"/>
  <c r="Q22" i="18"/>
  <c r="Q17" i="17"/>
  <c r="Q13" i="18"/>
  <c r="Q19" i="19" s="1"/>
  <c r="E57" i="17"/>
  <c r="Q27" i="17"/>
  <c r="Q24" i="18"/>
  <c r="Q26" i="17"/>
  <c r="Q56" i="18"/>
  <c r="Q50" i="18"/>
  <c r="Q9" i="17"/>
  <c r="T60" i="17" s="1"/>
  <c r="C72" i="17"/>
  <c r="E72" i="17" s="1"/>
  <c r="Q25" i="17"/>
  <c r="Q61" i="18"/>
  <c r="Q25" i="19" s="1"/>
  <c r="J113" i="24"/>
  <c r="Q35" i="18" s="1"/>
  <c r="J115" i="24"/>
  <c r="J111" i="24"/>
  <c r="J112" i="24"/>
  <c r="J114" i="24"/>
  <c r="F63" i="17" l="1"/>
  <c r="F66" i="17"/>
  <c r="F69" i="17"/>
  <c r="F70" i="17"/>
  <c r="F64" i="17"/>
  <c r="F65" i="17"/>
  <c r="F67" i="17"/>
  <c r="F68" i="17"/>
  <c r="F71" i="17"/>
  <c r="F72" i="17"/>
  <c r="Q23" i="19"/>
  <c r="E109" i="24" a="1"/>
  <c r="E109" i="24" s="1"/>
  <c r="P14" i="31"/>
  <c r="V3" i="47"/>
  <c r="Q24" i="17"/>
  <c r="R23" i="35"/>
  <c r="P12" i="31"/>
  <c r="P20" i="18"/>
  <c r="P40" i="18" s="1"/>
  <c r="Q21" i="18"/>
  <c r="L18" i="33"/>
  <c r="L17" i="33" s="1"/>
  <c r="P12" i="19"/>
  <c r="P53" i="17"/>
  <c r="O18" i="31"/>
  <c r="P22" i="17"/>
  <c r="AD23" i="47" s="1"/>
  <c r="J45" i="31"/>
  <c r="U11" i="31"/>
  <c r="R22" i="35"/>
  <c r="F8" i="33"/>
  <c r="P10" i="31"/>
  <c r="M8" i="33" s="1"/>
  <c r="M9" i="33" s="1"/>
  <c r="M7" i="33" s="1"/>
  <c r="F10" i="33" s="1"/>
  <c r="L41" i="33" s="1"/>
  <c r="M24" i="33"/>
  <c r="P16" i="31"/>
  <c r="V5" i="47"/>
  <c r="O38" i="17"/>
  <c r="N21" i="31" s="1"/>
  <c r="N22" i="31" s="1"/>
  <c r="P15" i="31"/>
  <c r="V4" i="47"/>
  <c r="K23" i="25"/>
  <c r="K22" i="25"/>
  <c r="Q14" i="19"/>
  <c r="P28" i="31" s="1"/>
  <c r="K21" i="25"/>
  <c r="K20" i="25"/>
  <c r="K24" i="25"/>
  <c r="Q68" i="18"/>
  <c r="L22" i="33"/>
  <c r="L21" i="33" s="1"/>
  <c r="O26" i="31"/>
  <c r="O8" i="37"/>
  <c r="O20" i="37"/>
  <c r="F62" i="17"/>
  <c r="F61" i="17"/>
  <c r="Q21" i="19"/>
  <c r="Q63" i="18"/>
  <c r="M13" i="33"/>
  <c r="P20" i="31"/>
  <c r="K30" i="33"/>
  <c r="K33" i="33" s="1"/>
  <c r="K16" i="33"/>
  <c r="M23" i="33" l="1"/>
  <c r="P13" i="31"/>
  <c r="P2" i="31"/>
  <c r="O41" i="17"/>
  <c r="O47" i="17" s="1"/>
  <c r="E18" i="25" a="1"/>
  <c r="O37" i="19" s="1"/>
  <c r="O47" i="19" s="1"/>
  <c r="AD24" i="47"/>
  <c r="V22" i="17"/>
  <c r="Q24" i="35"/>
  <c r="P29" i="17"/>
  <c r="Q3" i="17"/>
  <c r="Q16" i="18"/>
  <c r="Q22" i="19" s="1"/>
  <c r="Q52" i="18"/>
  <c r="P29" i="31"/>
  <c r="M28" i="33" s="1"/>
  <c r="M27" i="33" s="1"/>
  <c r="M26" i="33"/>
  <c r="M25" i="33" s="1"/>
  <c r="N31" i="31"/>
  <c r="N37" i="31"/>
  <c r="O24" i="31"/>
  <c r="O19" i="31"/>
  <c r="Q19" i="17"/>
  <c r="Q30" i="19"/>
  <c r="P4" i="31"/>
  <c r="P17" i="31" l="1"/>
  <c r="R26" i="35" s="1"/>
  <c r="Q7" i="37"/>
  <c r="P3" i="31"/>
  <c r="L37" i="19"/>
  <c r="L47" i="19" s="1"/>
  <c r="L49" i="19" s="1"/>
  <c r="M37" i="19"/>
  <c r="M47" i="19" s="1"/>
  <c r="M49" i="19" s="1"/>
  <c r="E18" i="25"/>
  <c r="N37" i="19"/>
  <c r="N47" i="19" s="1"/>
  <c r="N49" i="19" s="1"/>
  <c r="Q37" i="19"/>
  <c r="Q47" i="19" s="1"/>
  <c r="P37" i="19"/>
  <c r="P47" i="19" s="1"/>
  <c r="O11" i="19"/>
  <c r="O16" i="19" s="1"/>
  <c r="O27" i="19" s="1"/>
  <c r="O53" i="19" s="1"/>
  <c r="O14" i="37" s="1"/>
  <c r="O9" i="37"/>
  <c r="O45" i="17"/>
  <c r="P30" i="35"/>
  <c r="P38" i="31"/>
  <c r="J53" i="31" s="1"/>
  <c r="K41" i="35" s="1"/>
  <c r="J51" i="31"/>
  <c r="K39" i="35" s="1"/>
  <c r="Q34" i="19"/>
  <c r="P25" i="31"/>
  <c r="M20" i="33"/>
  <c r="M19" i="33" s="1"/>
  <c r="Q20" i="19"/>
  <c r="Q18" i="19" s="1"/>
  <c r="Q54" i="18"/>
  <c r="Q65" i="18" s="1"/>
  <c r="M32" i="33"/>
  <c r="G46" i="33" s="1"/>
  <c r="G44" i="33"/>
  <c r="G45" i="33" s="1"/>
  <c r="Q18" i="17"/>
  <c r="Q27" i="18"/>
  <c r="Q20" i="18" s="1"/>
  <c r="Q40" i="18" s="1"/>
  <c r="P52" i="17"/>
  <c r="P55" i="17" s="1"/>
  <c r="P19" i="37"/>
  <c r="Q28" i="35"/>
  <c r="L12" i="33"/>
  <c r="L11" i="33" s="1"/>
  <c r="L14" i="33" s="1"/>
  <c r="L15" i="33" s="1"/>
  <c r="P36" i="17"/>
  <c r="N34" i="31"/>
  <c r="N35" i="31" s="1"/>
  <c r="N32" i="31"/>
  <c r="P32" i="35"/>
  <c r="P33" i="35" s="1"/>
  <c r="L70" i="18" l="1"/>
  <c r="L72" i="18" s="1"/>
  <c r="O49" i="19"/>
  <c r="J52" i="31"/>
  <c r="K40" i="35" s="1"/>
  <c r="P20" i="37"/>
  <c r="P8" i="37"/>
  <c r="P26" i="31"/>
  <c r="M22" i="33"/>
  <c r="M21" i="33" s="1"/>
  <c r="L30" i="33"/>
  <c r="L33" i="33" s="1"/>
  <c r="L16" i="33"/>
  <c r="P38" i="17"/>
  <c r="O21" i="31" s="1"/>
  <c r="O22" i="31" s="1"/>
  <c r="L11" i="18"/>
  <c r="L51" i="19"/>
  <c r="P18" i="31"/>
  <c r="M18" i="33"/>
  <c r="M17" i="33" s="1"/>
  <c r="Q12" i="19"/>
  <c r="Q53" i="17"/>
  <c r="Q22" i="17"/>
  <c r="AE23" i="47" s="1"/>
  <c r="M70" i="18" l="1"/>
  <c r="N70" i="18" s="1"/>
  <c r="P41" i="17"/>
  <c r="P11" i="19" s="1"/>
  <c r="P16" i="19" s="1"/>
  <c r="P27" i="19" s="1"/>
  <c r="R24" i="35"/>
  <c r="AE24" i="47"/>
  <c r="W22" i="17"/>
  <c r="Q29" i="17"/>
  <c r="O31" i="31"/>
  <c r="O37" i="31"/>
  <c r="L13" i="37"/>
  <c r="L74" i="18"/>
  <c r="P24" i="31"/>
  <c r="P19" i="31"/>
  <c r="L17" i="37"/>
  <c r="L18" i="18"/>
  <c r="M51" i="19"/>
  <c r="M11" i="18"/>
  <c r="M72" i="18" l="1"/>
  <c r="M74" i="18" s="1"/>
  <c r="P9" i="37"/>
  <c r="Q30" i="35"/>
  <c r="P45" i="17"/>
  <c r="P47" i="17"/>
  <c r="R28" i="35"/>
  <c r="Q19" i="37"/>
  <c r="Q36" i="17"/>
  <c r="M12" i="33"/>
  <c r="M11" i="33" s="1"/>
  <c r="M14" i="33" s="1"/>
  <c r="M15" i="33" s="1"/>
  <c r="Q52" i="17"/>
  <c r="Q55" i="17" s="1"/>
  <c r="O32" i="31"/>
  <c r="Q32" i="35"/>
  <c r="Q33" i="35" s="1"/>
  <c r="O35" i="31"/>
  <c r="P49" i="19"/>
  <c r="P53" i="19"/>
  <c r="P14" i="37" s="1"/>
  <c r="N11" i="18"/>
  <c r="M18" i="18"/>
  <c r="M17" i="37"/>
  <c r="N51" i="19"/>
  <c r="M13" i="37"/>
  <c r="O70" i="18"/>
  <c r="N72" i="18"/>
  <c r="L16" i="37"/>
  <c r="L42" i="18"/>
  <c r="L75" i="18" s="1"/>
  <c r="N13" i="37" l="1"/>
  <c r="N74" i="18"/>
  <c r="P70" i="18"/>
  <c r="O72" i="18"/>
  <c r="O13" i="37" s="1"/>
  <c r="Q20" i="37"/>
  <c r="Q8" i="37"/>
  <c r="M30" i="33"/>
  <c r="M16" i="33"/>
  <c r="M42" i="18"/>
  <c r="M16" i="37"/>
  <c r="Q38" i="17"/>
  <c r="P21" i="31" s="1"/>
  <c r="P22" i="31" s="1"/>
  <c r="N18" i="18"/>
  <c r="O11" i="18"/>
  <c r="O51" i="19"/>
  <c r="N17" i="37"/>
  <c r="L11" i="37"/>
  <c r="L10" i="37"/>
  <c r="L12" i="37"/>
  <c r="Q41" i="17" l="1"/>
  <c r="Q70" i="18" s="1"/>
  <c r="Q72" i="18" s="1"/>
  <c r="Q74" i="18" s="1"/>
  <c r="O74" i="18"/>
  <c r="M33" i="33"/>
  <c r="G38" i="33" s="1"/>
  <c r="G40" i="33"/>
  <c r="G41" i="33" s="1"/>
  <c r="G42" i="33" s="1"/>
  <c r="P34" i="31"/>
  <c r="P37" i="31"/>
  <c r="M12" i="37"/>
  <c r="M11" i="37"/>
  <c r="M10" i="37"/>
  <c r="M75" i="18"/>
  <c r="O17" i="37"/>
  <c r="O18" i="18"/>
  <c r="P51" i="19"/>
  <c r="P11" i="18"/>
  <c r="N42" i="18"/>
  <c r="N75" i="18" s="1"/>
  <c r="N16" i="37"/>
  <c r="P72" i="18"/>
  <c r="P74" i="18" s="1"/>
  <c r="G48" i="33" l="1"/>
  <c r="G51" i="33" s="1"/>
  <c r="L39" i="33" s="1"/>
  <c r="U9" i="31"/>
  <c r="P32" i="31"/>
  <c r="J47" i="31"/>
  <c r="J48" i="31" s="1"/>
  <c r="P35" i="31"/>
  <c r="R32" i="35"/>
  <c r="P17" i="37"/>
  <c r="P18" i="18"/>
  <c r="P13" i="37"/>
  <c r="N12" i="37"/>
  <c r="N10" i="37"/>
  <c r="N11" i="37"/>
  <c r="O16" i="37"/>
  <c r="O42" i="18"/>
  <c r="O75" i="18" s="1"/>
  <c r="R30" i="35"/>
  <c r="Q45" i="17"/>
  <c r="Q11" i="19"/>
  <c r="Q16" i="19" s="1"/>
  <c r="Q27" i="19" s="1"/>
  <c r="Q9" i="37"/>
  <c r="Q47" i="17"/>
  <c r="Q13" i="37"/>
  <c r="P16" i="37" l="1"/>
  <c r="P42" i="18"/>
  <c r="P12" i="37" s="1"/>
  <c r="O12" i="37"/>
  <c r="O11" i="37"/>
  <c r="O10" i="37"/>
  <c r="R33" i="35"/>
  <c r="K37" i="35" s="1"/>
  <c r="K35" i="35"/>
  <c r="K36" i="35" s="1"/>
  <c r="J49" i="31"/>
  <c r="J55" i="31" s="1"/>
  <c r="J58" i="31" s="1"/>
  <c r="J61" i="31" s="1"/>
  <c r="V14" i="37" s="1"/>
  <c r="W29" i="31"/>
  <c r="Q53" i="19"/>
  <c r="Q14" i="37" s="1"/>
  <c r="Q49" i="19"/>
  <c r="U17" i="31"/>
  <c r="U18" i="31"/>
  <c r="U22" i="31"/>
  <c r="K48" i="31" l="1"/>
  <c r="K43" i="35"/>
  <c r="K46" i="35" s="1"/>
  <c r="K49" i="35" s="1"/>
  <c r="D5" i="35" s="1"/>
  <c r="B62" i="31"/>
  <c r="J62" i="31"/>
  <c r="E10" i="45"/>
  <c r="E12" i="45" s="1"/>
  <c r="U19" i="31"/>
  <c r="Q51" i="19"/>
  <c r="Q11" i="18"/>
  <c r="P11" i="37"/>
  <c r="P10" i="37"/>
  <c r="P75" i="18"/>
  <c r="Q18" i="18" l="1"/>
  <c r="Q17" i="37"/>
  <c r="W27" i="31"/>
  <c r="W28" i="31" s="1"/>
  <c r="W30" i="31" s="1"/>
  <c r="W34" i="31" s="1"/>
  <c r="W38" i="31" s="1"/>
  <c r="W39" i="31" s="1"/>
  <c r="U20" i="31"/>
  <c r="U23" i="31"/>
  <c r="Q42" i="18" l="1"/>
  <c r="Q16" i="37"/>
  <c r="Q12" i="37" l="1"/>
  <c r="Q10" i="37"/>
  <c r="Q75" i="18"/>
  <c r="Q11" i="37"/>
  <c r="H99" i="1"/>
  <c r="H157"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D2F0D11-FE8A-4ECF-9538-8C138E2AE17A}" keepAlive="1" name="Query - Table 1" description="Connection to the 'Table 1' query in the workbook." type="5" refreshedVersion="0" background="1" saveData="1">
    <dbPr connection="Provider=Microsoft.Mashup.OleDb.1;Data Source=$Workbook$;Location=&quot;Table 1&quot;;Extended Properties=&quot;&quot;" command="SELECT * FROM [Table 1]"/>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84">
    <bk>
      <extLst>
        <ext uri="{3e2802c4-a4d2-4d8b-9148-e3be6c30e623}">
          <xlrd:rvb i="2"/>
        </ext>
      </extLst>
    </bk>
    <bk>
      <extLst>
        <ext uri="{3e2802c4-a4d2-4d8b-9148-e3be6c30e623}">
          <xlrd:rvb i="5"/>
        </ext>
      </extLst>
    </bk>
    <bk>
      <extLst>
        <ext uri="{3e2802c4-a4d2-4d8b-9148-e3be6c30e623}">
          <xlrd:rvb i="8"/>
        </ext>
      </extLst>
    </bk>
    <bk>
      <extLst>
        <ext uri="{3e2802c4-a4d2-4d8b-9148-e3be6c30e623}">
          <xlrd:rvb i="11"/>
        </ext>
      </extLst>
    </bk>
    <bk>
      <extLst>
        <ext uri="{3e2802c4-a4d2-4d8b-9148-e3be6c30e623}">
          <xlrd:rvb i="14"/>
        </ext>
      </extLst>
    </bk>
    <bk>
      <extLst>
        <ext uri="{3e2802c4-a4d2-4d8b-9148-e3be6c30e623}">
          <xlrd:rvb i="17"/>
        </ext>
      </extLst>
    </bk>
    <bk>
      <extLst>
        <ext uri="{3e2802c4-a4d2-4d8b-9148-e3be6c30e623}">
          <xlrd:rvb i="20"/>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bk>
      <extLst>
        <ext uri="{3e2802c4-a4d2-4d8b-9148-e3be6c30e623}">
          <xlrd:rvb i="100"/>
        </ext>
      </extLst>
    </bk>
    <bk>
      <extLst>
        <ext uri="{3e2802c4-a4d2-4d8b-9148-e3be6c30e623}">
          <xlrd:rvb i="101"/>
        </ext>
      </extLst>
    </bk>
    <bk>
      <extLst>
        <ext uri="{3e2802c4-a4d2-4d8b-9148-e3be6c30e623}">
          <xlrd:rvb i="102"/>
        </ext>
      </extLst>
    </bk>
    <bk>
      <extLst>
        <ext uri="{3e2802c4-a4d2-4d8b-9148-e3be6c30e623}">
          <xlrd:rvb i="105"/>
        </ext>
      </extLst>
    </bk>
  </futureMetadata>
  <cellMetadata count="1">
    <bk>
      <rc t="1" v="0"/>
    </bk>
  </cellMetadata>
  <valueMetadata count="84">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valueMetadata>
</metadata>
</file>

<file path=xl/sharedStrings.xml><?xml version="1.0" encoding="utf-8"?>
<sst xmlns="http://schemas.openxmlformats.org/spreadsheetml/2006/main" count="2774" uniqueCount="1098">
  <si>
    <t>COVER PAGE</t>
  </si>
  <si>
    <t>NASDAQ:TEAM</t>
  </si>
  <si>
    <t>Macquarie University Research Group</t>
  </si>
  <si>
    <t>MURG</t>
  </si>
  <si>
    <t xml:space="preserve">Scenario Switch </t>
  </si>
  <si>
    <t>Base Case</t>
  </si>
  <si>
    <t>Weight:</t>
  </si>
  <si>
    <t>DCF</t>
  </si>
  <si>
    <t>VWAP</t>
  </si>
  <si>
    <t>Implied Share Price (USD$)</t>
  </si>
  <si>
    <t>Downside/Upside</t>
  </si>
  <si>
    <t>VWAP Share Price</t>
  </si>
  <si>
    <t>Atlassian DCF</t>
  </si>
  <si>
    <t>Gross Margin %</t>
  </si>
  <si>
    <t>Opex/Revenue %</t>
  </si>
  <si>
    <t>Currently Running</t>
  </si>
  <si>
    <t>Actuals</t>
  </si>
  <si>
    <t>Forecast</t>
  </si>
  <si>
    <t xml:space="preserve">H-Model DCF </t>
  </si>
  <si>
    <t>Source: Team 2 Atlassian DCF</t>
  </si>
  <si>
    <t>Inputs</t>
  </si>
  <si>
    <t>FCF Final Explicit Year, FY32 ($M)</t>
  </si>
  <si>
    <t>WACC</t>
  </si>
  <si>
    <t>Revenue</t>
  </si>
  <si>
    <t>g_S Exit growth rate (FY32)</t>
  </si>
  <si>
    <t>COGS (Excl. D&amp;A)</t>
  </si>
  <si>
    <t>g_L Long-run perpetuity growth</t>
  </si>
  <si>
    <t>Gross Profit</t>
  </si>
  <si>
    <t>Fade Period (Years)</t>
  </si>
  <si>
    <t>R&amp;D Expense</t>
  </si>
  <si>
    <t>H (Fade Period / 2)</t>
  </si>
  <si>
    <t>M&amp;S Expense</t>
  </si>
  <si>
    <t>G&amp;A Expense</t>
  </si>
  <si>
    <t>Terminal Value H-Model EOFY '32/ Year 6</t>
  </si>
  <si>
    <t>EBITDA</t>
  </si>
  <si>
    <t>Gordon component = FCF * (1+g_L)/(WACC-g_L)</t>
  </si>
  <si>
    <t>D&amp;A</t>
  </si>
  <si>
    <t>Fade Premium: FCF * H*(g_S-g_L)/(WACC-g_L)</t>
  </si>
  <si>
    <t>EBIT</t>
  </si>
  <si>
    <t>Terminal Value (H-Model)</t>
  </si>
  <si>
    <t>Non-Operating Income</t>
  </si>
  <si>
    <t>PV of Terminal Value = TV/(1+WACC)^6</t>
  </si>
  <si>
    <t>Taxes</t>
  </si>
  <si>
    <t>Cross-Check (Reg. GGM)</t>
  </si>
  <si>
    <t>Net Income</t>
  </si>
  <si>
    <t>Terminal Value (Gordon) = FCF * (1+g_L)(WACC-g_L)</t>
  </si>
  <si>
    <t>H-Model Premium vs. Gordon (%)</t>
  </si>
  <si>
    <t>(+) D&amp;A</t>
  </si>
  <si>
    <t>(-) CapEx</t>
  </si>
  <si>
    <t>(-) Change in NWC</t>
  </si>
  <si>
    <t>H-Model Share Price</t>
  </si>
  <si>
    <t xml:space="preserve">(+) Int Exp </t>
  </si>
  <si>
    <t>H-Model Terminal Value</t>
  </si>
  <si>
    <t>(+) Stock Based Compensation</t>
  </si>
  <si>
    <t>NON LIVE</t>
  </si>
  <si>
    <t>PV terminal value</t>
  </si>
  <si>
    <t>(-) Adjustment For SBC</t>
  </si>
  <si>
    <t>PV FCF (JUN '27 to JUN '32)</t>
  </si>
  <si>
    <t>Enterprise value</t>
  </si>
  <si>
    <t>Total FCF</t>
  </si>
  <si>
    <t>Cash</t>
  </si>
  <si>
    <t>(PV) FCF</t>
  </si>
  <si>
    <t>Debt</t>
  </si>
  <si>
    <t>Net debt</t>
  </si>
  <si>
    <t>FCF Margin (%)</t>
  </si>
  <si>
    <t>Equity Value</t>
  </si>
  <si>
    <t>FCF Margin (5dp)</t>
  </si>
  <si>
    <t>Sales Growth (5dp)</t>
  </si>
  <si>
    <t>No. Diluted Shares (M)</t>
  </si>
  <si>
    <t>Net Income Margin (%)</t>
  </si>
  <si>
    <t>PV SBC</t>
  </si>
  <si>
    <t>Estimated Share Price (DCF) - H-Model</t>
  </si>
  <si>
    <t>Upside/(Discount) to Valuation</t>
  </si>
  <si>
    <t>Gordon Growth Model DCF</t>
  </si>
  <si>
    <t>Terminal Growth Rate</t>
  </si>
  <si>
    <t>Forecast Revenue CAGR (%)</t>
  </si>
  <si>
    <t>Terminal Value</t>
  </si>
  <si>
    <t>PV of Terminal Value</t>
  </si>
  <si>
    <t>Sum of PV of FCF</t>
  </si>
  <si>
    <t>Terminal Value SBC</t>
  </si>
  <si>
    <t>PV of Terminal Value of SBC</t>
  </si>
  <si>
    <t>Sum of PV of SBC</t>
  </si>
  <si>
    <t>Enterprise Value</t>
  </si>
  <si>
    <t>(+) Cash</t>
  </si>
  <si>
    <t>(-) Debt</t>
  </si>
  <si>
    <t>Number of Shares Outstanding</t>
  </si>
  <si>
    <t>Implied Share Price</t>
  </si>
  <si>
    <t>Atlassian Comp. Multiples</t>
  </si>
  <si>
    <t>Implied Valuation - Trading Comparables (6 True Peers)</t>
  </si>
  <si>
    <t>NASDAQ: TEAM</t>
  </si>
  <si>
    <t>Peer Set: ServiceNow, HubSpot, GitLab, Monday.com, Freshworks, Asana. Atlassian and Microsoft excluded from peer statistics.</t>
  </si>
  <si>
    <t>X suffix</t>
  </si>
  <si>
    <t>0.00"x";(0.00"x")</t>
  </si>
  <si>
    <t>Atlassian Target Metrics</t>
  </si>
  <si>
    <t>2DP</t>
  </si>
  <si>
    <t>#,##0.00;(#,##0.00)</t>
  </si>
  <si>
    <t>NTM Sales ($M)</t>
  </si>
  <si>
    <t>Percentages</t>
  </si>
  <si>
    <t>0.0%;(0.0%)</t>
  </si>
  <si>
    <t>NTM Adj. EBITDA ($M)</t>
  </si>
  <si>
    <t>LTM FCF ($M)</t>
  </si>
  <si>
    <t>TEV ($M)</t>
  </si>
  <si>
    <t>Market Cap ($M)</t>
  </si>
  <si>
    <t>Share Price ($/share)</t>
  </si>
  <si>
    <t>Comparable Multiples</t>
  </si>
  <si>
    <t>Market Data</t>
  </si>
  <si>
    <r>
      <t>Financial Data (LTM)</t>
    </r>
    <r>
      <rPr>
        <b/>
        <vertAlign val="superscript"/>
        <sz val="9"/>
        <color theme="0"/>
        <rFont val="Aptos Narrow"/>
        <family val="2"/>
        <scheme val="minor"/>
      </rPr>
      <t>1</t>
    </r>
  </si>
  <si>
    <t>Financial Data (NTM)</t>
  </si>
  <si>
    <t>Metrics</t>
  </si>
  <si>
    <t>Net Debt =  TEV - Market Cap ($M)</t>
  </si>
  <si>
    <t xml:space="preserve">Price </t>
  </si>
  <si>
    <t>Fully Diluted Market Cap</t>
  </si>
  <si>
    <t>TEV</t>
  </si>
  <si>
    <t xml:space="preserve">Sales </t>
  </si>
  <si>
    <r>
      <t xml:space="preserve">Adjusted EBITDA </t>
    </r>
    <r>
      <rPr>
        <b/>
        <vertAlign val="superscript"/>
        <sz val="9"/>
        <color theme="0"/>
        <rFont val="Aptos Narrow"/>
        <family val="2"/>
        <scheme val="minor"/>
      </rPr>
      <t>2</t>
    </r>
  </si>
  <si>
    <t>Earnings</t>
  </si>
  <si>
    <t>FCF</t>
  </si>
  <si>
    <t>Sales (NTM)</t>
  </si>
  <si>
    <r>
      <t>Adjusted EBITDA (NTM)</t>
    </r>
    <r>
      <rPr>
        <vertAlign val="superscript"/>
        <sz val="9"/>
        <color theme="0"/>
        <rFont val="Aptos Narrow"/>
        <family val="2"/>
        <scheme val="minor"/>
      </rPr>
      <t>2</t>
    </r>
  </si>
  <si>
    <t>EV/Revenue (NTM)</t>
  </si>
  <si>
    <t>EV/EBITDA (NTM)</t>
  </si>
  <si>
    <t>Revenue Growth (LTM, implied)</t>
  </si>
  <si>
    <t>Rule of 40</t>
  </si>
  <si>
    <t>EV/FCF (LTM)</t>
  </si>
  <si>
    <t>Diluted Shares (Market Cap ÷ Price, M)</t>
  </si>
  <si>
    <t>Company Name</t>
  </si>
  <si>
    <t>($/share)</t>
  </si>
  <si>
    <t>($M)</t>
  </si>
  <si>
    <t>X</t>
  </si>
  <si>
    <t>(%)</t>
  </si>
  <si>
    <t xml:space="preserve">Atlassian Corp </t>
  </si>
  <si>
    <t>Method 1: EV/Revenue (NTM) - Implied Valuation</t>
  </si>
  <si>
    <t>ServiceNow</t>
  </si>
  <si>
    <t>Statisitic</t>
  </si>
  <si>
    <t>Peer Mutliple</t>
  </si>
  <si>
    <t>Target Metric</t>
  </si>
  <si>
    <t>Implied EV</t>
  </si>
  <si>
    <t>(-) Net Debt</t>
  </si>
  <si>
    <t>Implied Equity Value</t>
  </si>
  <si>
    <t>HubSpot</t>
  </si>
  <si>
    <t>GitLab</t>
  </si>
  <si>
    <t>Low</t>
  </si>
  <si>
    <t>Monday.com</t>
  </si>
  <si>
    <t>25th Percentile</t>
  </si>
  <si>
    <t>Freshworks</t>
  </si>
  <si>
    <t>Median</t>
  </si>
  <si>
    <t>Asana</t>
  </si>
  <si>
    <t>Mean</t>
  </si>
  <si>
    <t>Average (peers only)</t>
  </si>
  <si>
    <t>75th Percentile</t>
  </si>
  <si>
    <t>Median (peers only)</t>
  </si>
  <si>
    <t>High</t>
  </si>
  <si>
    <r>
      <t>Microsoft</t>
    </r>
    <r>
      <rPr>
        <b/>
        <vertAlign val="superscript"/>
        <sz val="9"/>
        <color theme="1"/>
        <rFont val="Aptos Narrow"/>
        <family val="2"/>
        <scheme val="minor"/>
      </rPr>
      <t>4</t>
    </r>
  </si>
  <si>
    <r>
      <rPr>
        <i/>
        <vertAlign val="superscript"/>
        <sz val="9"/>
        <color theme="1"/>
        <rFont val="Aptos Narrow"/>
        <family val="2"/>
        <scheme val="minor"/>
      </rPr>
      <t>1</t>
    </r>
    <r>
      <rPr>
        <i/>
        <sz val="9"/>
        <color theme="1"/>
        <rFont val="Aptos Narrow"/>
        <family val="2"/>
        <scheme val="minor"/>
      </rPr>
      <t>Financial data as of March 31, 2026 (GitLab reflects LTM/NTM through April 30, 2026 per fiscal reporting calendar)</t>
    </r>
  </si>
  <si>
    <t>Method 2: EV/EBITDA (NTM) - Implied Valuation</t>
  </si>
  <si>
    <r>
      <rPr>
        <i/>
        <vertAlign val="superscript"/>
        <sz val="9"/>
        <color theme="1"/>
        <rFont val="Aptos Narrow"/>
        <family val="2"/>
        <scheme val="minor"/>
      </rPr>
      <t>2</t>
    </r>
    <r>
      <rPr>
        <i/>
        <sz val="9"/>
        <color theme="1"/>
        <rFont val="Aptos Narrow"/>
        <family val="2"/>
        <scheme val="minor"/>
      </rPr>
      <t>EBITDA is presented on an adjusted basis throughout: LTM figures represent GAAP EBITDA plus stock-based compensation (self-calculated via financial statements); NTM figures reflect non-GAAP consensus estimates. This approach ensures consistency across the peer set given inconsistent GAAP estimates</t>
    </r>
  </si>
  <si>
    <t>P/E is excluded as Atlassian and several peers report negative LTM net income</t>
  </si>
  <si>
    <r>
      <rPr>
        <i/>
        <vertAlign val="superscript"/>
        <sz val="9"/>
        <color theme="1"/>
        <rFont val="Aptos Narrow"/>
        <family val="2"/>
        <scheme val="minor"/>
      </rPr>
      <t>4</t>
    </r>
    <r>
      <rPr>
        <i/>
        <sz val="9"/>
        <color theme="1"/>
        <rFont val="Aptos Narrow"/>
        <family val="2"/>
        <scheme val="minor"/>
      </rPr>
      <t xml:space="preserve">Microsoft is included as a reference, excluded from average/median due to scale mismatch </t>
    </r>
  </si>
  <si>
    <t>Source: Factset, Team Analysis</t>
  </si>
  <si>
    <t>Rolling LTM SBC</t>
  </si>
  <si>
    <t>Metric</t>
  </si>
  <si>
    <t>Measurement</t>
  </si>
  <si>
    <t>EV/Rev (NTM)</t>
  </si>
  <si>
    <t>Measures market valuation of Atlassian's top-line sales (independent of profitability)</t>
  </si>
  <si>
    <t>Determines whether a company is undervalued/overvalued by comparing its total business value to its core cash earnings</t>
  </si>
  <si>
    <t>Increase in company's YoY sales</t>
  </si>
  <si>
    <t>Method 3: EV/FCF (LTM) - Implied Valuation</t>
  </si>
  <si>
    <t>Rule of 40 (EBITDA)</t>
  </si>
  <si>
    <t xml:space="preserve">SaaS industry multiple that states a company's annual revenue growth rate and its profit margin should total 40% or more </t>
  </si>
  <si>
    <t>Measures how many dollars of company valuation you pay for each dollar generated</t>
  </si>
  <si>
    <t>MSFT</t>
  </si>
  <si>
    <t>Summary: Implied Share Price Range by Method</t>
  </si>
  <si>
    <t>Method</t>
  </si>
  <si>
    <t>Low (25th Pctl.)</t>
  </si>
  <si>
    <t>High (75th Pctl.)</t>
  </si>
  <si>
    <t>EV/ Revenue (NTM)</t>
  </si>
  <si>
    <t>Blended Average (all methods)</t>
  </si>
  <si>
    <t>VWAP Share Price (USD$)</t>
  </si>
  <si>
    <t>Premium/(Discount) to Blended Median</t>
  </si>
  <si>
    <t xml:space="preserve"> </t>
  </si>
  <si>
    <t>Updated 5/08/2026</t>
  </si>
  <si>
    <t>Atlassian (TEAM) - DCF Monte Carlo Simulation Results</t>
  </si>
  <si>
    <t>Monte Carlo Python Data</t>
  </si>
  <si>
    <t>Implied Share Price Distribution - 50,000 Simulations</t>
  </si>
  <si>
    <t>Variable</t>
  </si>
  <si>
    <t>Distribution</t>
  </si>
  <si>
    <t>Standard Deviation</t>
  </si>
  <si>
    <t>Justification</t>
  </si>
  <si>
    <t>Sales Growth (YoY)</t>
  </si>
  <si>
    <t>Normal, centered on detrended sales growth (2016 to 2026)</t>
  </si>
  <si>
    <t>FCF driver</t>
  </si>
  <si>
    <t>Percentile (%)</t>
  </si>
  <si>
    <t>Interpretation</t>
  </si>
  <si>
    <t>FCF Margin</t>
  </si>
  <si>
    <t>Normal, centered on FCF/sales ratio (2023 to 2026)</t>
  </si>
  <si>
    <t>CAPEX/WC/NI uncertainty</t>
  </si>
  <si>
    <t>Normal, centered at 9.49%</t>
  </si>
  <si>
    <t>Discount rate risk</t>
  </si>
  <si>
    <t>5th Percentile</t>
  </si>
  <si>
    <t>Bearish tail - only 5% of outcomes fall below</t>
  </si>
  <si>
    <t>Long-run growth rate (g_L)</t>
  </si>
  <si>
    <t>Normal, centered at 3.5% (1986 to 2026)</t>
  </si>
  <si>
    <t>Terminal value sensitivity</t>
  </si>
  <si>
    <t>10th Percentile</t>
  </si>
  <si>
    <t>50th Percentile</t>
  </si>
  <si>
    <t>Median - Central Estimate</t>
  </si>
  <si>
    <t xml:space="preserve">Mean </t>
  </si>
  <si>
    <t xml:space="preserve">Simulation Average </t>
  </si>
  <si>
    <t>90th Percentile</t>
  </si>
  <si>
    <t>95th Percentile</t>
  </si>
  <si>
    <t>Bullish tail - only 5% of outcomes exceed above</t>
  </si>
  <si>
    <t>Current Share Price:</t>
  </si>
  <si>
    <t>`</t>
  </si>
  <si>
    <t>Atlassian Sensitivity Analysis</t>
  </si>
  <si>
    <t>TGR</t>
  </si>
  <si>
    <t>Unlevered FCF</t>
  </si>
  <si>
    <t>PV FCF</t>
  </si>
  <si>
    <t>PV of FCF</t>
  </si>
  <si>
    <t>Number of Shares Outstanding (m)</t>
  </si>
  <si>
    <t>Current Share Price</t>
  </si>
  <si>
    <t>Reverse DCF Model</t>
  </si>
  <si>
    <t>($ in millions)</t>
  </si>
  <si>
    <t>Growth Scaling Factor (Goalseek)</t>
  </si>
  <si>
    <t>Base Compound Annual Growth Rate</t>
  </si>
  <si>
    <t>Scaled Growth Rate</t>
  </si>
  <si>
    <t>Scaled Compound Annual Growth Rate %</t>
  </si>
  <si>
    <t>% EBIT Margin</t>
  </si>
  <si>
    <t>Less: Taxes</t>
  </si>
  <si>
    <t>% NI Margin</t>
  </si>
  <si>
    <t>% D&amp;A Margin</t>
  </si>
  <si>
    <t>% CapEx Margin</t>
  </si>
  <si>
    <t>% Δ NWC Margin</t>
  </si>
  <si>
    <t>% Int. Exp Margin</t>
  </si>
  <si>
    <t>% SBC Margin</t>
  </si>
  <si>
    <t>% SBC Adjustment</t>
  </si>
  <si>
    <t>Free Cash Flow to Firm (FCFF)</t>
  </si>
  <si>
    <t>Discount Factor (WACC)</t>
  </si>
  <si>
    <t>Present Value of SBC</t>
  </si>
  <si>
    <t>Present Value of FCFF</t>
  </si>
  <si>
    <t>Implied DCF Valuation</t>
  </si>
  <si>
    <t>Share Price Calculation</t>
  </si>
  <si>
    <t>Present Value of FCFFs</t>
  </si>
  <si>
    <t>Diluted Shares Outstanding (mm)</t>
  </si>
  <si>
    <t>Long-Term Growth Rate</t>
  </si>
  <si>
    <t>Final Year FCF × (1 + g)</t>
  </si>
  <si>
    <t>Current Market Share Price</t>
  </si>
  <si>
    <t>Terminal Value in Final Year</t>
  </si>
  <si>
    <t>Implied Growth Rate</t>
  </si>
  <si>
    <t>Present Value of Terminal Value</t>
  </si>
  <si>
    <t>Total Enterprise Value (TEV)</t>
  </si>
  <si>
    <t>Year</t>
  </si>
  <si>
    <t>2020A</t>
  </si>
  <si>
    <t>2021A</t>
  </si>
  <si>
    <t>2022A</t>
  </si>
  <si>
    <t>2023A</t>
  </si>
  <si>
    <t>2024A</t>
  </si>
  <si>
    <t>2025A</t>
  </si>
  <si>
    <t>2026A</t>
  </si>
  <si>
    <t>2027F</t>
  </si>
  <si>
    <t>2028F</t>
  </si>
  <si>
    <t>2029F</t>
  </si>
  <si>
    <t>2030F</t>
  </si>
  <si>
    <t>2031F</t>
  </si>
  <si>
    <t>2032F</t>
  </si>
  <si>
    <t>DuPont Analysis</t>
  </si>
  <si>
    <t>Gross Margin</t>
  </si>
  <si>
    <t>EBITDA Margin</t>
  </si>
  <si>
    <t>Net Profit Margin</t>
  </si>
  <si>
    <t>Asset Turnover</t>
  </si>
  <si>
    <t>-</t>
  </si>
  <si>
    <t>Return on Assets</t>
  </si>
  <si>
    <t>Financial Leverage (A/E)</t>
  </si>
  <si>
    <t>Return on Equity</t>
  </si>
  <si>
    <t>Weight (%)</t>
  </si>
  <si>
    <t>Value</t>
  </si>
  <si>
    <t>DCF Valuation</t>
  </si>
  <si>
    <t>Liquidity</t>
  </si>
  <si>
    <t>Comparables Valuation</t>
  </si>
  <si>
    <t>Current Ratio</t>
  </si>
  <si>
    <t>Target Price</t>
  </si>
  <si>
    <t>Quick Ratio</t>
  </si>
  <si>
    <t>Implied Downside</t>
  </si>
  <si>
    <t>Debt Ratio</t>
  </si>
  <si>
    <t>Interest Coverage Ratio</t>
  </si>
  <si>
    <t>Debt/EBITDA</t>
  </si>
  <si>
    <t>1-Month VWAP</t>
  </si>
  <si>
    <t>Market Cap</t>
  </si>
  <si>
    <t>$48.833B</t>
  </si>
  <si>
    <t>Shares Outstanding</t>
  </si>
  <si>
    <t>260.16M</t>
  </si>
  <si>
    <t>52-Week High</t>
  </si>
  <si>
    <t>52-Week Low</t>
  </si>
  <si>
    <t>Altman's Z-Score</t>
  </si>
  <si>
    <t>Parameters - Actuals</t>
  </si>
  <si>
    <t>Calculations</t>
  </si>
  <si>
    <t>Income statement</t>
  </si>
  <si>
    <t>Factor</t>
  </si>
  <si>
    <t>Net sales</t>
  </si>
  <si>
    <t>Working Cap / Total Assets</t>
  </si>
  <si>
    <t>Operating income</t>
  </si>
  <si>
    <t>Retained Earnings / Total Assets</t>
  </si>
  <si>
    <t>EBIT / Total Assets</t>
  </si>
  <si>
    <t>Balance sheet</t>
  </si>
  <si>
    <t>Net Sales / Total Assets</t>
  </si>
  <si>
    <t>Current assets</t>
  </si>
  <si>
    <t>Market value of equity/Total liabilities</t>
  </si>
  <si>
    <t>Total assets</t>
  </si>
  <si>
    <t>Current liabilities</t>
  </si>
  <si>
    <t>Z Score</t>
  </si>
  <si>
    <t>Total liabilities</t>
  </si>
  <si>
    <t>Retained earnings</t>
  </si>
  <si>
    <t>Key</t>
  </si>
  <si>
    <t>Market value of equity</t>
  </si>
  <si>
    <t>Z &lt; 1.81</t>
  </si>
  <si>
    <t>Bad</t>
  </si>
  <si>
    <t>Book value of equity</t>
  </si>
  <si>
    <t>1.81 &lt; Z &lt; 2.99</t>
  </si>
  <si>
    <t>Moderate</t>
  </si>
  <si>
    <t>Z &gt; 2.99</t>
  </si>
  <si>
    <t>Excellent</t>
  </si>
  <si>
    <t>Chaffe &amp; Finntery Discount for Lack of Marketability</t>
  </si>
  <si>
    <t>409A Valuation(s)</t>
  </si>
  <si>
    <t>TEAM RSU Vesting Schedule</t>
  </si>
  <si>
    <t>ICAEW Presentation</t>
  </si>
  <si>
    <t>Finnerty Paper</t>
  </si>
  <si>
    <t>Precendent(s)</t>
  </si>
  <si>
    <t>Stout</t>
  </si>
  <si>
    <t>Precedent 2</t>
  </si>
  <si>
    <t>Chaffe Model</t>
  </si>
  <si>
    <t>Finnerty Model</t>
  </si>
  <si>
    <t>Sigma Annualized</t>
  </si>
  <si>
    <t>Vesting</t>
  </si>
  <si>
    <t>q</t>
  </si>
  <si>
    <t>No div</t>
  </si>
  <si>
    <t>rf</t>
  </si>
  <si>
    <t>L (vesting)</t>
  </si>
  <si>
    <t>S</t>
  </si>
  <si>
    <t>v</t>
  </si>
  <si>
    <t>Effective volatility, equation 6</t>
  </si>
  <si>
    <t>K</t>
  </si>
  <si>
    <t>p</t>
  </si>
  <si>
    <t>1y marketability discount, equation 7</t>
  </si>
  <si>
    <t>Date</t>
  </si>
  <si>
    <t>TEAM Weekly Returns 10 yr (%)</t>
  </si>
  <si>
    <t>d1</t>
  </si>
  <si>
    <t>Delta</t>
  </si>
  <si>
    <t>Annualised decay rate, equation 8</t>
  </si>
  <si>
    <t>d2</t>
  </si>
  <si>
    <t>Delta *</t>
  </si>
  <si>
    <t>Multi-year discount, equation 9/10</t>
  </si>
  <si>
    <t>P</t>
  </si>
  <si>
    <t>Adjustment (α)</t>
  </si>
  <si>
    <t>Discount</t>
  </si>
  <si>
    <t xml:space="preserve">Trailing Monthly VWAP </t>
  </si>
  <si>
    <t>Close</t>
  </si>
  <si>
    <t>Volume</t>
  </si>
  <si>
    <t>31-Day Trailing VWAP</t>
  </si>
  <si>
    <t>Increases YoY</t>
  </si>
  <si>
    <t>'20A</t>
  </si>
  <si>
    <t>'21A</t>
  </si>
  <si>
    <t>'22A</t>
  </si>
  <si>
    <t>'23A</t>
  </si>
  <si>
    <t>'24A</t>
  </si>
  <si>
    <t>'25A</t>
  </si>
  <si>
    <t>'26A</t>
  </si>
  <si>
    <t>'27E</t>
  </si>
  <si>
    <t>'28E</t>
  </si>
  <si>
    <t>'29E</t>
  </si>
  <si>
    <t>'30E</t>
  </si>
  <si>
    <t>'31E</t>
  </si>
  <si>
    <t>'32E</t>
  </si>
  <si>
    <t>Figure XX: Goodwill by Fiscal Year (US$m) - Investment Summary</t>
  </si>
  <si>
    <t>Figure XX: Inference Costs by Fiscal Year (US$m)</t>
  </si>
  <si>
    <t>Figure XX: R&amp;D, M&amp;S, G&amp;A Margins by Fiscal Year (%) - Investment Summary</t>
  </si>
  <si>
    <t>Cloud</t>
  </si>
  <si>
    <t>Data Center</t>
  </si>
  <si>
    <t>Server</t>
  </si>
  <si>
    <t>Marketplace &amp; Other</t>
  </si>
  <si>
    <t>Figure XX: Gross Profit &amp; Gross Margin - Investment Summary</t>
  </si>
  <si>
    <t>Figure XX: Revenue Stream Build-Up - Business Model</t>
  </si>
  <si>
    <t>'17A</t>
  </si>
  <si>
    <t>'18A</t>
  </si>
  <si>
    <t>'19A</t>
  </si>
  <si>
    <t>Figure XX: Forecasted Acquisitions (US$m)</t>
  </si>
  <si>
    <t>https://www.mckinsey.com/capabilities/quantumblack/our-insights/the-state-of-ai#/</t>
  </si>
  <si>
    <t>WACC Calculations</t>
  </si>
  <si>
    <t>WACC Summary</t>
  </si>
  <si>
    <t>CAPM</t>
  </si>
  <si>
    <t>French-Fama 3 Factor</t>
  </si>
  <si>
    <t>French-Fama 5 Factor</t>
  </si>
  <si>
    <t>WACC Calculation - Fama-French 1 Model</t>
  </si>
  <si>
    <t>Capital Structure</t>
  </si>
  <si>
    <t>Total Debt</t>
  </si>
  <si>
    <t>Total Equity</t>
  </si>
  <si>
    <t>%Debt</t>
  </si>
  <si>
    <t>%Equity</t>
  </si>
  <si>
    <t>Total%</t>
  </si>
  <si>
    <t>Cost of Debt (%YTM Issued Debt)</t>
  </si>
  <si>
    <t>Tax Rate</t>
  </si>
  <si>
    <t>After-Tax Cost of Debt</t>
  </si>
  <si>
    <t>Cost of Equity</t>
  </si>
  <si>
    <t>Risk Free Rate</t>
  </si>
  <si>
    <t>Equity Risk Premium</t>
  </si>
  <si>
    <t>Beta Calculation</t>
  </si>
  <si>
    <t>WACC Calculation - Fama-French 3 Model</t>
  </si>
  <si>
    <t>Figure XX: 3-Factor Fama-French CoE</t>
  </si>
  <si>
    <t>Risk-Free Rate</t>
  </si>
  <si>
    <t>Mkt-RF (β)</t>
  </si>
  <si>
    <t>SMB (β)</t>
  </si>
  <si>
    <t>HML (β)</t>
  </si>
  <si>
    <t xml:space="preserve">Market Risk Premium </t>
  </si>
  <si>
    <t xml:space="preserve">SMB Premium </t>
  </si>
  <si>
    <t xml:space="preserve">HML Premium </t>
  </si>
  <si>
    <t>Source: CapitalIQ, Damodaran 2026, MURG</t>
  </si>
  <si>
    <t>Cost of Debt</t>
  </si>
  <si>
    <t>Figure XX: After-Tax Cost of Debt</t>
  </si>
  <si>
    <t>AT Cost of Debt</t>
  </si>
  <si>
    <t>Figure XX: WACC</t>
  </si>
  <si>
    <t>Weight of Debt</t>
  </si>
  <si>
    <t>Weight of Equity</t>
  </si>
  <si>
    <t>WACC Calculation - Fama-French 5 Model</t>
  </si>
  <si>
    <t>Atlassian (TEAM) — Cost of Equity: CAPM vs. Fama-French Models</t>
  </si>
  <si>
    <t>Full regression outputs, premiums, and headline comparison</t>
  </si>
  <si>
    <t>Headline Comparison</t>
  </si>
  <si>
    <t>Model</t>
  </si>
  <si>
    <t>R²</t>
  </si>
  <si>
    <t>vs. CAPM (bps)</t>
  </si>
  <si>
    <t>Reliability</t>
  </si>
  <si>
    <t>CAPM (S&amp;P 500 Beta)</t>
  </si>
  <si>
    <t>Reliable</t>
  </si>
  <si>
    <t>Fama-French 3-Factor</t>
  </si>
  <si>
    <t>Fama-French 5-Factor</t>
  </si>
  <si>
    <t>Unreliable</t>
  </si>
  <si>
    <t>CAPM Inputs</t>
  </si>
  <si>
    <t>Risk-Free Rate (Rf)</t>
  </si>
  <si>
    <t>Market Risk Premium (MRP)</t>
  </si>
  <si>
    <t>Beta (own regression vs. S&amp;P 500)</t>
  </si>
  <si>
    <t>Cost of Equity (CAPM)</t>
  </si>
  <si>
    <t>Fama-French 3-Factor — Live Regression (LINEST)</t>
  </si>
  <si>
    <t>Intercept (alpha)</t>
  </si>
  <si>
    <t>Mkt-RF (coefficient)</t>
  </si>
  <si>
    <t>SMB (coefficient)</t>
  </si>
  <si>
    <t>HML (coefficient)</t>
  </si>
  <si>
    <t>Std Error (Intercept)</t>
  </si>
  <si>
    <t>Std Error (Mkt-RF)</t>
  </si>
  <si>
    <t>Std Error (SMB)</t>
  </si>
  <si>
    <t>Std Error (HML)</t>
  </si>
  <si>
    <t xml:space="preserve">French-Fama 3-Factor Standard Deviation </t>
  </si>
  <si>
    <t>R-Squared</t>
  </si>
  <si>
    <t>Fama-French 3-Factor — Premiums &amp; Cost of Equity</t>
  </si>
  <si>
    <t>Same as CAPM</t>
  </si>
  <si>
    <t>SMB Premium (Annualised)</t>
  </si>
  <si>
    <t>Mean of three factor SMB * 52 (full history range is from 1926 to 2026)</t>
  </si>
  <si>
    <t>HML Premium (Annualised)</t>
  </si>
  <si>
    <t>Mean of three factor HML * 52 (full history range is from 1926 to 2026)</t>
  </si>
  <si>
    <t>TEAM Return</t>
  </si>
  <si>
    <t>RF</t>
  </si>
  <si>
    <t>TEAM Excess Return</t>
  </si>
  <si>
    <t>Mkt-RF</t>
  </si>
  <si>
    <t>SMB</t>
  </si>
  <si>
    <t>HML</t>
  </si>
  <si>
    <t>Fama-French 5-Factor Live Regression (LINEST)</t>
  </si>
  <si>
    <t>RMW (coefficient)</t>
  </si>
  <si>
    <t>CMA (coefficient)</t>
  </si>
  <si>
    <t>Std Error (RMW)</t>
  </si>
  <si>
    <t>Std Error (CMA)</t>
  </si>
  <si>
    <t>French-Fama 5-Factor Standard Deviation</t>
  </si>
  <si>
    <t>Fama-French 5-Factor Premiums &amp; Cost of Equity</t>
  </si>
  <si>
    <t>Mean of five factor SMB * 252, historical range of 1963 to 2026</t>
  </si>
  <si>
    <t>Mean of five factor HML * 252, historical range of 1963 to 2026</t>
  </si>
  <si>
    <t>RMW Premium (annualised)</t>
  </si>
  <si>
    <t>Mean of five factor RMW * 252, historical range of 1963 to 2026</t>
  </si>
  <si>
    <t>CMA Premium (annualised)</t>
  </si>
  <si>
    <t>Mean of five factor CMA * 252, historical range of 1963 to 2026</t>
  </si>
  <si>
    <t>RMW</t>
  </si>
  <si>
    <t>CMA</t>
  </si>
  <si>
    <t>Beta Regression</t>
  </si>
  <si>
    <t>Atlassian (TEAM) - Beta Regression vs. S&amp;P500</t>
  </si>
  <si>
    <t>Weekly Returns, July 2023 - July 2026 (n=157 weeks)</t>
  </si>
  <si>
    <t>Regression Summary</t>
  </si>
  <si>
    <t>Beta (Slope)</t>
  </si>
  <si>
    <t>Standard Error</t>
  </si>
  <si>
    <t>Intercept</t>
  </si>
  <si>
    <t>t-Statistic</t>
  </si>
  <si>
    <t>Observations (n)</t>
  </si>
  <si>
    <t xml:space="preserve">Standard Deviation </t>
  </si>
  <si>
    <t>Inputs used Elsewhere</t>
  </si>
  <si>
    <t>Market-Risk Premium</t>
  </si>
  <si>
    <t>S&amp;P 500</t>
  </si>
  <si>
    <t>TEAM</t>
  </si>
  <si>
    <t>S&amp;P 500 Return</t>
  </si>
  <si>
    <t>IS Intergrated</t>
  </si>
  <si>
    <t>Sales</t>
  </si>
  <si>
    <t>Acquistions</t>
  </si>
  <si>
    <t>Cost of Goods Sold (COGS) Excl. D&amp;A</t>
  </si>
  <si>
    <t>COGS based upon historical %of revenue, with weighting towards recent trends</t>
  </si>
  <si>
    <t>Depreciation</t>
  </si>
  <si>
    <t>Depr based upon historical %of revenue, with weighting towards recent trends</t>
  </si>
  <si>
    <t>Amortization</t>
  </si>
  <si>
    <t>Acquired developed technology and customer relationships typically disclosed at 3-5 years, Atlassian 10-K  FY25. Intangibles fully amortise by 2030</t>
  </si>
  <si>
    <t>Gross Income</t>
  </si>
  <si>
    <t>Operating Expenses</t>
  </si>
  <si>
    <t>Non-Operating Income - Net</t>
  </si>
  <si>
    <t>Nonoperating Int. Inc</t>
  </si>
  <si>
    <t>Forecast as a %of cash? Need guidance</t>
  </si>
  <si>
    <t>Other Income (Expense)</t>
  </si>
  <si>
    <t>Forecast as a %of revenue</t>
  </si>
  <si>
    <t>Gross Interest Expense</t>
  </si>
  <si>
    <t>Interest expense forecast as current yield on corp.notes * long-term debt</t>
  </si>
  <si>
    <t>Pretax Income</t>
  </si>
  <si>
    <t>Income Taxes</t>
  </si>
  <si>
    <t>Pretax income * 24% tax rate</t>
  </si>
  <si>
    <t>Per Share</t>
  </si>
  <si>
    <t>EPS (basic)</t>
  </si>
  <si>
    <t>Basic Shares Outstanding</t>
  </si>
  <si>
    <t>EPS (diluted)</t>
  </si>
  <si>
    <t>Diluted Shares Outstanding</t>
  </si>
  <si>
    <t>Total Shares Outstanding</t>
  </si>
  <si>
    <t>Trailing 12-Year Revenue CAGR</t>
  </si>
  <si>
    <t>Revenue ($M)</t>
  </si>
  <si>
    <t>Type</t>
  </si>
  <si>
    <t>YoY  Growth (%)</t>
  </si>
  <si>
    <t>Total CAGR</t>
  </si>
  <si>
    <t>Actual</t>
  </si>
  <si>
    <t>FY</t>
  </si>
  <si>
    <t>Cloud Sales</t>
  </si>
  <si>
    <t>Growth (%)</t>
  </si>
  <si>
    <t>FY25</t>
  </si>
  <si>
    <t>COLOUR CODE</t>
  </si>
  <si>
    <t>FY26</t>
  </si>
  <si>
    <t>FY27</t>
  </si>
  <si>
    <t>Company</t>
  </si>
  <si>
    <t>MSCI</t>
  </si>
  <si>
    <t>Sustainalytics Score</t>
  </si>
  <si>
    <t>FY28</t>
  </si>
  <si>
    <t>Atlassian</t>
  </si>
  <si>
    <t>17.19 (Low)</t>
  </si>
  <si>
    <t>FY29</t>
  </si>
  <si>
    <t>16.18 (Low)</t>
  </si>
  <si>
    <t>FY30</t>
  </si>
  <si>
    <t>17.25 (Low)</t>
  </si>
  <si>
    <t>13.63 (Low)</t>
  </si>
  <si>
    <t>18.89 (Low)</t>
  </si>
  <si>
    <t>24.77 (Medium)</t>
  </si>
  <si>
    <t>10.57 (Low)</t>
  </si>
  <si>
    <t>AI Pricing &amp; Monetisation Comparison</t>
  </si>
  <si>
    <t>AI Offering</t>
  </si>
  <si>
    <t>Included in core plan?</t>
  </si>
  <si>
    <t>Separate add-on/ Premium Plan?</t>
  </si>
  <si>
    <t>Usage Based Pricing?</t>
  </si>
  <si>
    <t>Rovo</t>
  </si>
  <si>
    <t>✅ (included credits in paid plans)</t>
  </si>
  <si>
    <t>❌</t>
  </si>
  <si>
    <t>✅ (excess usage fees from Dec2026)</t>
  </si>
  <si>
    <t>Now Assist</t>
  </si>
  <si>
    <t>✅ (premium SKU)</t>
  </si>
  <si>
    <t>Varies</t>
  </si>
  <si>
    <t>GitHub</t>
  </si>
  <si>
    <t>Copilot</t>
  </si>
  <si>
    <t>✅ (add-on)</t>
  </si>
  <si>
    <t>✅</t>
  </si>
  <si>
    <t>monday AI</t>
  </si>
  <si>
    <t>✅ (premium plan)</t>
  </si>
  <si>
    <t>Asana AI</t>
  </si>
  <si>
    <t>Luca fix this up to standard chart template (use our references) when you're free</t>
  </si>
  <si>
    <t>GitLab Duo</t>
  </si>
  <si>
    <t>Collections vc Atlassion Platform Graph</t>
  </si>
  <si>
    <t>Teamwork</t>
  </si>
  <si>
    <t>Service</t>
  </si>
  <si>
    <t>Platform</t>
  </si>
  <si>
    <t>Software</t>
  </si>
  <si>
    <t>Product</t>
  </si>
  <si>
    <t>Strategy</t>
  </si>
  <si>
    <t xml:space="preserve">Jira </t>
  </si>
  <si>
    <t>Jira Service Management</t>
  </si>
  <si>
    <t>Confluence</t>
  </si>
  <si>
    <t>Knowledge workers</t>
  </si>
  <si>
    <t>Developers and engineers</t>
  </si>
  <si>
    <t>North America</t>
  </si>
  <si>
    <t>EMEA</t>
  </si>
  <si>
    <t>Asia Pacific</t>
  </si>
  <si>
    <t>BS Intergrated</t>
  </si>
  <si>
    <t>Assets</t>
  </si>
  <si>
    <t>Cash &amp; Cash Equivalents</t>
  </si>
  <si>
    <t>Short-Term Investments</t>
  </si>
  <si>
    <t>Trade Receivables</t>
  </si>
  <si>
    <t>Tax Receivables</t>
  </si>
  <si>
    <t>Derivative Assets</t>
  </si>
  <si>
    <t>Prepaid Expenses &amp; Other Current Assets</t>
  </si>
  <si>
    <t>Total Current Assets</t>
  </si>
  <si>
    <t>Net Property, Plant &amp; Equipment</t>
  </si>
  <si>
    <t>Property, Plant &amp; Equipment - Gross</t>
  </si>
  <si>
    <t>Machinery &amp; Equipment</t>
  </si>
  <si>
    <t>Computer Software &amp; Equipment</t>
  </si>
  <si>
    <t>Furniture &amp; Fittings</t>
  </si>
  <si>
    <t>Leasehold Improvements</t>
  </si>
  <si>
    <t>Constructions in Progress</t>
  </si>
  <si>
    <t>Accumulated Depreciation</t>
  </si>
  <si>
    <t>Operating Lease Right-of-Use Assets</t>
  </si>
  <si>
    <t>Deferred Tax Assets</t>
  </si>
  <si>
    <t>Goodwill</t>
  </si>
  <si>
    <t>Intangible Assets, Net</t>
  </si>
  <si>
    <t>Strategic Investments</t>
  </si>
  <si>
    <t>Other Non-Current Assets</t>
  </si>
  <si>
    <t>Total Non-Current Assets</t>
  </si>
  <si>
    <t>Total Assets</t>
  </si>
  <si>
    <t>Liabilities &amp; Shareholders' Equity</t>
  </si>
  <si>
    <t>Current</t>
  </si>
  <si>
    <t>ST Debt</t>
  </si>
  <si>
    <t>Accounts Payable</t>
  </si>
  <si>
    <t>Tax Liabilities</t>
  </si>
  <si>
    <t>Provisions</t>
  </si>
  <si>
    <t>Deferred Revenue, Current</t>
  </si>
  <si>
    <t>Lease Obligations, Current</t>
  </si>
  <si>
    <t>Accrued Expenses &amp; Other Curr. Liabilities</t>
  </si>
  <si>
    <t>Total Current Liabilities</t>
  </si>
  <si>
    <t>Deferred Revenue, Net of Current</t>
  </si>
  <si>
    <t>Deferred Tax Liabilities</t>
  </si>
  <si>
    <t>Long-Term Debt</t>
  </si>
  <si>
    <t>Lease Obligations, Net of Current</t>
  </si>
  <si>
    <t>Other Non-Current Liabilities</t>
  </si>
  <si>
    <t>Total Non-Current Liabilities</t>
  </si>
  <si>
    <t>Total Liabilities</t>
  </si>
  <si>
    <t>Equity</t>
  </si>
  <si>
    <t>APIC</t>
  </si>
  <si>
    <t>Accum. Other Comp. Income</t>
  </si>
  <si>
    <t>Accumulated Deficit</t>
  </si>
  <si>
    <t>Total Liabilities &amp; Shareholders' Equity</t>
  </si>
  <si>
    <t>CF Intergrated</t>
  </si>
  <si>
    <t>Operating Activities</t>
  </si>
  <si>
    <t>Depreciation &amp; Amortization</t>
  </si>
  <si>
    <t>Deferred Taxes</t>
  </si>
  <si>
    <t>Other Funds</t>
  </si>
  <si>
    <t>Stock based compensation</t>
  </si>
  <si>
    <t>Funds from Operations</t>
  </si>
  <si>
    <t>Changes in Working Capital</t>
  </si>
  <si>
    <t>Receivables</t>
  </si>
  <si>
    <t>Other Accruals</t>
  </si>
  <si>
    <t>Prepaid Expenses</t>
  </si>
  <si>
    <t>Deferred Revenue</t>
  </si>
  <si>
    <t>(Δmisc. Current assets + Δ deferred charges + Δtangible other assets) + (Δincome tax payable + Δmisc. Current liab. + Δprovisions for R&amp;C + Δother liab. Exlc DI)</t>
  </si>
  <si>
    <t>Net Operating Cash Flow</t>
  </si>
  <si>
    <t>Investing Activities</t>
  </si>
  <si>
    <t>Capital Expenditures</t>
  </si>
  <si>
    <t>Net Assets from Acquisitions</t>
  </si>
  <si>
    <t>Purchase/Sale of Investments</t>
  </si>
  <si>
    <t>Can't forecast purchase/sale investments</t>
  </si>
  <si>
    <t>Net Investing Cash Flow</t>
  </si>
  <si>
    <t>Financing Activities</t>
  </si>
  <si>
    <t>Change In Capital Stock</t>
  </si>
  <si>
    <t>Issuance/Reduction of Debt, Net</t>
  </si>
  <si>
    <t>Change in Current Debt</t>
  </si>
  <si>
    <t>Change in Long-Term Debt</t>
  </si>
  <si>
    <t>Issuance of Long-Term Debt</t>
  </si>
  <si>
    <t>Reduction in Long-Term Debt</t>
  </si>
  <si>
    <t>Repayments of Operating Lease Liabilities</t>
  </si>
  <si>
    <t>Exchange Rate Effect</t>
  </si>
  <si>
    <t>Net Financing Cash Flow</t>
  </si>
  <si>
    <t>Net Change in Cash</t>
  </si>
  <si>
    <t>Total Cash</t>
  </si>
  <si>
    <t>Free Cash Flow</t>
  </si>
  <si>
    <t>IS Assumptions</t>
  </si>
  <si>
    <t>2026 FORECASTS ARE NOT ANCHORED</t>
  </si>
  <si>
    <t>COGS (Excl. D&amp;A)/Revenue</t>
  </si>
  <si>
    <t>Selected Case</t>
  </si>
  <si>
    <t>Pessimistic Case 2</t>
  </si>
  <si>
    <t>Pessimistic Case 1</t>
  </si>
  <si>
    <t>Optimistic Case 1</t>
  </si>
  <si>
    <t>Optimistic Case 2</t>
  </si>
  <si>
    <t>Depreciation/PPE</t>
  </si>
  <si>
    <t>Acquired Intangibles Useful Life (Years)</t>
  </si>
  <si>
    <t>R&amp;D Expense/Revenue</t>
  </si>
  <si>
    <t>G&amp;A Expense/Revenue</t>
  </si>
  <si>
    <t>Non-Operating Interest Income/Cash</t>
  </si>
  <si>
    <t>Other Income (Expense) Ex-Outlier/Revenue</t>
  </si>
  <si>
    <t>BS Assumptions</t>
  </si>
  <si>
    <t>N/A</t>
  </si>
  <si>
    <t>Trade Receivables (Excl. Upfront Recognition)  /Revenue</t>
  </si>
  <si>
    <t>Prepaid &amp; Other Current Assets / OpEx</t>
  </si>
  <si>
    <t>Operating Lease Right-Of-Use Assets/Revenue</t>
  </si>
  <si>
    <t>Amortization Schedule</t>
  </si>
  <si>
    <t>Accrued Expenses &amp; Other Curr. Liabilities / OpEx</t>
  </si>
  <si>
    <t>M&amp;A Spend (% Revenue)</t>
  </si>
  <si>
    <t>Additional Paid-In Capital Increase (FY25 to FY26)</t>
  </si>
  <si>
    <t>CF Assumption</t>
  </si>
  <si>
    <t>Capex/Revenue</t>
  </si>
  <si>
    <t>Changes In Capital Stock/Revenue</t>
  </si>
  <si>
    <t>Stock Based Compensation (%) Forecast</t>
  </si>
  <si>
    <t>Other Funds (Stock Based Compensation) Forecast</t>
  </si>
  <si>
    <t>Compensation</t>
  </si>
  <si>
    <t>Other Accruals/Revenue</t>
  </si>
  <si>
    <t>Prepaid Expenses/Revenue</t>
  </si>
  <si>
    <t>Revenue Assumptions</t>
  </si>
  <si>
    <t>Metrics (Assumptions)</t>
  </si>
  <si>
    <t>FY'26 (Base)</t>
  </si>
  <si>
    <t>FY'27</t>
  </si>
  <si>
    <t>FY'28</t>
  </si>
  <si>
    <t>FY'30</t>
  </si>
  <si>
    <t>Data Center Growth (YoY,%)</t>
  </si>
  <si>
    <t>Migration Rate (%)</t>
  </si>
  <si>
    <t>Cloud Organic Revenue Growth</t>
  </si>
  <si>
    <t>Churn Rate (%)</t>
  </si>
  <si>
    <t>Data Revenue</t>
  </si>
  <si>
    <t>Cloud Migration Inflow (1.2x increase)</t>
  </si>
  <si>
    <t>Cloud Organic Growth</t>
  </si>
  <si>
    <t>Uplift %</t>
  </si>
  <si>
    <t>Data Center  Revenue Growth</t>
  </si>
  <si>
    <t>Marketplace Revenue Growth</t>
  </si>
  <si>
    <t>Acquisition Supplementation</t>
  </si>
  <si>
    <t>Additional Assumptions</t>
  </si>
  <si>
    <t>Net Acquistions</t>
  </si>
  <si>
    <t>BCNY</t>
  </si>
  <si>
    <t>Net Acquisition Price</t>
  </si>
  <si>
    <t>Goodwill %</t>
  </si>
  <si>
    <t>DX</t>
  </si>
  <si>
    <t>Net Acquisiton Price</t>
  </si>
  <si>
    <t>R&amp;D</t>
  </si>
  <si>
    <t>Comp Pool</t>
  </si>
  <si>
    <t>Per head</t>
  </si>
  <si>
    <t>Salary saving</t>
  </si>
  <si>
    <t>FY27 R&amp;D</t>
  </si>
  <si>
    <t>Inference Costs</t>
  </si>
  <si>
    <t>Acquistion Mutliples</t>
  </si>
  <si>
    <t>Trello</t>
  </si>
  <si>
    <t>OpsGenie</t>
  </si>
  <si>
    <t>Loom</t>
  </si>
  <si>
    <t>Moveworks</t>
  </si>
  <si>
    <t>Acquistion Price</t>
  </si>
  <si>
    <t>Yearly Revenue</t>
  </si>
  <si>
    <t>Acq/Rev</t>
  </si>
  <si>
    <t>Average</t>
  </si>
  <si>
    <t>Range</t>
  </si>
  <si>
    <t>IS Ratio</t>
  </si>
  <si>
    <t>Median / Average</t>
  </si>
  <si>
    <t xml:space="preserve">Revenue </t>
  </si>
  <si>
    <t>COGS(Ex.D&amp;A)/Revenue</t>
  </si>
  <si>
    <t>Depr/PPE</t>
  </si>
  <si>
    <t>Non-Operating Int. Income</t>
  </si>
  <si>
    <t>Other Income Expense (Excl. Outlier)</t>
  </si>
  <si>
    <t>Prepaid  &amp; OCA %OpEx</t>
  </si>
  <si>
    <t>Capital Expenditure</t>
  </si>
  <si>
    <t>opex Accrued Expenses &amp; Other Curr. Liabilities (Excl. Outliers)</t>
  </si>
  <si>
    <t>Other Non-Current Liab</t>
  </si>
  <si>
    <t>M&amp;A Spend Δgoodwill/revenue</t>
  </si>
  <si>
    <t>CF Ratio</t>
  </si>
  <si>
    <t>CapEx/Revenue</t>
  </si>
  <si>
    <t>FCF Growth Rate</t>
  </si>
  <si>
    <t>Changes in Capital Stock</t>
  </si>
  <si>
    <t>Deferred Revenue/Revenue</t>
  </si>
  <si>
    <t>Additional Ratios</t>
  </si>
  <si>
    <t>Stock-Based Compensation ($M)</t>
  </si>
  <si>
    <t>SBC CAGR %</t>
  </si>
  <si>
    <t>SBC/Revenue %</t>
  </si>
  <si>
    <t>Pessimistic 2</t>
  </si>
  <si>
    <t>IS HISTORICAL</t>
  </si>
  <si>
    <t>Operating Expense</t>
  </si>
  <si>
    <t>Interest Income</t>
  </si>
  <si>
    <t>Other Expense (Net)</t>
  </si>
  <si>
    <t>Interest Expense</t>
  </si>
  <si>
    <t>Historical CAGR</t>
  </si>
  <si>
    <t>Historical Sales</t>
  </si>
  <si>
    <t>Growth %</t>
  </si>
  <si>
    <t>Cash Flow Historical</t>
  </si>
  <si>
    <t>Assumption</t>
  </si>
  <si>
    <t>Tax Assumption</t>
  </si>
  <si>
    <r>
      <t>Atlassian FY'26 forecast (</t>
    </r>
    <r>
      <rPr>
        <i/>
        <sz val="11"/>
        <color theme="1"/>
        <rFont val="Aptos Narrow"/>
        <family val="2"/>
        <scheme val="minor"/>
      </rPr>
      <t>Q3 FY'26 10-Q)</t>
    </r>
  </si>
  <si>
    <t>Damdoran ERP</t>
  </si>
  <si>
    <t>Damdoran, NYU Stern</t>
  </si>
  <si>
    <t>Country</t>
  </si>
  <si>
    <t>United States</t>
  </si>
  <si>
    <t>Moody's sovereign rating</t>
  </si>
  <si>
    <t>Aa1</t>
  </si>
  <si>
    <t>S&amp;P sovereign rating</t>
  </si>
  <si>
    <t>AA+</t>
  </si>
  <si>
    <t>CDS spread</t>
  </si>
  <si>
    <t>Excess CDS spread (over Swiss CDS)</t>
  </si>
  <si>
    <t>Country Default Spread (based on rating)</t>
  </si>
  <si>
    <t>Country Risk Premium (Rating)</t>
  </si>
  <si>
    <t>Equity Risk Premium (Rating)</t>
  </si>
  <si>
    <t>Country Risk Premium (CDS)</t>
  </si>
  <si>
    <t>Equity Risk Premium (CDS)</t>
  </si>
  <si>
    <t>Yoy Growth%</t>
  </si>
  <si>
    <t>Atlassian Corp Class A</t>
  </si>
  <si>
    <t xml:space="preserve">TEAM   049468101   BQ1PC76   NASDAQ    Common stock    </t>
  </si>
  <si>
    <t>Instrument ID</t>
  </si>
  <si>
    <t>Description</t>
  </si>
  <si>
    <t>Balance Sheet Amt Out (USD)</t>
  </si>
  <si>
    <t>Current Amt Out (USD)</t>
  </si>
  <si>
    <t>Coupon Rate</t>
  </si>
  <si>
    <t>Coupon Type</t>
  </si>
  <si>
    <t>Issue Date</t>
  </si>
  <si>
    <t>Maturity Date</t>
  </si>
  <si>
    <t>Issue Curr</t>
  </si>
  <si>
    <t>Seniority</t>
  </si>
  <si>
    <t>Price</t>
  </si>
  <si>
    <t>YTW</t>
  </si>
  <si>
    <t>OAS (LIBOR)</t>
  </si>
  <si>
    <t>Revolving Credit</t>
  </si>
  <si>
    <t>FDSOBQQ07</t>
  </si>
  <si>
    <t>Senior Unsec. Revolving Credit Facility</t>
  </si>
  <si>
    <t>08/24</t>
  </si>
  <si>
    <t>08/29</t>
  </si>
  <si>
    <t>USD</t>
  </si>
  <si>
    <t>SNR Unsec</t>
  </si>
  <si>
    <t>_</t>
  </si>
  <si>
    <t>Notes/Bonds</t>
  </si>
  <si>
    <t>049468AA9</t>
  </si>
  <si>
    <t>Atlassian Corp</t>
  </si>
  <si>
    <t>Fixed</t>
  </si>
  <si>
    <t>05/24</t>
  </si>
  <si>
    <t>05/29</t>
  </si>
  <si>
    <t>049468AB7</t>
  </si>
  <si>
    <t>05/34</t>
  </si>
  <si>
    <t>Other</t>
  </si>
  <si>
    <t>Unamortized Discount &amp; Issuance Costs</t>
  </si>
  <si>
    <t>LT Debt Total</t>
  </si>
  <si>
    <t>Current Portion of LTD</t>
  </si>
  <si>
    <t>Net LT Debt Total</t>
  </si>
  <si>
    <t>ST Debt Total</t>
  </si>
  <si>
    <t>Data as of 24 Jul '26</t>
  </si>
  <si>
    <t xml:space="preserve"> Amount Outstanding in millions of USD</t>
  </si>
  <si>
    <t>Source: FactSet DCS and FactSet Fixed Income</t>
  </si>
  <si>
    <t>* The current total debt outstanding value is not considered a reconciled amount.  Activity is determined on a transactional basis and there can be events that may affect amounts that are not disclosed until the next filing date.</t>
  </si>
  <si>
    <t>Atlassian Q3 FY'26 income statement</t>
  </si>
  <si>
    <t>Tax Assumption:</t>
  </si>
  <si>
    <t>Risk-free Rate</t>
  </si>
  <si>
    <t>INCOME STATEMENT</t>
  </si>
  <si>
    <t>BALANCE SHEET</t>
  </si>
  <si>
    <t>CASH FLOW</t>
  </si>
  <si>
    <t>Cash &amp; Short-Term Investments</t>
  </si>
  <si>
    <t>Short-Term Receivables</t>
  </si>
  <si>
    <t>Accounts Receivables, Net</t>
  </si>
  <si>
    <t>Accounts Receivables, Gross</t>
  </si>
  <si>
    <t>Bad Debt/Doubtful Accounts</t>
  </si>
  <si>
    <t>Other Receivables</t>
  </si>
  <si>
    <t>Other Current Assets</t>
  </si>
  <si>
    <t>Miscellaneous Current Assets</t>
  </si>
  <si>
    <t>Other Assets/Liabilities</t>
  </si>
  <si>
    <t>SG&amp;A Expense</t>
  </si>
  <si>
    <t>Other SG&amp;A</t>
  </si>
  <si>
    <t>Other Property, Plant &amp; Equipment</t>
  </si>
  <si>
    <t>Unrealized Valuation Gain/Loss</t>
  </si>
  <si>
    <t>Long Term Investments</t>
  </si>
  <si>
    <t>Intangible Assets</t>
  </si>
  <si>
    <t>Other Intangible Assets</t>
  </si>
  <si>
    <t>Other Assets</t>
  </si>
  <si>
    <t>Deferred Charges</t>
  </si>
  <si>
    <t>Tangible Other Assets</t>
  </si>
  <si>
    <t>ST Debt &amp; Curr. Portion LT Debt</t>
  </si>
  <si>
    <t>Income Tax Payable</t>
  </si>
  <si>
    <t>Other Current Liabilities</t>
  </si>
  <si>
    <t>Accrued Payroll</t>
  </si>
  <si>
    <t>Miscellaneous Current Liabilities</t>
  </si>
  <si>
    <t>Long-Term</t>
  </si>
  <si>
    <t>Long-Term Debt excl Lease Obligations</t>
  </si>
  <si>
    <t>Capital and Operating Lease Obligations</t>
  </si>
  <si>
    <t>Provision for Risks &amp; Charges</t>
  </si>
  <si>
    <t>Other Liabilities</t>
  </si>
  <si>
    <t>Other Liabilities (excl. Deferred Income)</t>
  </si>
  <si>
    <t>Deferred Income</t>
  </si>
  <si>
    <t>Common Equity</t>
  </si>
  <si>
    <t>Common Stock Par/Carry Value</t>
  </si>
  <si>
    <t>Retained Earnings</t>
  </si>
  <si>
    <t>Additonal Paid-In Capital</t>
  </si>
  <si>
    <t>Cumulative Translation Adjustment/Unrealized For. Exch. Gain</t>
  </si>
  <si>
    <t>Unrealized Gain/Loss Marketable Securities</t>
  </si>
  <si>
    <t>Other Appropriated Reserves</t>
  </si>
  <si>
    <t>Total Shareholders' Equity</t>
  </si>
  <si>
    <t>DCF Model</t>
  </si>
  <si>
    <t>WACC Buildup</t>
  </si>
  <si>
    <t>Pre-tax Cost of Debt</t>
  </si>
  <si>
    <t>Cloud Migration Inflow (1.15x increase)</t>
  </si>
  <si>
    <t>Sales growth</t>
  </si>
  <si>
    <t>After-tax cost of debt</t>
  </si>
  <si>
    <t>Net income</t>
  </si>
  <si>
    <t>Add: Depr &amp; amort</t>
  </si>
  <si>
    <t>Market Risk Premium</t>
  </si>
  <si>
    <t>Less: Capex</t>
  </si>
  <si>
    <t>Levered Beta</t>
  </si>
  <si>
    <t>Δ in WC</t>
  </si>
  <si>
    <t>Add: Interest exp after tax</t>
  </si>
  <si>
    <t>Net Debt</t>
  </si>
  <si>
    <t>Factset. Pred</t>
  </si>
  <si>
    <t>Market Value</t>
  </si>
  <si>
    <t>Factset YoY Growth</t>
  </si>
  <si>
    <t>PV(FCF)</t>
  </si>
  <si>
    <t>DCF. Pred</t>
  </si>
  <si>
    <t>All figures in millions of U.S. Dollar except per share items.</t>
  </si>
  <si>
    <t>DCF YoY Growth</t>
  </si>
  <si>
    <r>
      <t>∆Rev</t>
    </r>
    <r>
      <rPr>
        <b/>
        <sz val="12.45"/>
        <color theme="1"/>
        <rFont val="Aptos Narrow"/>
        <family val="2"/>
      </rPr>
      <t xml:space="preserve"> Factset to DCF(%)</t>
    </r>
  </si>
  <si>
    <t>Gordon Growth Model Terminal Value</t>
  </si>
  <si>
    <t>Beta (of equity) - 3yrs</t>
  </si>
  <si>
    <t>GGM PV Terminal Value</t>
  </si>
  <si>
    <t>Market risk premium</t>
  </si>
  <si>
    <t>GAAP Gross Margin</t>
  </si>
  <si>
    <t>Risk free rate</t>
  </si>
  <si>
    <t>PV FCF (JUN '26 to JUN '32)</t>
  </si>
  <si>
    <t>Cost of equity</t>
  </si>
  <si>
    <t>Cost of debt (AT)</t>
  </si>
  <si>
    <t>Guideline: https://www.sec.gov/Archives/edgar/data/1650372/000165037226000024/ex991q3fy26.htm</t>
  </si>
  <si>
    <t>Marketplace</t>
  </si>
  <si>
    <t>NTM Corp. Tax Rate</t>
  </si>
  <si>
    <t>Atlassian Corp Class A - INCOME</t>
  </si>
  <si>
    <t>GAAP FIGURES ONLY</t>
  </si>
  <si>
    <t>Weight-of-Debt</t>
  </si>
  <si>
    <t>Weight-of-Equity</t>
  </si>
  <si>
    <t>Source: FactSet Fundamentals</t>
  </si>
  <si>
    <t>Revenue Growth</t>
  </si>
  <si>
    <t>Net company value (equity mkt cap)</t>
  </si>
  <si>
    <t>Terminal Growth</t>
  </si>
  <si>
    <t>Last Price: $93.29</t>
  </si>
  <si>
    <t>JUN '20</t>
  </si>
  <si>
    <t>JUN '21</t>
  </si>
  <si>
    <t>JUN '22</t>
  </si>
  <si>
    <t>JUN '23</t>
  </si>
  <si>
    <t>JUN '24</t>
  </si>
  <si>
    <t>JUN '25</t>
  </si>
  <si>
    <t>MAR '26</t>
  </si>
  <si>
    <t>JUN '26</t>
  </si>
  <si>
    <t>JUN '27</t>
  </si>
  <si>
    <t>JUN '28</t>
  </si>
  <si>
    <t>JUN '29</t>
  </si>
  <si>
    <t>JUN '30</t>
  </si>
  <si>
    <t>JUN '31</t>
  </si>
  <si>
    <t>JUN '32</t>
  </si>
  <si>
    <t>SOURCE: Factset, 2026</t>
  </si>
  <si>
    <t>USD millions</t>
  </si>
  <si>
    <t>YTD</t>
  </si>
  <si>
    <t>Restate</t>
  </si>
  <si>
    <t>GUIDELINE</t>
  </si>
  <si>
    <t>Estimated share price (DCF) - GGM</t>
  </si>
  <si>
    <t>GAAP/IFRS Income Statement</t>
  </si>
  <si>
    <t>7 Year CAGR</t>
  </si>
  <si>
    <t>Current share price</t>
  </si>
  <si>
    <t>Cost of Goods Sold (COGS) incl. D&amp;A</t>
  </si>
  <si>
    <t>COGS excluding D&amp;A</t>
  </si>
  <si>
    <t>Depreciation &amp; Amortization Expense</t>
  </si>
  <si>
    <t>GGM SENSITIVITY ANALYSIS</t>
  </si>
  <si>
    <t xml:space="preserve">Depreciation forecasted a % of Gross PPE </t>
  </si>
  <si>
    <t>Terminal growth rate</t>
  </si>
  <si>
    <t>Amortization of Intangibles</t>
  </si>
  <si>
    <t>2026F</t>
  </si>
  <si>
    <t>Research &amp; Development</t>
  </si>
  <si>
    <t>EBIT (Operating Income)</t>
  </si>
  <si>
    <t>Nonoperating Income - Net</t>
  </si>
  <si>
    <t>Nonoperating Interest Income</t>
  </si>
  <si>
    <t>Can't predict other expense</t>
  </si>
  <si>
    <t>Unusual Expense - Net</t>
  </si>
  <si>
    <t>Other Intangibles</t>
  </si>
  <si>
    <t>Restructuring Expense</t>
  </si>
  <si>
    <t>Investments</t>
  </si>
  <si>
    <t>Hedges/Derivatives</t>
  </si>
  <si>
    <t>NM</t>
  </si>
  <si>
    <t>Income Taxes - Current Domestic</t>
  </si>
  <si>
    <t>Income Taxes - Current Foreign</t>
  </si>
  <si>
    <t>Income Taxes - Deferred Domestic</t>
  </si>
  <si>
    <t>Income Taxes - Deferred Foreign</t>
  </si>
  <si>
    <t>Consolidated Net Income</t>
  </si>
  <si>
    <t>Net Income available to Common</t>
  </si>
  <si>
    <t>EPS (recurring)</t>
  </si>
  <si>
    <t>Earnings Persistence</t>
  </si>
  <si>
    <t>Supplemental</t>
  </si>
  <si>
    <t>Rental Expense</t>
  </si>
  <si>
    <t>Stock Option Comp Exp (Net of Tax)</t>
  </si>
  <si>
    <t>Foreign Currency Translation Gains/Losses</t>
  </si>
  <si>
    <t>GPPE EX-ROU</t>
  </si>
  <si>
    <t>Rate</t>
  </si>
  <si>
    <t>Atlassian Corp Class A - BALANCE</t>
  </si>
  <si>
    <t>MARCH '26</t>
  </si>
  <si>
    <t xml:space="preserve">INTERIM </t>
  </si>
  <si>
    <t>GAAP/IFRS Balance Sheet</t>
  </si>
  <si>
    <t>POS%</t>
  </si>
  <si>
    <t>Cash Only</t>
  </si>
  <si>
    <t>Total Short Term Investments</t>
  </si>
  <si>
    <t>Forecasted in line with revenue growth</t>
  </si>
  <si>
    <t>Net PPE</t>
  </si>
  <si>
    <t>Gross PPE forecasted as a %POS</t>
  </si>
  <si>
    <t>Construction in Progress</t>
  </si>
  <si>
    <t>Computer Software and Equipment</t>
  </si>
  <si>
    <t xml:space="preserve">Total Long-Term Investments </t>
  </si>
  <si>
    <t>Other Long-Term Investments</t>
  </si>
  <si>
    <t>Grown as a % of revenue</t>
  </si>
  <si>
    <t>Forecasted as a % of revenue</t>
  </si>
  <si>
    <t>Forecasted at FY'25 tax expense ratio</t>
  </si>
  <si>
    <t>Grown at revenue growth rate</t>
  </si>
  <si>
    <t>Unimportant</t>
  </si>
  <si>
    <t>Balance sheet plug</t>
  </si>
  <si>
    <t>*straight line</t>
  </si>
  <si>
    <t>Additional Paid-In Capital/Capital Surplus</t>
  </si>
  <si>
    <t>Unimportant (Keith)</t>
  </si>
  <si>
    <t>Book Value per Share</t>
  </si>
  <si>
    <t>Tangible Book Value per Share</t>
  </si>
  <si>
    <t>Working Capital</t>
  </si>
  <si>
    <t>Total Capital</t>
  </si>
  <si>
    <t>Efficiency</t>
  </si>
  <si>
    <t>Days of Sales Outstanding</t>
  </si>
  <si>
    <t>Days of Payables Outstanding</t>
  </si>
  <si>
    <t>Comprehensive Income</t>
  </si>
  <si>
    <t>Comprehensive Income - Hedging Gain/Loss</t>
  </si>
  <si>
    <t>Stock Option Comp</t>
  </si>
  <si>
    <t>Non-Qualified Option/Warrant Awards</t>
  </si>
  <si>
    <t>Operating Lease Commitments</t>
  </si>
  <si>
    <t>Year 1</t>
  </si>
  <si>
    <t>In 2-5 Years</t>
  </si>
  <si>
    <t>Year 2</t>
  </si>
  <si>
    <t>Year 3</t>
  </si>
  <si>
    <t>Year 4</t>
  </si>
  <si>
    <t>Year 5</t>
  </si>
  <si>
    <t>Over 5 Years</t>
  </si>
  <si>
    <t>Long Term Debt Maturities</t>
  </si>
  <si>
    <t>Assets - LE</t>
  </si>
  <si>
    <t>Stock Based Comp</t>
  </si>
  <si>
    <t>%</t>
  </si>
  <si>
    <t>$</t>
  </si>
  <si>
    <t>Capped Buyback</t>
  </si>
  <si>
    <t>Atlassian Corp Class A - CASH FLOW</t>
  </si>
  <si>
    <t>Interim</t>
  </si>
  <si>
    <t>Net Income / Starting Line</t>
  </si>
  <si>
    <t>Depreciation, Depletion &amp; Amortization</t>
  </si>
  <si>
    <t>Depreciation and Depletion</t>
  </si>
  <si>
    <t>Amortization of Intangible Assets</t>
  </si>
  <si>
    <t>Deferred Taxes &amp; Investment Tax Credit</t>
  </si>
  <si>
    <t>Capital Expenditures (Fixed Assets)</t>
  </si>
  <si>
    <t>Capital Expenditures (Other Assets)</t>
  </si>
  <si>
    <t>Purchase of Investments</t>
  </si>
  <si>
    <t>Sale/Maturity of Investments</t>
  </si>
  <si>
    <t>Change in Capital Stock</t>
  </si>
  <si>
    <t>Repurchase of Common &amp; Preferred Stk.</t>
  </si>
  <si>
    <t>Sale of Common &amp; Preferred Stock</t>
  </si>
  <si>
    <t>Proceeds from Stock Options</t>
  </si>
  <si>
    <t>Other Uses</t>
  </si>
  <si>
    <t>Other Sources</t>
  </si>
  <si>
    <t>All Activities</t>
  </si>
  <si>
    <t>Unforcastable</t>
  </si>
  <si>
    <t>Free Cash Flow per Share</t>
  </si>
  <si>
    <t>Free Cash Flow Yield (%)</t>
  </si>
  <si>
    <t>NOPAT</t>
  </si>
  <si>
    <t>Invested Capital</t>
  </si>
  <si>
    <t>COGS</t>
  </si>
  <si>
    <t>GAAP gross margin</t>
  </si>
  <si>
    <t xml:space="preserve">First forecast year net income sensitivity </t>
  </si>
  <si>
    <t>Revenue growth rate</t>
  </si>
  <si>
    <t>GAAP</t>
  </si>
  <si>
    <t>Gross</t>
  </si>
  <si>
    <t>Profit</t>
  </si>
  <si>
    <t>Margin</t>
  </si>
  <si>
    <t>Select an operating scenario:</t>
  </si>
  <si>
    <t>SCENARIO ANALYSIS</t>
  </si>
  <si>
    <t xml:space="preserve">FY'26 Net Income Sensitivity </t>
  </si>
  <si>
    <t xml:space="preserve">Revenue growth rate </t>
  </si>
  <si>
    <t xml:space="preserve">GAAP gross margin </t>
  </si>
  <si>
    <t>FY25A Rev</t>
  </si>
  <si>
    <t>FY26E Rev</t>
  </si>
  <si>
    <t xml:space="preserve">Gross profit </t>
  </si>
  <si>
    <t>Cost of revenue</t>
  </si>
  <si>
    <t xml:space="preserve">gross margin </t>
  </si>
  <si>
    <t>Research &amp; devleopment</t>
  </si>
  <si>
    <t>Interest expense</t>
  </si>
  <si>
    <t>Other income (expense) net</t>
  </si>
  <si>
    <t>Provision for income taxes</t>
  </si>
  <si>
    <t>Total operating expenses</t>
  </si>
  <si>
    <t>EBIT (operating income)</t>
  </si>
  <si>
    <t>Memo: operating margin</t>
  </si>
  <si>
    <t>Net nonoperating</t>
  </si>
  <si>
    <t>Pretax income</t>
  </si>
  <si>
    <t>VWAP - July 2026</t>
  </si>
  <si>
    <t>CVol</t>
  </si>
  <si>
    <t>Price * Volume</t>
  </si>
  <si>
    <t>Total</t>
  </si>
  <si>
    <t>Total $ Traded</t>
  </si>
  <si>
    <t>Total Volume Traded</t>
  </si>
  <si>
    <t xml:space="preserve"> 1-Month VWAP</t>
  </si>
  <si>
    <t>BS Historical</t>
  </si>
  <si>
    <t>Americas</t>
  </si>
  <si>
    <t>Market Category</t>
  </si>
  <si>
    <t>Diversified Enterprise Software</t>
  </si>
  <si>
    <t>IT Service Management</t>
  </si>
  <si>
    <t>Customer Relationship Management</t>
  </si>
  <si>
    <t>Development &amp; Security Operations</t>
  </si>
  <si>
    <t>Project Management</t>
  </si>
  <si>
    <t>Enterprise Software</t>
  </si>
  <si>
    <t>Agile Craft</t>
  </si>
  <si>
    <t>Teamwork Collection</t>
  </si>
  <si>
    <t>Strategy Collection</t>
  </si>
  <si>
    <t>Service Collection</t>
  </si>
  <si>
    <t>Software Collection</t>
  </si>
  <si>
    <t>Product Collection</t>
  </si>
  <si>
    <t>Switching Cost</t>
  </si>
  <si>
    <t>z</t>
  </si>
  <si>
    <t>size</t>
  </si>
  <si>
    <t>Teamwork Graph Reliance</t>
  </si>
  <si>
    <t xml:space="preserve">Peers (Average) </t>
  </si>
  <si>
    <t>2027E</t>
  </si>
  <si>
    <t>2028E</t>
  </si>
  <si>
    <t>2029E</t>
  </si>
  <si>
    <t>2030E</t>
  </si>
  <si>
    <t>2031E</t>
  </si>
  <si>
    <t>2032E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</si>
</sst>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1">
    <numFmt numFmtId="7" formatCode="&quot;$&quot;#,##0.00;\-&quot;$&quot;#,##0.00"/>
    <numFmt numFmtId="8" formatCode="&quot;$&quot;#,##0.00;[Red]\-&quot;$&quot;#,##0.00"/>
    <numFmt numFmtId="44" formatCode="_-&quot;$&quot;* #,##0.00_-;\-&quot;$&quot;* #,##0.00_-;_-&quot;$&quot;* &quot;-&quot;??_-;_-@_-"/>
    <numFmt numFmtId="43" formatCode="_-* #,##0.00_-;\-* #,##0.00_-;_-* &quot;-&quot;??_-;_-@_-"/>
    <numFmt numFmtId="164" formatCode="_(&quot;$&quot;* #,##0.00_);_(&quot;$&quot;* \(#,##0.00\);_(&quot;$&quot;* &quot;-&quot;??_);_(@_)"/>
    <numFmt numFmtId="165" formatCode="#,##0.0"/>
    <numFmt numFmtId="166" formatCode="_([$$-409]* #,##0.00_);_([$$-409]* \(#,##0.00\);_([$$-409]* &quot;-&quot;??_);_(@_)"/>
    <numFmt numFmtId="167" formatCode="#,##0.00;\(#,##0.00\)\ "/>
    <numFmt numFmtId="168" formatCode="0.0"/>
    <numFmt numFmtId="169" formatCode="#,##0.00;\(#,##0.00\)"/>
    <numFmt numFmtId="170" formatCode="#,##0.00;[Red]\(#,##0.00\)"/>
    <numFmt numFmtId="171" formatCode="0.00&quot;x&quot;;\(0.00&quot;x&quot;\)"/>
    <numFmt numFmtId="172" formatCode="0.00&quot;x&quot;;[Red]\(0.00&quot;x&quot;\)"/>
    <numFmt numFmtId="173" formatCode="0.0%;[Red]\(0.0%\)"/>
    <numFmt numFmtId="174" formatCode="0.0%"/>
    <numFmt numFmtId="175" formatCode="#,##0.000"/>
    <numFmt numFmtId="176" formatCode="#,##0.0000"/>
    <numFmt numFmtId="177" formatCode="0.000"/>
    <numFmt numFmtId="178" formatCode="0.000%"/>
    <numFmt numFmtId="179" formatCode="0.000000000"/>
    <numFmt numFmtId="180" formatCode="0.0000"/>
    <numFmt numFmtId="181" formatCode="_-[$$-409]* #,##0.00_ ;_-[$$-409]* \-#,##0.00\ ;_-[$$-409]* &quot;-&quot;??_ ;_-@_ "/>
    <numFmt numFmtId="182" formatCode="0.0000%"/>
    <numFmt numFmtId="183" formatCode="_-* #,##0.0000_-;\-* #,##0.0000_-;_-* &quot;-&quot;??_-;_-@_-"/>
    <numFmt numFmtId="184" formatCode="_-* #,##0.00000_-;\-* #,##0.00000_-;_-* &quot;-&quot;??_-;_-@_-"/>
    <numFmt numFmtId="185" formatCode="#,##0.0000;[Red]\(#,##0.0000\)"/>
    <numFmt numFmtId="186" formatCode="0.00%;\(0.00%\)"/>
    <numFmt numFmtId="187" formatCode="0.0%;\(0.0%\)"/>
    <numFmt numFmtId="188" formatCode="0.000&quot;x&quot;;\(0.000&quot;x&quot;\)"/>
    <numFmt numFmtId="189" formatCode="0.0000000000000000%"/>
    <numFmt numFmtId="190" formatCode="###.#"/>
    <numFmt numFmtId="191" formatCode="##"/>
    <numFmt numFmtId="192" formatCode="#0.#"/>
    <numFmt numFmtId="193" formatCode="###.##"/>
    <numFmt numFmtId="194" formatCode="##.##"/>
    <numFmt numFmtId="195" formatCode="#.#00%"/>
    <numFmt numFmtId="196" formatCode="#00.0"/>
    <numFmt numFmtId="197" formatCode="#0#.##"/>
    <numFmt numFmtId="198" formatCode="#.##0%"/>
    <numFmt numFmtId="199" formatCode="#,000.0"/>
    <numFmt numFmtId="200" formatCode="yyyy\-mm\-dd\ hh:mm:ss"/>
    <numFmt numFmtId="201" formatCode="\+0;\-0"/>
    <numFmt numFmtId="202" formatCode="mm/dd/yyyy"/>
    <numFmt numFmtId="203" formatCode="_-* #,##0.000_-;\-* #,##0.000_-;_-* &quot;-&quot;??_-;_-@_-"/>
    <numFmt numFmtId="204" formatCode="#,##0.000;[Red]#,##0.000"/>
    <numFmt numFmtId="205" formatCode="0.00%;[Red]\(0.00%\)"/>
    <numFmt numFmtId="206" formatCode="#,##0.00000;[Red]\(#,##0.00000\)"/>
    <numFmt numFmtId="207" formatCode="_-* #,##0.000000_-;\-* #,##0.000000_-;_-* &quot;-&quot;??_-;_-@_-"/>
    <numFmt numFmtId="208" formatCode="#,##0.000;[Red]\(#,##0.000\)"/>
    <numFmt numFmtId="209" formatCode="mm/dd/yy"/>
    <numFmt numFmtId="210" formatCode="0.00000000"/>
    <numFmt numFmtId="211" formatCode="0.000&quot;x&quot;;[Red]\(0.000&quot;x&quot;\)"/>
    <numFmt numFmtId="212" formatCode="_([$$-409]* #,##0_);_([$$-409]* \(#,##0\);_([$$-409]* &quot;-&quot;_);_(@_)"/>
    <numFmt numFmtId="213" formatCode="#,##0.00;[Red]#,##0.00"/>
    <numFmt numFmtId="214" formatCode="#,##0.000000000000;[Red]#,##0.000000000000"/>
    <numFmt numFmtId="215" formatCode="&quot;$&quot;#,##0.00"/>
    <numFmt numFmtId="216" formatCode="#,##0.0000000000000;[Red]#,##0.0000000000000"/>
    <numFmt numFmtId="217" formatCode="0.0%;[Green]\(0.0%\)"/>
    <numFmt numFmtId="218" formatCode="#,##0.00000000000;[Red]#,##0.00000000000"/>
    <numFmt numFmtId="219" formatCode="[Colour10]0.00%;[Red]\(0.00%\)"/>
    <numFmt numFmtId="220" formatCode="mmmm\-yy"/>
  </numFmts>
  <fonts count="131">
    <font>
      <sz val="11"/>
      <color theme="1"/>
      <name val="Aptos Narrow"/>
      <family val="2"/>
      <scheme val="minor"/>
    </font>
    <font>
      <sz val="11"/>
      <color theme="1"/>
      <name val="Aptos Narrow"/>
      <family val="2"/>
      <scheme val="minor"/>
    </font>
    <font>
      <b/>
      <sz val="11"/>
      <color theme="0"/>
      <name val="Aptos Narrow"/>
      <family val="2"/>
      <scheme val="minor"/>
    </font>
    <font>
      <sz val="11"/>
      <color rgb="FFFF0000"/>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
      <i/>
      <sz val="11"/>
      <color theme="1"/>
      <name val="Aptos Narrow"/>
      <family val="2"/>
      <scheme val="minor"/>
    </font>
    <font>
      <sz val="12"/>
      <color theme="1"/>
      <name val="Aptos Narrow"/>
      <family val="2"/>
      <scheme val="minor"/>
    </font>
    <font>
      <b/>
      <sz val="10"/>
      <color theme="0"/>
      <name val="Arial"/>
      <family val="2"/>
    </font>
    <font>
      <sz val="10"/>
      <color theme="1"/>
      <name val="Arial"/>
      <family val="2"/>
    </font>
    <font>
      <b/>
      <strike/>
      <sz val="10"/>
      <color theme="0"/>
      <name val="Arial"/>
      <family val="2"/>
    </font>
    <font>
      <b/>
      <strike/>
      <sz val="10"/>
      <color rgb="FFFF0000"/>
      <name val="Arial"/>
      <family val="2"/>
    </font>
    <font>
      <b/>
      <sz val="10"/>
      <color rgb="FFFF0000"/>
      <name val="Arial"/>
      <family val="2"/>
    </font>
    <font>
      <strike/>
      <sz val="11"/>
      <color theme="1"/>
      <name val="Aptos Narrow"/>
      <family val="2"/>
      <scheme val="minor"/>
    </font>
    <font>
      <b/>
      <sz val="10"/>
      <color rgb="FF003366"/>
      <name val="Arial"/>
      <family val="2"/>
    </font>
    <font>
      <b/>
      <strike/>
      <sz val="10"/>
      <color rgb="FF003366"/>
      <name val="Arial"/>
      <family val="2"/>
    </font>
    <font>
      <sz val="10"/>
      <color rgb="FFFF0000"/>
      <name val="Arial"/>
      <family val="2"/>
    </font>
    <font>
      <strike/>
      <sz val="10"/>
      <color rgb="FFFF0000"/>
      <name val="Arial"/>
      <family val="2"/>
    </font>
    <font>
      <strike/>
      <sz val="10"/>
      <color theme="1"/>
      <name val="Arial"/>
      <family val="2"/>
    </font>
    <font>
      <sz val="10"/>
      <color rgb="FF646464"/>
      <name val="Arial"/>
      <family val="2"/>
    </font>
    <font>
      <b/>
      <sz val="16"/>
      <color theme="0"/>
      <name val="Aptos Narrow"/>
      <family val="2"/>
      <scheme val="minor"/>
    </font>
    <font>
      <b/>
      <sz val="11"/>
      <name val="Aptos Narrow"/>
      <family val="2"/>
      <scheme val="minor"/>
    </font>
    <font>
      <sz val="11"/>
      <name val="Aptos Narrow"/>
      <family val="2"/>
      <scheme val="minor"/>
    </font>
    <font>
      <sz val="10"/>
      <color rgb="FF003366"/>
      <name val="Arial"/>
      <family val="2"/>
    </font>
    <font>
      <sz val="8"/>
      <name val="Aptos Narrow"/>
      <family val="2"/>
      <scheme val="minor"/>
    </font>
    <font>
      <sz val="10"/>
      <name val="Arial"/>
      <family val="2"/>
    </font>
    <font>
      <sz val="11"/>
      <color rgb="FF0067ED"/>
      <name val="Aptos Narrow"/>
      <family val="2"/>
      <scheme val="minor"/>
    </font>
    <font>
      <b/>
      <sz val="12.45"/>
      <color theme="1"/>
      <name val="Aptos Narrow"/>
      <family val="2"/>
    </font>
    <font>
      <b/>
      <sz val="11"/>
      <color theme="1"/>
      <name val="Aptos Narrow"/>
      <family val="2"/>
    </font>
    <font>
      <b/>
      <sz val="14"/>
      <color theme="1"/>
      <name val="Aptos Narrow"/>
      <family val="2"/>
      <scheme val="minor"/>
    </font>
    <font>
      <b/>
      <sz val="14"/>
      <color theme="0"/>
      <name val="Aptos Narrow"/>
      <family val="2"/>
      <scheme val="minor"/>
    </font>
    <font>
      <b/>
      <sz val="10"/>
      <color theme="1"/>
      <name val="Arial"/>
      <family val="2"/>
    </font>
    <font>
      <b/>
      <sz val="10"/>
      <color rgb="FF0067ED"/>
      <name val="Arial"/>
      <family val="2"/>
    </font>
    <font>
      <b/>
      <u/>
      <sz val="11"/>
      <color theme="1"/>
      <name val="Aptos Narrow"/>
      <family val="2"/>
      <scheme val="minor"/>
    </font>
    <font>
      <sz val="11"/>
      <color rgb="FFFFFFFF"/>
      <name val="Aptos Narrow"/>
      <family val="2"/>
      <scheme val="minor"/>
    </font>
    <font>
      <b/>
      <sz val="11"/>
      <color rgb="FFFFFFFF"/>
      <name val="Aptos Narrow"/>
      <family val="2"/>
      <scheme val="minor"/>
    </font>
    <font>
      <b/>
      <strike/>
      <sz val="11"/>
      <color theme="0"/>
      <name val="Aptos Narrow"/>
      <family val="2"/>
      <scheme val="minor"/>
    </font>
    <font>
      <b/>
      <strike/>
      <sz val="11"/>
      <color rgb="FFFF0000"/>
      <name val="Aptos Narrow"/>
      <family val="2"/>
      <scheme val="minor"/>
    </font>
    <font>
      <b/>
      <strike/>
      <sz val="11"/>
      <color theme="1"/>
      <name val="Aptos Narrow"/>
      <family val="2"/>
      <scheme val="minor"/>
    </font>
    <font>
      <strike/>
      <sz val="11"/>
      <color rgb="FFFF0000"/>
      <name val="Aptos Narrow"/>
      <family val="2"/>
      <scheme val="minor"/>
    </font>
    <font>
      <i/>
      <sz val="11"/>
      <color rgb="FF7F7F7F"/>
      <name val="Aptos Narrow"/>
      <family val="2"/>
      <scheme val="minor"/>
    </font>
    <font>
      <sz val="9"/>
      <color theme="1"/>
      <name val="Aptos Display"/>
      <family val="2"/>
      <scheme val="major"/>
    </font>
    <font>
      <b/>
      <sz val="9"/>
      <color theme="1"/>
      <name val="Aptos Display"/>
      <family val="2"/>
      <scheme val="major"/>
    </font>
    <font>
      <i/>
      <sz val="9"/>
      <color theme="1"/>
      <name val="Aptos Display"/>
      <family val="2"/>
      <scheme val="major"/>
    </font>
    <font>
      <b/>
      <sz val="9"/>
      <color rgb="FF000000"/>
      <name val="Aptos Display"/>
      <family val="2"/>
      <scheme val="major"/>
    </font>
    <font>
      <sz val="10"/>
      <color rgb="FF5E7BB6"/>
      <name val="Aptos Display"/>
      <family val="2"/>
      <scheme val="major"/>
    </font>
    <font>
      <sz val="9"/>
      <color rgb="FF5E7BB6"/>
      <name val="Aptos Display"/>
      <family val="2"/>
      <scheme val="major"/>
    </font>
    <font>
      <b/>
      <sz val="9"/>
      <color theme="1"/>
      <name val="Aptos Narrow"/>
      <family val="2"/>
      <scheme val="minor"/>
    </font>
    <font>
      <i/>
      <sz val="9"/>
      <color rgb="FFFFFFFF"/>
      <name val="Aptos Display"/>
      <family val="2"/>
      <scheme val="major"/>
    </font>
    <font>
      <sz val="9"/>
      <color theme="1"/>
      <name val="Aptos Narrow"/>
      <family val="2"/>
      <scheme val="minor"/>
    </font>
    <font>
      <b/>
      <sz val="9"/>
      <color rgb="FF5E7BB6"/>
      <name val="Aptos Display"/>
      <family val="2"/>
      <scheme val="major"/>
    </font>
    <font>
      <sz val="9"/>
      <color theme="2" tint="-0.499984740745262"/>
      <name val="Aptos Display"/>
      <family val="2"/>
      <scheme val="major"/>
    </font>
    <font>
      <i/>
      <sz val="9"/>
      <color theme="0"/>
      <name val="Aptos Display"/>
      <family val="2"/>
      <scheme val="major"/>
    </font>
    <font>
      <i/>
      <sz val="9"/>
      <color theme="1"/>
      <name val="Arial"/>
      <family val="2"/>
    </font>
    <font>
      <b/>
      <sz val="9"/>
      <color rgb="FFFFFFFF"/>
      <name val="Aptos Narrow"/>
      <family val="2"/>
      <scheme val="minor"/>
    </font>
    <font>
      <i/>
      <sz val="9"/>
      <color theme="1"/>
      <name val="Aptos Narrow"/>
      <family val="2"/>
      <scheme val="minor"/>
    </font>
    <font>
      <i/>
      <sz val="9"/>
      <name val="Aptos Narrow"/>
      <family val="2"/>
      <scheme val="minor"/>
    </font>
    <font>
      <b/>
      <sz val="9"/>
      <name val="Calibri"/>
      <family val="2"/>
    </font>
    <font>
      <sz val="9"/>
      <color theme="2" tint="-0.249977111117893"/>
      <name val="Aptos Display"/>
      <family val="2"/>
      <scheme val="major"/>
    </font>
    <font>
      <i/>
      <sz val="9"/>
      <color rgb="FF000000"/>
      <name val="Aptos Narrow"/>
      <family val="2"/>
      <scheme val="minor"/>
    </font>
    <font>
      <b/>
      <sz val="9"/>
      <color rgb="FF000000"/>
      <name val="Aptos Narrow"/>
      <family val="2"/>
      <scheme val="minor"/>
    </font>
    <font>
      <b/>
      <sz val="9"/>
      <color rgb="FF000000"/>
      <name val="Arial"/>
      <family val="2"/>
    </font>
    <font>
      <sz val="9"/>
      <color theme="1" tint="0.24994659260841701"/>
      <name val="Arial"/>
      <family val="2"/>
    </font>
    <font>
      <b/>
      <sz val="9"/>
      <name val="Arial"/>
      <family val="2"/>
    </font>
    <font>
      <sz val="9"/>
      <name val="Aptos Narrow"/>
      <family val="2"/>
      <scheme val="minor"/>
    </font>
    <font>
      <b/>
      <sz val="9"/>
      <name val="Aptos Narrow"/>
      <family val="2"/>
      <scheme val="minor"/>
    </font>
    <font>
      <sz val="9"/>
      <color rgb="FF000000"/>
      <name val="Aptos Narrow"/>
      <family val="2"/>
      <scheme val="minor"/>
    </font>
    <font>
      <sz val="9"/>
      <color theme="2" tint="-0.499984740745262"/>
      <name val="Aptos Narrow"/>
      <family val="2"/>
      <scheme val="minor"/>
    </font>
    <font>
      <sz val="9"/>
      <name val="Aptos Display"/>
      <family val="2"/>
      <scheme val="major"/>
    </font>
    <font>
      <b/>
      <i/>
      <sz val="9"/>
      <color theme="1"/>
      <name val="Aptos Display"/>
      <family val="2"/>
      <scheme val="major"/>
    </font>
    <font>
      <i/>
      <sz val="9"/>
      <color theme="2" tint="-0.499984740745262"/>
      <name val="Aptos Narrow"/>
      <family val="2"/>
      <scheme val="minor"/>
    </font>
    <font>
      <b/>
      <sz val="9"/>
      <name val="Aptos Display"/>
      <family val="2"/>
      <scheme val="major"/>
    </font>
    <font>
      <sz val="9"/>
      <color rgb="FFEAECF0"/>
      <name val="Aptos Display"/>
      <family val="2"/>
      <scheme val="major"/>
    </font>
    <font>
      <sz val="9"/>
      <color theme="0"/>
      <name val="Aptos Display"/>
      <family val="2"/>
      <scheme val="major"/>
    </font>
    <font>
      <b/>
      <sz val="11"/>
      <color theme="0"/>
      <name val="Aptos Display"/>
      <family val="2"/>
      <scheme val="major"/>
    </font>
    <font>
      <b/>
      <sz val="9"/>
      <color theme="0"/>
      <name val="Aptos Narrow"/>
      <family val="2"/>
      <scheme val="minor"/>
    </font>
    <font>
      <b/>
      <vertAlign val="superscript"/>
      <sz val="9"/>
      <color theme="0"/>
      <name val="Aptos Narrow"/>
      <family val="2"/>
      <scheme val="minor"/>
    </font>
    <font>
      <sz val="9"/>
      <color rgb="FFFF0000"/>
      <name val="Aptos Narrow"/>
      <family val="2"/>
      <scheme val="minor"/>
    </font>
    <font>
      <vertAlign val="superscript"/>
      <sz val="9"/>
      <color theme="0"/>
      <name val="Aptos Narrow"/>
      <family val="2"/>
      <scheme val="minor"/>
    </font>
    <font>
      <b/>
      <i/>
      <sz val="9"/>
      <color theme="0"/>
      <name val="Aptos Narrow"/>
      <family val="2"/>
      <scheme val="minor"/>
    </font>
    <font>
      <b/>
      <vertAlign val="superscript"/>
      <sz val="9"/>
      <color theme="1"/>
      <name val="Aptos Narrow"/>
      <family val="2"/>
      <scheme val="minor"/>
    </font>
    <font>
      <i/>
      <vertAlign val="superscript"/>
      <sz val="9"/>
      <color theme="1"/>
      <name val="Aptos Narrow"/>
      <family val="2"/>
      <scheme val="minor"/>
    </font>
    <font>
      <b/>
      <sz val="9"/>
      <color theme="0"/>
      <name val="Arial"/>
      <family val="2"/>
    </font>
    <font>
      <b/>
      <strike/>
      <sz val="9"/>
      <color theme="0"/>
      <name val="Arial"/>
      <family val="2"/>
    </font>
    <font>
      <sz val="9"/>
      <color theme="0"/>
      <name val="Aptos Narrow"/>
      <family val="2"/>
      <scheme val="minor"/>
    </font>
    <font>
      <b/>
      <strike/>
      <sz val="9"/>
      <color rgb="FFFF0000"/>
      <name val="Arial"/>
      <family val="2"/>
    </font>
    <font>
      <strike/>
      <sz val="9"/>
      <color theme="1"/>
      <name val="Aptos Narrow"/>
      <family val="2"/>
      <scheme val="minor"/>
    </font>
    <font>
      <b/>
      <sz val="9"/>
      <color rgb="FF003366"/>
      <name val="Arial"/>
      <family val="2"/>
    </font>
    <font>
      <b/>
      <strike/>
      <sz val="9"/>
      <color rgb="FF003366"/>
      <name val="Arial"/>
      <family val="2"/>
    </font>
    <font>
      <sz val="9"/>
      <color rgb="FFFF0000"/>
      <name val="Arial"/>
      <family val="2"/>
    </font>
    <font>
      <strike/>
      <sz val="9"/>
      <color rgb="FFFF0000"/>
      <name val="Arial"/>
      <family val="2"/>
    </font>
    <font>
      <sz val="9"/>
      <color rgb="FF646464"/>
      <name val="Arial"/>
      <family val="2"/>
    </font>
    <font>
      <sz val="9"/>
      <color theme="1"/>
      <name val="Arial"/>
      <family val="2"/>
    </font>
    <font>
      <b/>
      <sz val="9"/>
      <color rgb="FFFF0000"/>
      <name val="Arial"/>
      <family val="2"/>
    </font>
    <font>
      <strike/>
      <sz val="9"/>
      <color theme="1"/>
      <name val="Arial"/>
      <family val="2"/>
    </font>
    <font>
      <sz val="9"/>
      <color rgb="FF0052CC"/>
      <name val="Aptos Display"/>
      <family val="2"/>
      <scheme val="major"/>
    </font>
    <font>
      <sz val="11"/>
      <color rgb="FF000000"/>
      <name val="Aptos Narrow"/>
      <family val="2"/>
      <scheme val="minor"/>
    </font>
    <font>
      <i/>
      <sz val="9"/>
      <color rgb="FFFFFFFF"/>
      <name val="Aptos Narrow"/>
      <family val="2"/>
      <scheme val="minor"/>
    </font>
    <font>
      <b/>
      <sz val="9"/>
      <color rgb="FFF7F7F5"/>
      <name val="Aptos Narrow"/>
      <family val="2"/>
      <scheme val="minor"/>
    </font>
    <font>
      <sz val="9"/>
      <color rgb="FF2D2D2D"/>
      <name val="Aptos Narrow"/>
      <family val="2"/>
      <scheme val="minor"/>
    </font>
    <font>
      <b/>
      <sz val="9"/>
      <color rgb="FF2D2D2D"/>
      <name val="Aptos Narrow"/>
      <family val="2"/>
      <scheme val="minor"/>
    </font>
    <font>
      <b/>
      <sz val="9"/>
      <color rgb="FFFFFFFF"/>
      <name val="Aptos Display"/>
      <family val="2"/>
      <scheme val="major"/>
    </font>
    <font>
      <sz val="9"/>
      <color rgb="FF0000FF"/>
      <name val="Aptos Narrow"/>
      <family val="2"/>
      <scheme val="minor"/>
    </font>
    <font>
      <sz val="9"/>
      <color rgb="FFFFFFFF"/>
      <name val="Aptos Display"/>
      <family val="2"/>
      <scheme val="major"/>
    </font>
    <font>
      <b/>
      <sz val="9"/>
      <color rgb="FFFFFFFF"/>
      <name val="Arial"/>
      <family val="2"/>
    </font>
    <font>
      <i/>
      <sz val="9"/>
      <color rgb="FF595959"/>
      <name val="Aptos Narrow"/>
      <family val="2"/>
      <scheme val="minor"/>
    </font>
    <font>
      <b/>
      <sz val="9"/>
      <color rgb="FFC00000"/>
      <name val="Aptos Narrow"/>
      <family val="2"/>
      <scheme val="minor"/>
    </font>
    <font>
      <b/>
      <sz val="9"/>
      <color rgb="FFFFFFFF"/>
      <name val="Helvet"/>
    </font>
    <font>
      <sz val="9"/>
      <color theme="1"/>
      <name val="Helvet"/>
    </font>
    <font>
      <sz val="9"/>
      <name val="Helvet"/>
    </font>
    <font>
      <b/>
      <sz val="9"/>
      <name val="Helvet"/>
    </font>
    <font>
      <b/>
      <sz val="9"/>
      <color rgb="FFC00000"/>
      <name val="Helvet"/>
    </font>
    <font>
      <i/>
      <sz val="7"/>
      <color theme="1"/>
      <name val="Aptos Narrow"/>
      <family val="2"/>
      <scheme val="minor"/>
    </font>
    <font>
      <sz val="6"/>
      <color theme="1"/>
      <name val="Aptos Display"/>
      <family val="2"/>
      <scheme val="major"/>
    </font>
    <font>
      <sz val="10"/>
      <name val="Aptos Narrow"/>
      <family val="2"/>
      <scheme val="minor"/>
    </font>
    <font>
      <sz val="9"/>
      <color rgb="FFFF0000"/>
      <name val="Aptos Display"/>
      <family val="2"/>
      <scheme val="major"/>
    </font>
    <font>
      <b/>
      <sz val="9"/>
      <color theme="1"/>
      <name val="Arial"/>
      <family val="2"/>
    </font>
    <font>
      <u/>
      <sz val="9"/>
      <color theme="10"/>
      <name val="Aptos Narrow"/>
      <family val="2"/>
      <scheme val="minor"/>
    </font>
    <font>
      <sz val="10"/>
      <color theme="2" tint="-0.499984740745262"/>
      <name val="Aptos Display"/>
      <family val="2"/>
      <scheme val="major"/>
    </font>
    <font>
      <sz val="10"/>
      <color rgb="FFBC8132"/>
      <name val="Calibri"/>
      <family val="2"/>
    </font>
    <font>
      <sz val="10"/>
      <color rgb="FF4472C4"/>
      <name val="Calibri"/>
      <family val="2"/>
    </font>
    <font>
      <sz val="10"/>
      <color theme="1"/>
      <name val="Calibri"/>
      <family val="2"/>
    </font>
    <font>
      <b/>
      <sz val="10"/>
      <name val="Aptos Narrow"/>
      <family val="2"/>
      <scheme val="minor"/>
    </font>
    <font>
      <u/>
      <sz val="10"/>
      <name val="Aptos Narrow"/>
      <family val="2"/>
      <scheme val="minor"/>
    </font>
    <font>
      <b/>
      <sz val="10"/>
      <color theme="0"/>
      <name val="Aptos Narrow"/>
      <family val="2"/>
      <scheme val="minor"/>
    </font>
    <font>
      <b/>
      <sz val="9"/>
      <color theme="0"/>
      <name val="Aptos Display"/>
      <family val="2"/>
      <scheme val="major"/>
    </font>
    <font>
      <sz val="10"/>
      <color rgb="FF00B000"/>
      <name val="Aptos Narrow"/>
      <family val="2"/>
      <scheme val="minor"/>
    </font>
    <font>
      <b/>
      <sz val="12"/>
      <color theme="1"/>
      <name val="Aptos Narrow"/>
      <family val="2"/>
      <scheme val="minor"/>
    </font>
    <font>
      <b/>
      <sz val="11"/>
      <color rgb="FF000000"/>
      <name val="Aptos Narrow"/>
      <family val="2"/>
      <scheme val="minor"/>
    </font>
    <font>
      <b/>
      <sz val="11"/>
      <color rgb="FFFF0000"/>
      <name val="Aptos Narrow"/>
      <family val="2"/>
      <scheme val="minor"/>
    </font>
  </fonts>
  <fills count="37">
    <fill>
      <patternFill patternType="none"/>
    </fill>
    <fill>
      <patternFill patternType="gray125"/>
    </fill>
    <fill>
      <patternFill patternType="solid">
        <fgColor rgb="FF0067ED"/>
        <bgColor indexed="64"/>
      </patternFill>
    </fill>
    <fill>
      <patternFill patternType="solid">
        <fgColor rgb="FFFFFF00"/>
        <bgColor indexed="64"/>
      </patternFill>
    </fill>
    <fill>
      <patternFill patternType="solid">
        <fgColor rgb="FFF0F0F0"/>
        <bgColor indexed="64"/>
      </patternFill>
    </fill>
    <fill>
      <patternFill patternType="solid">
        <fgColor theme="2"/>
        <bgColor indexed="64"/>
      </patternFill>
    </fill>
    <fill>
      <patternFill patternType="solid">
        <fgColor theme="0"/>
        <bgColor indexed="64"/>
      </patternFill>
    </fill>
    <fill>
      <patternFill patternType="solid">
        <fgColor rgb="FF004AAC"/>
        <bgColor indexed="64"/>
      </patternFill>
    </fill>
    <fill>
      <patternFill patternType="solid">
        <fgColor theme="3" tint="0.749992370372631"/>
        <bgColor indexed="64"/>
      </patternFill>
    </fill>
    <fill>
      <patternFill patternType="solid">
        <fgColor rgb="FFFFFFFF"/>
        <bgColor indexed="64"/>
      </patternFill>
    </fill>
    <fill>
      <patternFill patternType="solid">
        <fgColor theme="0" tint="-0.14999847407452621"/>
        <bgColor indexed="64"/>
      </patternFill>
    </fill>
    <fill>
      <patternFill patternType="darkGray">
        <fgColor theme="2"/>
        <bgColor theme="0" tint="-0.499984740745262"/>
      </patternFill>
    </fill>
    <fill>
      <patternFill patternType="solid">
        <fgColor rgb="FF0067ED"/>
        <bgColor rgb="FF000000"/>
      </patternFill>
    </fill>
    <fill>
      <patternFill patternType="solid">
        <fgColor theme="3" tint="0.89999084444715716"/>
        <bgColor indexed="64"/>
      </patternFill>
    </fill>
    <fill>
      <patternFill patternType="solid">
        <fgColor theme="2"/>
        <bgColor rgb="FF000000"/>
      </patternFill>
    </fill>
    <fill>
      <patternFill patternType="solid">
        <fgColor rgb="FFD9E1F2"/>
        <bgColor rgb="FFD9E1F2"/>
      </patternFill>
    </fill>
    <fill>
      <patternFill patternType="solid">
        <fgColor rgb="FFF2F2F2"/>
        <bgColor rgb="FFF2F2F2"/>
      </patternFill>
    </fill>
    <fill>
      <patternFill patternType="solid">
        <fgColor rgb="FFFCE4E4"/>
        <bgColor rgb="FFFCE4E4"/>
      </patternFill>
    </fill>
    <fill>
      <patternFill patternType="solid">
        <fgColor rgb="FF004AAC"/>
        <bgColor rgb="FF1F4E78"/>
      </patternFill>
    </fill>
    <fill>
      <patternFill patternType="solid">
        <fgColor rgb="FF004AAC"/>
        <bgColor rgb="FF2E75B6"/>
      </patternFill>
    </fill>
    <fill>
      <patternFill patternType="solid">
        <fgColor rgb="FFFCE4E4"/>
        <bgColor rgb="FFF2F2F2"/>
      </patternFill>
    </fill>
    <fill>
      <patternFill patternType="solid">
        <fgColor theme="3" tint="0.89999084444715716"/>
        <bgColor rgb="FFF2F2F2"/>
      </patternFill>
    </fill>
    <fill>
      <patternFill patternType="solid">
        <fgColor rgb="FFB3D1FA"/>
        <bgColor rgb="FFF2F2F2"/>
      </patternFill>
    </fill>
    <fill>
      <patternFill patternType="solid">
        <fgColor rgb="FFB3D1FA"/>
        <bgColor indexed="64"/>
      </patternFill>
    </fill>
    <fill>
      <patternFill patternType="solid">
        <fgColor rgb="FFFFFFE7"/>
        <bgColor indexed="64"/>
      </patternFill>
    </fill>
    <fill>
      <patternFill patternType="solid">
        <fgColor rgb="FFB3D1FA"/>
        <bgColor rgb="FF000000"/>
      </patternFill>
    </fill>
    <fill>
      <patternFill patternType="solid">
        <fgColor rgb="FFFEA0A0"/>
        <bgColor indexed="64"/>
      </patternFill>
    </fill>
    <fill>
      <patternFill patternType="solid">
        <fgColor rgb="FFF7F7F5"/>
        <bgColor indexed="64"/>
      </patternFill>
    </fill>
    <fill>
      <patternFill patternType="solid">
        <fgColor theme="0" tint="-4.9989318521683403E-2"/>
        <bgColor indexed="64"/>
      </patternFill>
    </fill>
    <fill>
      <patternFill patternType="solid">
        <fgColor rgb="FFDAE9F8"/>
        <bgColor indexed="64"/>
      </patternFill>
    </fill>
    <fill>
      <patternFill patternType="solid">
        <fgColor rgb="FFC8C8C8"/>
        <bgColor indexed="64"/>
      </patternFill>
    </fill>
    <fill>
      <patternFill patternType="solid">
        <fgColor rgb="FFE8F9FC"/>
        <bgColor indexed="64"/>
      </patternFill>
    </fill>
    <fill>
      <patternFill patternType="solid">
        <fgColor rgb="FFFBC828"/>
        <bgColor indexed="64"/>
      </patternFill>
    </fill>
    <fill>
      <patternFill patternType="solid">
        <fgColor rgb="FFAF59E1"/>
        <bgColor indexed="64"/>
      </patternFill>
    </fill>
    <fill>
      <patternFill patternType="solid">
        <fgColor rgb="FF82B536"/>
        <bgColor indexed="64"/>
      </patternFill>
    </fill>
    <fill>
      <patternFill patternType="solid">
        <fgColor rgb="FF0067ED"/>
        <bgColor theme="4"/>
      </patternFill>
    </fill>
    <fill>
      <patternFill patternType="solid">
        <fgColor rgb="FFB3D1FA"/>
        <bgColor theme="4" tint="0.79998168889431442"/>
      </patternFill>
    </fill>
  </fills>
  <borders count="62">
    <border>
      <left/>
      <right/>
      <top/>
      <bottom/>
      <diagonal/>
    </border>
    <border>
      <left/>
      <right/>
      <top style="thin">
        <color rgb="FF000000"/>
      </top>
      <bottom/>
      <diagonal/>
    </border>
    <border>
      <left/>
      <right/>
      <top/>
      <bottom style="thick">
        <color auto="1"/>
      </bottom>
      <diagonal/>
    </border>
    <border>
      <left/>
      <right/>
      <top style="thick">
        <color auto="1"/>
      </top>
      <bottom/>
      <diagonal/>
    </border>
    <border>
      <left/>
      <right/>
      <top style="thick">
        <color auto="1"/>
      </top>
      <bottom style="thick">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bottom style="thick">
        <color auto="1"/>
      </bottom>
      <diagonal/>
    </border>
    <border>
      <left style="thin">
        <color auto="1"/>
      </left>
      <right/>
      <top style="thick">
        <color auto="1"/>
      </top>
      <bottom/>
      <diagonal/>
    </border>
    <border>
      <left/>
      <right/>
      <top style="thin">
        <color auto="1"/>
      </top>
      <bottom style="thick">
        <color theme="0"/>
      </bottom>
      <diagonal/>
    </border>
    <border>
      <left/>
      <right style="thin">
        <color auto="1"/>
      </right>
      <top style="thin">
        <color auto="1"/>
      </top>
      <bottom style="thick">
        <color theme="0"/>
      </bottom>
      <diagonal/>
    </border>
    <border>
      <left/>
      <right style="thin">
        <color auto="1"/>
      </right>
      <top/>
      <bottom style="thick">
        <color auto="1"/>
      </bottom>
      <diagonal/>
    </border>
    <border>
      <left/>
      <right style="thin">
        <color auto="1"/>
      </right>
      <top style="thick">
        <color auto="1"/>
      </top>
      <bottom/>
      <diagonal/>
    </border>
    <border>
      <left style="thin">
        <color auto="1"/>
      </left>
      <right/>
      <top style="thick">
        <color auto="1"/>
      </top>
      <bottom style="thin">
        <color auto="1"/>
      </bottom>
      <diagonal/>
    </border>
    <border>
      <left/>
      <right/>
      <top style="thick">
        <color auto="1"/>
      </top>
      <bottom style="thin">
        <color auto="1"/>
      </bottom>
      <diagonal/>
    </border>
    <border>
      <left/>
      <right style="thin">
        <color auto="1"/>
      </right>
      <top style="thick">
        <color auto="1"/>
      </top>
      <bottom style="thin">
        <color auto="1"/>
      </bottom>
      <diagonal/>
    </border>
    <border>
      <left/>
      <right/>
      <top style="thin">
        <color theme="2" tint="-0.249977111117893"/>
      </top>
      <bottom style="thin">
        <color theme="2" tint="-0.249977111117893"/>
      </bottom>
      <diagonal/>
    </border>
    <border>
      <left/>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top style="thin">
        <color theme="2" tint="-9.9978637043366805E-2"/>
      </top>
      <bottom/>
      <diagonal/>
    </border>
    <border>
      <left/>
      <right/>
      <top/>
      <bottom style="thin">
        <color theme="2" tint="-9.9978637043366805E-2"/>
      </bottom>
      <diagonal/>
    </border>
    <border>
      <left style="thin">
        <color rgb="FFBFBFBF"/>
      </left>
      <right style="thin">
        <color rgb="FFBFBFBF"/>
      </right>
      <top/>
      <bottom/>
      <diagonal/>
    </border>
    <border>
      <left style="dashed">
        <color indexed="64"/>
      </left>
      <right/>
      <top style="dashed">
        <color indexed="64"/>
      </top>
      <bottom style="dashed">
        <color indexed="64"/>
      </bottom>
      <diagonal/>
    </border>
    <border>
      <left/>
      <right/>
      <top style="dashed">
        <color indexed="64"/>
      </top>
      <bottom style="dashed">
        <color indexed="64"/>
      </bottom>
      <diagonal/>
    </border>
    <border>
      <left/>
      <right style="dashed">
        <color indexed="64"/>
      </right>
      <top style="dashed">
        <color indexed="64"/>
      </top>
      <bottom style="dashed">
        <color indexed="64"/>
      </bottom>
      <diagonal/>
    </border>
    <border>
      <left/>
      <right/>
      <top style="medium">
        <color indexed="64"/>
      </top>
      <bottom style="medium">
        <color indexed="64"/>
      </bottom>
      <diagonal/>
    </border>
    <border>
      <left/>
      <right style="thin">
        <color indexed="64"/>
      </right>
      <top style="thin">
        <color indexed="64"/>
      </top>
      <bottom style="thin">
        <color auto="1"/>
      </bottom>
      <diagonal/>
    </border>
    <border>
      <left style="thin">
        <color auto="1"/>
      </left>
      <right/>
      <top style="thin">
        <color auto="1"/>
      </top>
      <bottom style="thin">
        <color auto="1"/>
      </bottom>
      <diagonal/>
    </border>
    <border>
      <left/>
      <right/>
      <top/>
      <bottom style="hair">
        <color indexed="64"/>
      </bottom>
      <diagonal/>
    </border>
    <border>
      <left style="medium">
        <color indexed="64"/>
      </left>
      <right style="medium">
        <color indexed="64"/>
      </right>
      <top style="medium">
        <color indexed="64"/>
      </top>
      <bottom style="medium">
        <color indexed="64"/>
      </bottom>
      <diagonal/>
    </border>
    <border>
      <left style="hair">
        <color indexed="64"/>
      </left>
      <right style="hair">
        <color indexed="64"/>
      </right>
      <top style="hair">
        <color indexed="64"/>
      </top>
      <bottom style="hair">
        <color indexed="64"/>
      </bottom>
      <diagonal/>
    </border>
    <border>
      <left style="medium">
        <color auto="1"/>
      </left>
      <right style="medium">
        <color auto="1"/>
      </right>
      <top style="medium">
        <color indexed="64"/>
      </top>
      <bottom/>
      <diagonal/>
    </border>
    <border>
      <left style="medium">
        <color auto="1"/>
      </left>
      <right style="medium">
        <color auto="1"/>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theme="2" tint="-0.249977111117893"/>
      </top>
      <bottom/>
      <diagonal/>
    </border>
    <border>
      <left/>
      <right/>
      <top/>
      <bottom style="thin">
        <color theme="2" tint="-0.249977111117893"/>
      </bottom>
      <diagonal/>
    </border>
    <border>
      <left/>
      <right/>
      <top style="medium">
        <color theme="2" tint="-0.249977111117893"/>
      </top>
      <bottom style="medium">
        <color theme="2" tint="-0.249977111117893"/>
      </bottom>
      <diagonal/>
    </border>
    <border>
      <left/>
      <right style="thick">
        <color auto="1"/>
      </right>
      <top/>
      <bottom/>
      <diagonal/>
    </border>
    <border>
      <left/>
      <right style="thick">
        <color auto="1"/>
      </right>
      <top/>
      <bottom style="thick">
        <color auto="1"/>
      </bottom>
      <diagonal/>
    </border>
    <border>
      <left/>
      <right style="thick">
        <color auto="1"/>
      </right>
      <top style="thick">
        <color auto="1"/>
      </top>
      <bottom style="thick">
        <color auto="1"/>
      </bottom>
      <diagonal/>
    </border>
    <border>
      <left style="thick">
        <color auto="1"/>
      </left>
      <right style="thick">
        <color auto="1"/>
      </right>
      <top style="thick">
        <color auto="1"/>
      </top>
      <bottom style="thick">
        <color auto="1"/>
      </bottom>
      <diagonal/>
    </border>
    <border>
      <left style="thick">
        <color auto="1"/>
      </left>
      <right style="thick">
        <color auto="1"/>
      </right>
      <top style="thick">
        <color auto="1"/>
      </top>
      <bottom/>
      <diagonal/>
    </border>
    <border>
      <left style="thick">
        <color auto="1"/>
      </left>
      <right style="thick">
        <color auto="1"/>
      </right>
      <top/>
      <bottom/>
      <diagonal/>
    </border>
    <border>
      <left/>
      <right/>
      <top style="thin">
        <color auto="1"/>
      </top>
      <bottom style="thick">
        <color auto="1"/>
      </bottom>
      <diagonal/>
    </border>
    <border>
      <left/>
      <right style="thick">
        <color auto="1"/>
      </right>
      <top style="thin">
        <color auto="1"/>
      </top>
      <bottom style="thick">
        <color auto="1"/>
      </bottom>
      <diagonal/>
    </border>
    <border>
      <left style="thick">
        <color auto="1"/>
      </left>
      <right style="thick">
        <color auto="1"/>
      </right>
      <top style="thin">
        <color auto="1"/>
      </top>
      <bottom style="thick">
        <color auto="1"/>
      </bottom>
      <diagonal/>
    </border>
    <border>
      <left style="medium">
        <color auto="1"/>
      </left>
      <right style="medium">
        <color auto="1"/>
      </right>
      <top/>
      <bottom style="medium">
        <color auto="1"/>
      </bottom>
      <diagonal/>
    </border>
    <border>
      <left style="medium">
        <color theme="1"/>
      </left>
      <right/>
      <top style="medium">
        <color theme="1"/>
      </top>
      <bottom/>
      <diagonal/>
    </border>
    <border>
      <left style="medium">
        <color theme="1"/>
      </left>
      <right/>
      <top/>
      <bottom/>
      <diagonal/>
    </border>
    <border>
      <left style="medium">
        <color theme="1"/>
      </left>
      <right/>
      <top/>
      <bottom style="medium">
        <color theme="1"/>
      </bottom>
      <diagonal/>
    </border>
  </borders>
  <cellStyleXfs count="22">
    <xf numFmtId="0" fontId="0" fillId="0" borderId="0"/>
    <xf numFmtId="43" fontId="1" fillId="0" borderId="0" applyFont="0" applyFill="0" applyBorder="0" applyAlignment="0" applyProtection="0"/>
    <xf numFmtId="9" fontId="1" fillId="0" borderId="0" applyFont="0" applyFill="0" applyBorder="0" applyAlignment="0" applyProtection="0"/>
    <xf numFmtId="0" fontId="6" fillId="0" borderId="0" applyNumberFormat="0" applyFill="0" applyBorder="0" applyAlignment="0" applyProtection="0"/>
    <xf numFmtId="0" fontId="10" fillId="0" borderId="0"/>
    <xf numFmtId="44" fontId="1" fillId="0" borderId="0" applyFont="0" applyFill="0" applyBorder="0" applyAlignment="0" applyProtection="0"/>
    <xf numFmtId="0" fontId="41" fillId="0" borderId="0" applyNumberFormat="0" applyFill="0" applyBorder="0" applyAlignment="0" applyProtection="0"/>
    <xf numFmtId="2" fontId="46" fillId="0" borderId="0"/>
    <xf numFmtId="2" fontId="1" fillId="11" borderId="0"/>
    <xf numFmtId="0" fontId="48" fillId="0" borderId="22"/>
    <xf numFmtId="0" fontId="63" fillId="24" borderId="29" applyNumberFormat="0" applyAlignment="0" applyProtection="0"/>
    <xf numFmtId="2" fontId="1" fillId="11" borderId="0"/>
    <xf numFmtId="2" fontId="119" fillId="0" borderId="0"/>
    <xf numFmtId="0" fontId="120" fillId="0" borderId="0" applyNumberFormat="0" applyFill="0" applyBorder="0" applyAlignment="0" applyProtection="0"/>
    <xf numFmtId="0" fontId="118" fillId="0" borderId="0" applyNumberFormat="0" applyFill="0" applyBorder="0" applyAlignment="0" applyProtection="0"/>
    <xf numFmtId="0" fontId="121" fillId="31" borderId="0" applyNumberFormat="0" applyFill="0" applyAlignment="0" applyProtection="0"/>
    <xf numFmtId="0" fontId="122" fillId="0" borderId="0"/>
    <xf numFmtId="0" fontId="1" fillId="0" borderId="0"/>
    <xf numFmtId="0" fontId="10" fillId="0" borderId="0"/>
    <xf numFmtId="0" fontId="1" fillId="0" borderId="0"/>
    <xf numFmtId="0" fontId="50" fillId="0" borderId="0"/>
    <xf numFmtId="9" fontId="1" fillId="0" borderId="0" applyFont="0" applyFill="0" applyBorder="0" applyAlignment="0" applyProtection="0"/>
  </cellStyleXfs>
  <cellXfs count="1148">
    <xf numFmtId="0" fontId="0" fillId="0" borderId="0" xfId="0"/>
    <xf numFmtId="0" fontId="2" fillId="2" borderId="0" xfId="0" applyFont="1" applyFill="1"/>
    <xf numFmtId="0" fontId="2" fillId="0" borderId="0" xfId="0" applyFont="1"/>
    <xf numFmtId="0" fontId="4" fillId="0" borderId="0" xfId="0" applyFont="1"/>
    <xf numFmtId="165" fontId="0" fillId="3" borderId="0" xfId="0" applyNumberFormat="1" applyFill="1"/>
    <xf numFmtId="2" fontId="0" fillId="3" borderId="0" xfId="0" applyNumberFormat="1" applyFill="1"/>
    <xf numFmtId="0" fontId="7" fillId="0" borderId="0" xfId="0" applyFont="1"/>
    <xf numFmtId="10" fontId="4" fillId="3" borderId="0" xfId="2" applyNumberFormat="1" applyFont="1" applyFill="1"/>
    <xf numFmtId="10" fontId="0" fillId="3" borderId="0" xfId="2" applyNumberFormat="1" applyFont="1" applyFill="1" applyAlignment="1">
      <alignment wrapText="1"/>
    </xf>
    <xf numFmtId="10" fontId="0" fillId="3" borderId="0" xfId="2" applyNumberFormat="1" applyFont="1" applyFill="1"/>
    <xf numFmtId="10" fontId="8" fillId="3" borderId="0" xfId="2" applyNumberFormat="1" applyFont="1" applyFill="1"/>
    <xf numFmtId="10" fontId="0" fillId="3" borderId="0" xfId="0" applyNumberFormat="1" applyFill="1"/>
    <xf numFmtId="0" fontId="6" fillId="0" borderId="1" xfId="3" applyBorder="1"/>
    <xf numFmtId="0" fontId="9" fillId="2" borderId="0" xfId="0" applyFont="1" applyFill="1" applyAlignment="1">
      <alignment horizontal="left"/>
    </xf>
    <xf numFmtId="0" fontId="2" fillId="2" borderId="0" xfId="0" applyFont="1" applyFill="1" applyAlignment="1">
      <alignment horizontal="center"/>
    </xf>
    <xf numFmtId="0" fontId="0" fillId="2" borderId="0" xfId="0" applyFill="1"/>
    <xf numFmtId="0" fontId="9" fillId="2" borderId="0" xfId="4" applyFont="1" applyFill="1" applyAlignment="1">
      <alignment horizontal="left"/>
    </xf>
    <xf numFmtId="0" fontId="5" fillId="2" borderId="0" xfId="0" applyFont="1" applyFill="1"/>
    <xf numFmtId="0" fontId="11" fillId="2" borderId="0" xfId="0" applyFont="1" applyFill="1" applyAlignment="1">
      <alignment horizontal="left"/>
    </xf>
    <xf numFmtId="0" fontId="12" fillId="2" borderId="0" xfId="0" applyFont="1" applyFill="1" applyAlignment="1">
      <alignment horizontal="left"/>
    </xf>
    <xf numFmtId="0" fontId="10" fillId="4" borderId="0" xfId="4" applyFill="1" applyAlignment="1">
      <alignment horizontal="left"/>
    </xf>
    <xf numFmtId="0" fontId="0" fillId="5" borderId="0" xfId="0" applyFill="1"/>
    <xf numFmtId="0" fontId="13" fillId="2" borderId="0" xfId="4" applyFont="1" applyFill="1" applyAlignment="1">
      <alignment horizontal="left"/>
    </xf>
    <xf numFmtId="0" fontId="0" fillId="0" borderId="0" xfId="0" applyAlignment="1">
      <alignment horizontal="left"/>
    </xf>
    <xf numFmtId="0" fontId="14" fillId="5" borderId="0" xfId="0" applyFont="1" applyFill="1" applyAlignment="1">
      <alignment horizontal="left"/>
    </xf>
    <xf numFmtId="0" fontId="15" fillId="0" borderId="0" xfId="4" applyFont="1" applyAlignment="1">
      <alignment horizontal="left"/>
    </xf>
    <xf numFmtId="0" fontId="15" fillId="4" borderId="0" xfId="0" applyFont="1" applyFill="1" applyAlignment="1">
      <alignment horizontal="left"/>
    </xf>
    <xf numFmtId="165" fontId="15" fillId="4" borderId="0" xfId="0" applyNumberFormat="1" applyFont="1" applyFill="1" applyAlignment="1">
      <alignment horizontal="right"/>
    </xf>
    <xf numFmtId="165" fontId="16" fillId="5" borderId="0" xfId="0" applyNumberFormat="1" applyFont="1" applyFill="1" applyAlignment="1">
      <alignment horizontal="right"/>
    </xf>
    <xf numFmtId="2" fontId="4" fillId="0" borderId="0" xfId="0" applyNumberFormat="1" applyFont="1"/>
    <xf numFmtId="0" fontId="15" fillId="4" borderId="0" xfId="4" applyFont="1" applyFill="1" applyAlignment="1">
      <alignment horizontal="left" indent="3"/>
    </xf>
    <xf numFmtId="165" fontId="15" fillId="4" borderId="0" xfId="4" applyNumberFormat="1" applyFont="1" applyFill="1" applyAlignment="1">
      <alignment horizontal="right"/>
    </xf>
    <xf numFmtId="0" fontId="10" fillId="4" borderId="0" xfId="4" applyFill="1" applyAlignment="1">
      <alignment horizontal="left" indent="1"/>
    </xf>
    <xf numFmtId="165" fontId="17" fillId="4" borderId="0" xfId="4" applyNumberFormat="1" applyFont="1" applyFill="1" applyAlignment="1">
      <alignment horizontal="right"/>
    </xf>
    <xf numFmtId="165" fontId="18" fillId="5" borderId="0" xfId="4" applyNumberFormat="1" applyFont="1" applyFill="1" applyAlignment="1">
      <alignment horizontal="right"/>
    </xf>
    <xf numFmtId="0" fontId="15" fillId="0" borderId="0" xfId="0" applyFont="1" applyAlignment="1">
      <alignment horizontal="left" indent="3"/>
    </xf>
    <xf numFmtId="165" fontId="15" fillId="0" borderId="0" xfId="0" applyNumberFormat="1" applyFont="1" applyAlignment="1">
      <alignment horizontal="right"/>
    </xf>
    <xf numFmtId="0" fontId="10" fillId="0" borderId="0" xfId="4" applyAlignment="1">
      <alignment horizontal="left" indent="4"/>
    </xf>
    <xf numFmtId="165" fontId="10" fillId="0" borderId="0" xfId="4" applyNumberFormat="1" applyAlignment="1">
      <alignment horizontal="right"/>
    </xf>
    <xf numFmtId="0" fontId="15" fillId="0" borderId="0" xfId="4" applyFont="1" applyAlignment="1">
      <alignment horizontal="left" indent="3"/>
    </xf>
    <xf numFmtId="165" fontId="15" fillId="0" borderId="0" xfId="4" applyNumberFormat="1" applyFont="1" applyAlignment="1">
      <alignment horizontal="right"/>
    </xf>
    <xf numFmtId="165" fontId="16" fillId="5" borderId="0" xfId="4" applyNumberFormat="1" applyFont="1" applyFill="1" applyAlignment="1">
      <alignment horizontal="right"/>
    </xf>
    <xf numFmtId="0" fontId="0" fillId="4" borderId="0" xfId="0" applyFill="1" applyAlignment="1">
      <alignment horizontal="left" indent="4"/>
    </xf>
    <xf numFmtId="165" fontId="0" fillId="4" borderId="0" xfId="0" applyNumberFormat="1" applyFill="1" applyAlignment="1">
      <alignment horizontal="right"/>
    </xf>
    <xf numFmtId="165" fontId="14" fillId="5" borderId="0" xfId="0" applyNumberFormat="1" applyFont="1" applyFill="1" applyAlignment="1">
      <alignment horizontal="right"/>
    </xf>
    <xf numFmtId="0" fontId="10" fillId="4" borderId="0" xfId="4" applyFill="1" applyAlignment="1">
      <alignment horizontal="left" indent="4"/>
    </xf>
    <xf numFmtId="165" fontId="10" fillId="4" borderId="0" xfId="4" applyNumberFormat="1" applyFill="1" applyAlignment="1">
      <alignment horizontal="right"/>
    </xf>
    <xf numFmtId="165" fontId="19" fillId="5" borderId="0" xfId="4" applyNumberFormat="1" applyFont="1" applyFill="1" applyAlignment="1">
      <alignment horizontal="right"/>
    </xf>
    <xf numFmtId="0" fontId="15" fillId="0" borderId="0" xfId="0" applyFont="1" applyAlignment="1">
      <alignment horizontal="left" indent="6"/>
    </xf>
    <xf numFmtId="0" fontId="0" fillId="4" borderId="0" xfId="0" applyFill="1" applyAlignment="1">
      <alignment horizontal="left" indent="7"/>
    </xf>
    <xf numFmtId="0" fontId="15" fillId="4" borderId="0" xfId="4" applyFont="1" applyFill="1" applyAlignment="1">
      <alignment horizontal="left" indent="6"/>
    </xf>
    <xf numFmtId="0" fontId="0" fillId="0" borderId="0" xfId="0" applyAlignment="1">
      <alignment horizontal="left" indent="7"/>
    </xf>
    <xf numFmtId="165" fontId="0" fillId="0" borderId="0" xfId="0" applyNumberFormat="1" applyAlignment="1">
      <alignment horizontal="right"/>
    </xf>
    <xf numFmtId="0" fontId="10" fillId="0" borderId="0" xfId="4" applyAlignment="1">
      <alignment horizontal="left" indent="7"/>
    </xf>
    <xf numFmtId="0" fontId="10" fillId="4" borderId="0" xfId="4" applyFill="1" applyAlignment="1">
      <alignment horizontal="left" indent="7"/>
    </xf>
    <xf numFmtId="0" fontId="0" fillId="5" borderId="0" xfId="0" applyFill="1" applyAlignment="1">
      <alignment horizontal="center"/>
    </xf>
    <xf numFmtId="0" fontId="10" fillId="0" borderId="0" xfId="4" applyAlignment="1">
      <alignment horizontal="left" indent="1"/>
    </xf>
    <xf numFmtId="0" fontId="0" fillId="0" borderId="0" xfId="0" applyAlignment="1">
      <alignment horizontal="left" indent="4"/>
    </xf>
    <xf numFmtId="2" fontId="0" fillId="0" borderId="0" xfId="0" applyNumberFormat="1"/>
    <xf numFmtId="0" fontId="10" fillId="0" borderId="0" xfId="4" applyAlignment="1">
      <alignment horizontal="left"/>
    </xf>
    <xf numFmtId="165" fontId="17" fillId="0" borderId="0" xfId="4" applyNumberFormat="1" applyFont="1" applyAlignment="1">
      <alignment horizontal="right"/>
    </xf>
    <xf numFmtId="165" fontId="17" fillId="0" borderId="0" xfId="0" applyNumberFormat="1" applyFont="1" applyAlignment="1">
      <alignment horizontal="right"/>
    </xf>
    <xf numFmtId="165" fontId="18" fillId="5" borderId="0" xfId="0" applyNumberFormat="1" applyFont="1" applyFill="1" applyAlignment="1">
      <alignment horizontal="right"/>
    </xf>
    <xf numFmtId="0" fontId="15" fillId="0" borderId="0" xfId="4" applyFont="1" applyAlignment="1">
      <alignment horizontal="left" indent="6"/>
    </xf>
    <xf numFmtId="0" fontId="15" fillId="4" borderId="0" xfId="0" applyFont="1" applyFill="1" applyAlignment="1">
      <alignment horizontal="left" indent="3"/>
    </xf>
    <xf numFmtId="0" fontId="15" fillId="4" borderId="0" xfId="4" applyFont="1" applyFill="1" applyAlignment="1">
      <alignment horizontal="left"/>
    </xf>
    <xf numFmtId="0" fontId="16" fillId="5" borderId="0" xfId="4" applyFont="1" applyFill="1" applyAlignment="1">
      <alignment horizontal="left"/>
    </xf>
    <xf numFmtId="0" fontId="15" fillId="4" borderId="0" xfId="0" applyFont="1" applyFill="1" applyAlignment="1">
      <alignment horizontal="left" indent="6"/>
    </xf>
    <xf numFmtId="0" fontId="0" fillId="4" borderId="0" xfId="0" applyFill="1" applyAlignment="1">
      <alignment horizontal="left"/>
    </xf>
    <xf numFmtId="165" fontId="17" fillId="4" borderId="0" xfId="0" applyNumberFormat="1" applyFont="1" applyFill="1" applyAlignment="1">
      <alignment horizontal="right"/>
    </xf>
    <xf numFmtId="0" fontId="15" fillId="0" borderId="0" xfId="0" applyFont="1" applyAlignment="1">
      <alignment horizontal="left"/>
    </xf>
    <xf numFmtId="0" fontId="0" fillId="4" borderId="0" xfId="0" applyFill="1" applyAlignment="1">
      <alignment horizontal="left" indent="1"/>
    </xf>
    <xf numFmtId="0" fontId="16" fillId="5" borderId="0" xfId="0" applyFont="1" applyFill="1" applyAlignment="1">
      <alignment horizontal="left"/>
    </xf>
    <xf numFmtId="4" fontId="17" fillId="4" borderId="0" xfId="0" applyNumberFormat="1" applyFont="1" applyFill="1" applyAlignment="1">
      <alignment horizontal="right"/>
    </xf>
    <xf numFmtId="4" fontId="18" fillId="5" borderId="0" xfId="0" applyNumberFormat="1" applyFont="1" applyFill="1" applyAlignment="1">
      <alignment horizontal="right"/>
    </xf>
    <xf numFmtId="4" fontId="15" fillId="0" borderId="0" xfId="0" applyNumberFormat="1" applyFont="1" applyAlignment="1">
      <alignment horizontal="right"/>
    </xf>
    <xf numFmtId="4" fontId="16" fillId="5" borderId="0" xfId="0" applyNumberFormat="1" applyFont="1" applyFill="1" applyAlignment="1">
      <alignment horizontal="right"/>
    </xf>
    <xf numFmtId="0" fontId="19" fillId="5" borderId="0" xfId="4" applyFont="1" applyFill="1" applyAlignment="1">
      <alignment horizontal="left"/>
    </xf>
    <xf numFmtId="4" fontId="0" fillId="4" borderId="0" xfId="0" applyNumberFormat="1" applyFill="1" applyAlignment="1">
      <alignment horizontal="right"/>
    </xf>
    <xf numFmtId="4" fontId="0" fillId="0" borderId="0" xfId="0" applyNumberFormat="1" applyAlignment="1">
      <alignment horizontal="right"/>
    </xf>
    <xf numFmtId="4" fontId="15" fillId="4" borderId="0" xfId="0" applyNumberFormat="1" applyFont="1" applyFill="1" applyAlignment="1">
      <alignment horizontal="right"/>
    </xf>
    <xf numFmtId="0" fontId="0" fillId="0" borderId="0" xfId="0" applyAlignment="1">
      <alignment horizontal="left" indent="1"/>
    </xf>
    <xf numFmtId="4" fontId="10" fillId="0" borderId="0" xfId="4" applyNumberFormat="1" applyAlignment="1">
      <alignment horizontal="right"/>
    </xf>
    <xf numFmtId="4" fontId="19" fillId="5" borderId="0" xfId="4" applyNumberFormat="1" applyFont="1" applyFill="1" applyAlignment="1">
      <alignment horizontal="right"/>
    </xf>
    <xf numFmtId="0" fontId="20" fillId="0" borderId="0" xfId="4" applyFont="1" applyAlignment="1">
      <alignment horizontal="left"/>
    </xf>
    <xf numFmtId="0" fontId="10" fillId="0" borderId="0" xfId="4"/>
    <xf numFmtId="0" fontId="20" fillId="0" borderId="0" xfId="0" applyFont="1" applyAlignment="1">
      <alignment horizontal="left"/>
    </xf>
    <xf numFmtId="0" fontId="9" fillId="0" borderId="0" xfId="4" applyFont="1" applyAlignment="1">
      <alignment horizontal="left"/>
    </xf>
    <xf numFmtId="0" fontId="5" fillId="0" borderId="0" xfId="0" applyFont="1"/>
    <xf numFmtId="0" fontId="4" fillId="5" borderId="0" xfId="0" applyFont="1" applyFill="1"/>
    <xf numFmtId="3" fontId="15" fillId="0" borderId="0" xfId="4" applyNumberFormat="1" applyFont="1" applyAlignment="1">
      <alignment horizontal="right"/>
    </xf>
    <xf numFmtId="0" fontId="9" fillId="0" borderId="0" xfId="0" applyFont="1" applyAlignment="1">
      <alignment horizontal="left"/>
    </xf>
    <xf numFmtId="3" fontId="10" fillId="4" borderId="0" xfId="4" applyNumberFormat="1" applyFill="1" applyAlignment="1">
      <alignment horizontal="right"/>
    </xf>
    <xf numFmtId="3" fontId="10" fillId="0" borderId="0" xfId="4" applyNumberFormat="1" applyAlignment="1">
      <alignment horizontal="right"/>
    </xf>
    <xf numFmtId="3" fontId="17" fillId="4" borderId="0" xfId="4" applyNumberFormat="1" applyFont="1" applyFill="1" applyAlignment="1">
      <alignment horizontal="right"/>
    </xf>
    <xf numFmtId="4" fontId="10" fillId="4" borderId="0" xfId="4" applyNumberFormat="1" applyFill="1" applyAlignment="1">
      <alignment horizontal="right"/>
    </xf>
    <xf numFmtId="4" fontId="17" fillId="0" borderId="0" xfId="4" applyNumberFormat="1" applyFont="1" applyAlignment="1">
      <alignment horizontal="right"/>
    </xf>
    <xf numFmtId="3" fontId="17" fillId="0" borderId="0" xfId="4" applyNumberFormat="1" applyFont="1" applyAlignment="1">
      <alignment horizontal="right"/>
    </xf>
    <xf numFmtId="0" fontId="0" fillId="6" borderId="0" xfId="0" applyFill="1"/>
    <xf numFmtId="168" fontId="0" fillId="0" borderId="0" xfId="0" applyNumberFormat="1"/>
    <xf numFmtId="43" fontId="0" fillId="0" borderId="0" xfId="0" applyNumberFormat="1"/>
    <xf numFmtId="169" fontId="3" fillId="0" borderId="0" xfId="0" applyNumberFormat="1" applyFont="1"/>
    <xf numFmtId="0" fontId="23" fillId="0" borderId="0" xfId="0" applyFont="1"/>
    <xf numFmtId="43" fontId="4" fillId="0" borderId="0" xfId="0" applyNumberFormat="1" applyFont="1"/>
    <xf numFmtId="174" fontId="0" fillId="3" borderId="0" xfId="2" applyNumberFormat="1" applyFont="1" applyFill="1"/>
    <xf numFmtId="10" fontId="2" fillId="2" borderId="0" xfId="0" applyNumberFormat="1" applyFont="1" applyFill="1"/>
    <xf numFmtId="166" fontId="0" fillId="3" borderId="0" xfId="0" applyNumberFormat="1" applyFill="1"/>
    <xf numFmtId="0" fontId="24" fillId="4" borderId="0" xfId="0" applyFont="1" applyFill="1" applyAlignment="1">
      <alignment horizontal="left" vertical="center" indent="3"/>
    </xf>
    <xf numFmtId="9" fontId="0" fillId="0" borderId="0" xfId="2" applyFont="1"/>
    <xf numFmtId="43" fontId="0" fillId="0" borderId="0" xfId="1" applyFont="1"/>
    <xf numFmtId="168" fontId="4" fillId="0" borderId="0" xfId="0" applyNumberFormat="1" applyFont="1"/>
    <xf numFmtId="165" fontId="15" fillId="4" borderId="0" xfId="0" applyNumberFormat="1" applyFont="1" applyFill="1" applyAlignment="1">
      <alignment horizontal="center"/>
    </xf>
    <xf numFmtId="165" fontId="16" fillId="5" borderId="0" xfId="0" applyNumberFormat="1" applyFont="1" applyFill="1" applyAlignment="1">
      <alignment horizontal="center"/>
    </xf>
    <xf numFmtId="2" fontId="4" fillId="0" borderId="0" xfId="0" applyNumberFormat="1" applyFont="1" applyAlignment="1">
      <alignment horizontal="center"/>
    </xf>
    <xf numFmtId="0" fontId="4" fillId="0" borderId="0" xfId="0" applyFont="1" applyAlignment="1">
      <alignment horizontal="center"/>
    </xf>
    <xf numFmtId="175" fontId="16" fillId="5" borderId="0" xfId="0" applyNumberFormat="1" applyFont="1" applyFill="1" applyAlignment="1">
      <alignment horizontal="right"/>
    </xf>
    <xf numFmtId="176" fontId="16" fillId="5" borderId="0" xfId="0" applyNumberFormat="1" applyFont="1" applyFill="1" applyAlignment="1">
      <alignment horizontal="right"/>
    </xf>
    <xf numFmtId="9" fontId="0" fillId="0" borderId="0" xfId="0" applyNumberFormat="1"/>
    <xf numFmtId="174" fontId="0" fillId="0" borderId="0" xfId="0" applyNumberFormat="1"/>
    <xf numFmtId="174" fontId="0" fillId="0" borderId="0" xfId="2" applyNumberFormat="1" applyFont="1"/>
    <xf numFmtId="10" fontId="0" fillId="0" borderId="0" xfId="2" applyNumberFormat="1" applyFont="1"/>
    <xf numFmtId="0" fontId="2" fillId="2" borderId="2" xfId="0" applyFont="1" applyFill="1" applyBorder="1"/>
    <xf numFmtId="0" fontId="22" fillId="5" borderId="0" xfId="0" applyFont="1" applyFill="1"/>
    <xf numFmtId="177" fontId="0" fillId="0" borderId="0" xfId="0" applyNumberFormat="1"/>
    <xf numFmtId="10" fontId="0" fillId="0" borderId="0" xfId="0" applyNumberFormat="1"/>
    <xf numFmtId="4" fontId="0" fillId="3" borderId="0" xfId="0" applyNumberFormat="1" applyFill="1"/>
    <xf numFmtId="165" fontId="26" fillId="0" borderId="0" xfId="0" applyNumberFormat="1" applyFont="1" applyAlignment="1">
      <alignment horizontal="right"/>
    </xf>
    <xf numFmtId="10" fontId="26" fillId="0" borderId="0" xfId="2" applyNumberFormat="1" applyFont="1" applyAlignment="1">
      <alignment horizontal="right"/>
    </xf>
    <xf numFmtId="174" fontId="27" fillId="0" borderId="0" xfId="0" applyNumberFormat="1" applyFont="1"/>
    <xf numFmtId="10" fontId="27" fillId="0" borderId="0" xfId="2" applyNumberFormat="1" applyFont="1"/>
    <xf numFmtId="9" fontId="27" fillId="0" borderId="0" xfId="0" applyNumberFormat="1" applyFont="1"/>
    <xf numFmtId="165" fontId="24" fillId="4" borderId="0" xfId="0" applyNumberFormat="1" applyFont="1" applyFill="1" applyAlignment="1">
      <alignment horizontal="right"/>
    </xf>
    <xf numFmtId="0" fontId="29" fillId="0" borderId="0" xfId="0" applyFont="1"/>
    <xf numFmtId="0" fontId="27" fillId="0" borderId="0" xfId="0" applyFont="1"/>
    <xf numFmtId="174" fontId="23" fillId="0" borderId="0" xfId="2" applyNumberFormat="1" applyFont="1"/>
    <xf numFmtId="174" fontId="0" fillId="0" borderId="0" xfId="2" applyNumberFormat="1" applyFont="1" applyFill="1"/>
    <xf numFmtId="165" fontId="0" fillId="0" borderId="0" xfId="0" applyNumberFormat="1"/>
    <xf numFmtId="4" fontId="16" fillId="5" borderId="0" xfId="4" applyNumberFormat="1" applyFont="1" applyFill="1" applyAlignment="1">
      <alignment horizontal="right"/>
    </xf>
    <xf numFmtId="165" fontId="4" fillId="0" borderId="0" xfId="0" applyNumberFormat="1" applyFont="1"/>
    <xf numFmtId="165" fontId="14" fillId="5" borderId="0" xfId="0" applyNumberFormat="1" applyFont="1" applyFill="1"/>
    <xf numFmtId="2" fontId="23" fillId="0" borderId="0" xfId="1" applyNumberFormat="1" applyFont="1"/>
    <xf numFmtId="165" fontId="24" fillId="0" borderId="0" xfId="0" applyNumberFormat="1" applyFont="1" applyAlignment="1">
      <alignment horizontal="right"/>
    </xf>
    <xf numFmtId="165" fontId="10" fillId="0" borderId="0" xfId="0" applyNumberFormat="1" applyFont="1" applyAlignment="1">
      <alignment horizontal="right"/>
    </xf>
    <xf numFmtId="4" fontId="0" fillId="0" borderId="0" xfId="0" applyNumberFormat="1"/>
    <xf numFmtId="175" fontId="0" fillId="0" borderId="0" xfId="0" applyNumberFormat="1" applyAlignment="1">
      <alignment horizontal="right"/>
    </xf>
    <xf numFmtId="175" fontId="0" fillId="0" borderId="0" xfId="0" applyNumberFormat="1"/>
    <xf numFmtId="2" fontId="3" fillId="0" borderId="0" xfId="0" applyNumberFormat="1" applyFont="1"/>
    <xf numFmtId="2" fontId="3" fillId="0" borderId="0" xfId="0" applyNumberFormat="1" applyFont="1" applyAlignment="1">
      <alignment horizontal="right"/>
    </xf>
    <xf numFmtId="43" fontId="0" fillId="3" borderId="0" xfId="0" applyNumberFormat="1" applyFill="1"/>
    <xf numFmtId="168" fontId="0" fillId="0" borderId="0" xfId="0" applyNumberFormat="1" applyAlignment="1">
      <alignment vertical="center"/>
    </xf>
    <xf numFmtId="178" fontId="0" fillId="0" borderId="0" xfId="2" applyNumberFormat="1" applyFont="1"/>
    <xf numFmtId="0" fontId="0" fillId="0" borderId="0" xfId="0" applyAlignment="1">
      <alignment vertical="center"/>
    </xf>
    <xf numFmtId="165" fontId="10" fillId="4" borderId="0" xfId="4" applyNumberFormat="1" applyFill="1" applyAlignment="1">
      <alignment horizontal="left"/>
    </xf>
    <xf numFmtId="0" fontId="33" fillId="0" borderId="0" xfId="4" applyFont="1" applyAlignment="1">
      <alignment horizontal="left" indent="1"/>
    </xf>
    <xf numFmtId="165" fontId="32" fillId="0" borderId="0" xfId="4" applyNumberFormat="1" applyFont="1" applyAlignment="1">
      <alignment horizontal="right"/>
    </xf>
    <xf numFmtId="3" fontId="0" fillId="0" borderId="0" xfId="0" applyNumberFormat="1"/>
    <xf numFmtId="43" fontId="0" fillId="0" borderId="0" xfId="0" applyNumberFormat="1" applyAlignment="1">
      <alignment vertical="center"/>
    </xf>
    <xf numFmtId="168" fontId="3" fillId="0" borderId="0" xfId="0" applyNumberFormat="1" applyFont="1"/>
    <xf numFmtId="165" fontId="15" fillId="0" borderId="0" xfId="4" applyNumberFormat="1" applyFont="1" applyAlignment="1">
      <alignment horizontal="left"/>
    </xf>
    <xf numFmtId="168" fontId="23" fillId="0" borderId="0" xfId="0" applyNumberFormat="1" applyFont="1"/>
    <xf numFmtId="169" fontId="3" fillId="3" borderId="0" xfId="0" applyNumberFormat="1" applyFont="1" applyFill="1"/>
    <xf numFmtId="0" fontId="22" fillId="0" borderId="0" xfId="0" applyFont="1"/>
    <xf numFmtId="10" fontId="23" fillId="0" borderId="0" xfId="0" applyNumberFormat="1" applyFont="1"/>
    <xf numFmtId="2" fontId="23" fillId="0" borderId="0" xfId="0" applyNumberFormat="1" applyFont="1"/>
    <xf numFmtId="10" fontId="0" fillId="0" borderId="0" xfId="2" applyNumberFormat="1" applyFont="1" applyAlignment="1">
      <alignment vertical="center"/>
    </xf>
    <xf numFmtId="181" fontId="0" fillId="0" borderId="0" xfId="0" applyNumberFormat="1"/>
    <xf numFmtId="168" fontId="0" fillId="3" borderId="0" xfId="0" applyNumberFormat="1" applyFill="1"/>
    <xf numFmtId="9" fontId="0" fillId="3" borderId="0" xfId="2" applyFont="1" applyFill="1"/>
    <xf numFmtId="173" fontId="0" fillId="3" borderId="0" xfId="2" applyNumberFormat="1" applyFont="1" applyFill="1"/>
    <xf numFmtId="43" fontId="4" fillId="3" borderId="0" xfId="0" applyNumberFormat="1" applyFont="1" applyFill="1"/>
    <xf numFmtId="44" fontId="0" fillId="0" borderId="0" xfId="5" applyFont="1" applyFill="1" applyAlignment="1"/>
    <xf numFmtId="183" fontId="0" fillId="0" borderId="0" xfId="0" applyNumberFormat="1"/>
    <xf numFmtId="181" fontId="0" fillId="3" borderId="0" xfId="5" applyNumberFormat="1" applyFont="1" applyFill="1" applyAlignment="1"/>
    <xf numFmtId="181" fontId="0" fillId="3" borderId="0" xfId="5" applyNumberFormat="1" applyFont="1" applyFill="1"/>
    <xf numFmtId="170" fontId="0" fillId="0" borderId="0" xfId="0" applyNumberFormat="1"/>
    <xf numFmtId="0" fontId="4" fillId="0" borderId="0" xfId="0" applyFont="1" applyAlignment="1">
      <alignment horizontal="right"/>
    </xf>
    <xf numFmtId="0" fontId="34" fillId="0" borderId="0" xfId="0" applyFont="1"/>
    <xf numFmtId="10" fontId="9" fillId="2" borderId="0" xfId="0" applyNumberFormat="1" applyFont="1" applyFill="1" applyAlignment="1">
      <alignment horizontal="left"/>
    </xf>
    <xf numFmtId="10" fontId="4" fillId="0" borderId="0" xfId="0" applyNumberFormat="1" applyFont="1"/>
    <xf numFmtId="10" fontId="27" fillId="0" borderId="0" xfId="0" applyNumberFormat="1" applyFont="1"/>
    <xf numFmtId="179" fontId="14" fillId="0" borderId="0" xfId="0" applyNumberFormat="1" applyFont="1" applyAlignment="1">
      <alignment horizontal="left"/>
    </xf>
    <xf numFmtId="0" fontId="2" fillId="2" borderId="0" xfId="0" applyFont="1" applyFill="1" applyAlignment="1">
      <alignment horizontal="center" vertical="center"/>
    </xf>
    <xf numFmtId="180" fontId="0" fillId="0" borderId="0" xfId="0" applyNumberFormat="1"/>
    <xf numFmtId="2" fontId="27" fillId="0" borderId="0" xfId="0" applyNumberFormat="1" applyFont="1"/>
    <xf numFmtId="185" fontId="0" fillId="0" borderId="0" xfId="0" applyNumberFormat="1"/>
    <xf numFmtId="2" fontId="0" fillId="5" borderId="0" xfId="0" applyNumberFormat="1" applyFill="1"/>
    <xf numFmtId="0" fontId="35" fillId="7" borderId="0" xfId="0" applyFont="1" applyFill="1"/>
    <xf numFmtId="0" fontId="36" fillId="7" borderId="0" xfId="0" applyFont="1" applyFill="1" applyAlignment="1">
      <alignment horizontal="center"/>
    </xf>
    <xf numFmtId="0" fontId="36" fillId="2" borderId="0" xfId="0" applyFont="1" applyFill="1" applyAlignment="1">
      <alignment horizontal="center"/>
    </xf>
    <xf numFmtId="2" fontId="36" fillId="2" borderId="0" xfId="0" applyNumberFormat="1" applyFont="1" applyFill="1" applyAlignment="1">
      <alignment horizontal="center"/>
    </xf>
    <xf numFmtId="0" fontId="0" fillId="9" borderId="0" xfId="0" applyFill="1"/>
    <xf numFmtId="0" fontId="0" fillId="9" borderId="11" xfId="0" applyFill="1" applyBorder="1"/>
    <xf numFmtId="10" fontId="0" fillId="9" borderId="0" xfId="2" applyNumberFormat="1" applyFont="1" applyFill="1" applyAlignment="1">
      <alignment horizontal="center"/>
    </xf>
    <xf numFmtId="186" fontId="0" fillId="9" borderId="11" xfId="2" applyNumberFormat="1" applyFont="1" applyFill="1" applyBorder="1" applyAlignment="1">
      <alignment horizontal="center"/>
    </xf>
    <xf numFmtId="187" fontId="0" fillId="9" borderId="0" xfId="0" applyNumberFormat="1" applyFill="1" applyAlignment="1">
      <alignment horizontal="center"/>
    </xf>
    <xf numFmtId="171" fontId="0" fillId="9" borderId="11" xfId="0" applyNumberFormat="1" applyFill="1" applyBorder="1" applyAlignment="1">
      <alignment horizontal="center"/>
    </xf>
    <xf numFmtId="43" fontId="0" fillId="9" borderId="0" xfId="0" applyNumberFormat="1" applyFill="1" applyAlignment="1">
      <alignment horizontal="left" vertical="top"/>
    </xf>
    <xf numFmtId="171" fontId="0" fillId="9" borderId="6" xfId="0" applyNumberFormat="1" applyFill="1" applyBorder="1" applyAlignment="1">
      <alignment horizontal="center"/>
    </xf>
    <xf numFmtId="188" fontId="0" fillId="9" borderId="6" xfId="0" applyNumberFormat="1" applyFill="1" applyBorder="1" applyAlignment="1">
      <alignment horizontal="center"/>
    </xf>
    <xf numFmtId="171" fontId="0" fillId="9" borderId="0" xfId="0" applyNumberFormat="1" applyFill="1" applyAlignment="1">
      <alignment horizontal="center"/>
    </xf>
    <xf numFmtId="187" fontId="0" fillId="9" borderId="0" xfId="2" applyNumberFormat="1" applyFont="1" applyFill="1" applyAlignment="1">
      <alignment horizontal="center"/>
    </xf>
    <xf numFmtId="168" fontId="0" fillId="9" borderId="11" xfId="0" applyNumberFormat="1" applyFill="1" applyBorder="1"/>
    <xf numFmtId="183" fontId="4" fillId="0" borderId="0" xfId="0" applyNumberFormat="1" applyFont="1"/>
    <xf numFmtId="0" fontId="37" fillId="2" borderId="0" xfId="0" applyFont="1" applyFill="1"/>
    <xf numFmtId="0" fontId="38" fillId="2" borderId="0" xfId="0" applyFont="1" applyFill="1"/>
    <xf numFmtId="0" fontId="14" fillId="5" borderId="0" xfId="0" applyFont="1" applyFill="1"/>
    <xf numFmtId="0" fontId="14" fillId="5" borderId="0" xfId="0" applyFont="1" applyFill="1" applyAlignment="1">
      <alignment horizontal="center"/>
    </xf>
    <xf numFmtId="165" fontId="14" fillId="0" borderId="0" xfId="0" applyNumberFormat="1" applyFont="1"/>
    <xf numFmtId="0" fontId="39" fillId="5" borderId="0" xfId="0" applyFont="1" applyFill="1"/>
    <xf numFmtId="3" fontId="14" fillId="5" borderId="0" xfId="0" applyNumberFormat="1" applyFont="1" applyFill="1"/>
    <xf numFmtId="0" fontId="40" fillId="5" borderId="0" xfId="0" applyFont="1" applyFill="1"/>
    <xf numFmtId="10" fontId="0" fillId="0" borderId="2" xfId="0" applyNumberFormat="1" applyBorder="1"/>
    <xf numFmtId="178" fontId="0" fillId="0" borderId="0" xfId="0" applyNumberFormat="1"/>
    <xf numFmtId="0" fontId="42" fillId="0" borderId="0" xfId="0" applyFont="1"/>
    <xf numFmtId="17" fontId="43" fillId="0" borderId="0" xfId="0" applyNumberFormat="1" applyFont="1" applyAlignment="1">
      <alignment horizontal="center" vertical="center"/>
    </xf>
    <xf numFmtId="0" fontId="44" fillId="10" borderId="0" xfId="0" applyFont="1" applyFill="1" applyAlignment="1">
      <alignment horizontal="center" vertical="center"/>
    </xf>
    <xf numFmtId="0" fontId="42" fillId="0" borderId="0" xfId="0" applyFont="1" applyAlignment="1">
      <alignment horizontal="center" vertical="center"/>
    </xf>
    <xf numFmtId="0" fontId="43" fillId="0" borderId="0" xfId="0" applyFont="1"/>
    <xf numFmtId="0" fontId="42" fillId="0" borderId="0" xfId="0" applyFont="1" applyAlignment="1">
      <alignment horizontal="left" indent="2"/>
    </xf>
    <xf numFmtId="168" fontId="47" fillId="0" borderId="0" xfId="7" applyNumberFormat="1" applyFont="1"/>
    <xf numFmtId="2" fontId="42" fillId="11" borderId="0" xfId="8" applyFont="1"/>
    <xf numFmtId="0" fontId="43" fillId="0" borderId="22" xfId="9" applyFont="1"/>
    <xf numFmtId="0" fontId="43" fillId="0" borderId="0" xfId="0" applyFont="1" applyAlignment="1">
      <alignment horizontal="left" indent="1"/>
    </xf>
    <xf numFmtId="0" fontId="42" fillId="0" borderId="0" xfId="0" applyFont="1" applyAlignment="1">
      <alignment horizontal="left" indent="3"/>
    </xf>
    <xf numFmtId="0" fontId="42" fillId="0" borderId="0" xfId="0" applyFont="1" applyAlignment="1">
      <alignment horizontal="left" indent="4"/>
    </xf>
    <xf numFmtId="0" fontId="45" fillId="12" borderId="0" xfId="0" applyFont="1" applyFill="1"/>
    <xf numFmtId="0" fontId="42" fillId="2" borderId="0" xfId="0" applyFont="1" applyFill="1"/>
    <xf numFmtId="0" fontId="49" fillId="12" borderId="0" xfId="0" applyFont="1" applyFill="1" applyAlignment="1">
      <alignment horizontal="center" vertical="center"/>
    </xf>
    <xf numFmtId="0" fontId="44" fillId="5" borderId="0" xfId="0" applyFont="1" applyFill="1"/>
    <xf numFmtId="17" fontId="43" fillId="0" borderId="0" xfId="0" applyNumberFormat="1" applyFont="1"/>
    <xf numFmtId="0" fontId="50" fillId="0" borderId="0" xfId="0" applyFont="1"/>
    <xf numFmtId="170" fontId="42" fillId="0" borderId="0" xfId="0" applyNumberFormat="1" applyFont="1"/>
    <xf numFmtId="170" fontId="42" fillId="0" borderId="0" xfId="7" applyNumberFormat="1" applyFont="1"/>
    <xf numFmtId="170" fontId="47" fillId="0" borderId="0" xfId="7" applyNumberFormat="1" applyFont="1"/>
    <xf numFmtId="170" fontId="51" fillId="0" borderId="22" xfId="7" applyNumberFormat="1" applyFont="1" applyBorder="1"/>
    <xf numFmtId="170" fontId="42" fillId="0" borderId="0" xfId="0" applyNumberFormat="1" applyFont="1" applyAlignment="1">
      <alignment horizontal="left" indent="2"/>
    </xf>
    <xf numFmtId="170" fontId="43" fillId="0" borderId="22" xfId="9" applyNumberFormat="1" applyFont="1"/>
    <xf numFmtId="170" fontId="43" fillId="0" borderId="22" xfId="7" applyNumberFormat="1" applyFont="1" applyBorder="1"/>
    <xf numFmtId="165" fontId="15" fillId="4" borderId="0" xfId="4" applyNumberFormat="1" applyFont="1" applyFill="1" applyAlignment="1">
      <alignment horizontal="left"/>
    </xf>
    <xf numFmtId="170" fontId="43" fillId="0" borderId="0" xfId="0" applyNumberFormat="1" applyFont="1"/>
    <xf numFmtId="170" fontId="43" fillId="0" borderId="0" xfId="7" applyNumberFormat="1" applyFont="1"/>
    <xf numFmtId="2" fontId="43" fillId="11" borderId="0" xfId="8" applyFont="1"/>
    <xf numFmtId="0" fontId="42" fillId="0" borderId="0" xfId="0" applyFont="1" applyAlignment="1">
      <alignment horizontal="left" indent="1"/>
    </xf>
    <xf numFmtId="168" fontId="42" fillId="0" borderId="0" xfId="0" applyNumberFormat="1" applyFont="1"/>
    <xf numFmtId="0" fontId="53" fillId="12" borderId="0" xfId="0" applyFont="1" applyFill="1" applyAlignment="1">
      <alignment horizontal="center" vertical="center"/>
    </xf>
    <xf numFmtId="10" fontId="17" fillId="0" borderId="0" xfId="2" applyNumberFormat="1" applyFont="1" applyAlignment="1">
      <alignment horizontal="right"/>
    </xf>
    <xf numFmtId="170" fontId="42" fillId="0" borderId="22" xfId="9" applyNumberFormat="1" applyFont="1"/>
    <xf numFmtId="170" fontId="42" fillId="0" borderId="22" xfId="7" applyNumberFormat="1" applyFont="1" applyBorder="1"/>
    <xf numFmtId="170" fontId="42" fillId="0" borderId="0" xfId="0" applyNumberFormat="1" applyFont="1" applyAlignment="1">
      <alignment horizontal="left" indent="1"/>
    </xf>
    <xf numFmtId="170" fontId="51" fillId="0" borderId="0" xfId="7" applyNumberFormat="1" applyFont="1"/>
    <xf numFmtId="170" fontId="42" fillId="0" borderId="0" xfId="0" applyNumberFormat="1" applyFont="1" applyAlignment="1">
      <alignment horizontal="left"/>
    </xf>
    <xf numFmtId="2" fontId="42" fillId="11" borderId="0" xfId="8" applyFont="1" applyAlignment="1">
      <alignment horizontal="center" vertical="center"/>
    </xf>
    <xf numFmtId="0" fontId="52" fillId="0" borderId="0" xfId="0" applyFont="1" applyAlignment="1">
      <alignment horizontal="left" indent="3"/>
    </xf>
    <xf numFmtId="0" fontId="43" fillId="0" borderId="22" xfId="0" applyFont="1" applyBorder="1"/>
    <xf numFmtId="0" fontId="43" fillId="0" borderId="22" xfId="0" applyFont="1" applyBorder="1" applyAlignment="1">
      <alignment horizontal="left"/>
    </xf>
    <xf numFmtId="0" fontId="43" fillId="0" borderId="22" xfId="0" applyFont="1" applyBorder="1" applyAlignment="1">
      <alignment horizontal="left" indent="1"/>
    </xf>
    <xf numFmtId="0" fontId="43" fillId="12" borderId="0" xfId="0" applyFont="1" applyFill="1"/>
    <xf numFmtId="0" fontId="43" fillId="0" borderId="0" xfId="0" applyFont="1" applyAlignment="1">
      <alignment horizontal="left" indent="2"/>
    </xf>
    <xf numFmtId="0" fontId="43" fillId="0" borderId="0" xfId="0" applyFont="1" applyAlignment="1">
      <alignment horizontal="left"/>
    </xf>
    <xf numFmtId="2" fontId="42" fillId="0" borderId="0" xfId="8" applyFont="1" applyFill="1" applyAlignment="1">
      <alignment horizontal="center" vertical="center"/>
    </xf>
    <xf numFmtId="170" fontId="42" fillId="0" borderId="22" xfId="9" applyNumberFormat="1" applyFont="1" applyAlignment="1">
      <alignment horizontal="left" indent="2"/>
    </xf>
    <xf numFmtId="0" fontId="44" fillId="14" borderId="0" xfId="0" applyFont="1" applyFill="1" applyAlignment="1">
      <alignment horizontal="center" vertical="center"/>
    </xf>
    <xf numFmtId="0" fontId="54" fillId="0" borderId="0" xfId="6" applyFont="1" applyAlignment="1">
      <alignment horizontal="right"/>
    </xf>
    <xf numFmtId="170" fontId="52" fillId="0" borderId="0" xfId="0" applyNumberFormat="1" applyFont="1" applyAlignment="1">
      <alignment horizontal="left" indent="3"/>
    </xf>
    <xf numFmtId="170" fontId="43" fillId="0" borderId="22" xfId="0" applyNumberFormat="1" applyFont="1" applyBorder="1"/>
    <xf numFmtId="0" fontId="48" fillId="0" borderId="0" xfId="0" applyFont="1"/>
    <xf numFmtId="0" fontId="56" fillId="0" borderId="0" xfId="0" applyFont="1"/>
    <xf numFmtId="43" fontId="50" fillId="0" borderId="0" xfId="0" applyNumberFormat="1" applyFont="1"/>
    <xf numFmtId="183" fontId="50" fillId="0" borderId="0" xfId="0" applyNumberFormat="1" applyFont="1"/>
    <xf numFmtId="9" fontId="50" fillId="0" borderId="0" xfId="2" applyFont="1"/>
    <xf numFmtId="10" fontId="50" fillId="0" borderId="0" xfId="2" applyNumberFormat="1" applyFont="1"/>
    <xf numFmtId="0" fontId="32" fillId="0" borderId="0" xfId="4" applyFont="1"/>
    <xf numFmtId="191" fontId="10" fillId="0" borderId="0" xfId="4" applyNumberFormat="1" applyAlignment="1">
      <alignment horizontal="right"/>
    </xf>
    <xf numFmtId="0" fontId="15" fillId="4" borderId="0" xfId="4" applyFont="1" applyFill="1" applyAlignment="1">
      <alignment horizontal="right"/>
    </xf>
    <xf numFmtId="168" fontId="15" fillId="4" borderId="0" xfId="4" applyNumberFormat="1" applyFont="1" applyFill="1" applyAlignment="1">
      <alignment horizontal="right"/>
    </xf>
    <xf numFmtId="168" fontId="10" fillId="0" borderId="0" xfId="4" applyNumberFormat="1" applyAlignment="1">
      <alignment horizontal="right"/>
    </xf>
    <xf numFmtId="199" fontId="15" fillId="4" borderId="0" xfId="4" applyNumberFormat="1" applyFont="1" applyFill="1" applyAlignment="1">
      <alignment horizontal="right"/>
    </xf>
    <xf numFmtId="196" fontId="10" fillId="0" borderId="0" xfId="4" applyNumberFormat="1" applyAlignment="1">
      <alignment horizontal="right"/>
    </xf>
    <xf numFmtId="198" fontId="10" fillId="0" borderId="0" xfId="4" applyNumberFormat="1" applyAlignment="1">
      <alignment horizontal="right"/>
    </xf>
    <xf numFmtId="194" fontId="10" fillId="0" borderId="0" xfId="4" applyNumberFormat="1" applyAlignment="1">
      <alignment horizontal="right"/>
    </xf>
    <xf numFmtId="197" fontId="10" fillId="0" borderId="0" xfId="4" applyNumberFormat="1" applyAlignment="1">
      <alignment horizontal="right"/>
    </xf>
    <xf numFmtId="196" fontId="10" fillId="4" borderId="0" xfId="4" applyNumberFormat="1" applyFill="1" applyAlignment="1">
      <alignment horizontal="right"/>
    </xf>
    <xf numFmtId="195" fontId="10" fillId="4" borderId="0" xfId="4" applyNumberFormat="1" applyFill="1" applyAlignment="1">
      <alignment horizontal="right"/>
    </xf>
    <xf numFmtId="194" fontId="10" fillId="4" borderId="0" xfId="4" applyNumberFormat="1" applyFill="1" applyAlignment="1">
      <alignment horizontal="right"/>
    </xf>
    <xf numFmtId="193" fontId="10" fillId="4" borderId="0" xfId="4" applyNumberFormat="1" applyFill="1" applyAlignment="1">
      <alignment horizontal="right"/>
    </xf>
    <xf numFmtId="0" fontId="15" fillId="0" borderId="0" xfId="4" applyFont="1" applyAlignment="1">
      <alignment horizontal="right"/>
    </xf>
    <xf numFmtId="192" fontId="15" fillId="0" borderId="0" xfId="4" applyNumberFormat="1" applyFont="1" applyAlignment="1">
      <alignment horizontal="right"/>
    </xf>
    <xf numFmtId="192" fontId="17" fillId="4" borderId="0" xfId="4" applyNumberFormat="1" applyFont="1" applyFill="1" applyAlignment="1">
      <alignment horizontal="right"/>
    </xf>
    <xf numFmtId="191" fontId="10" fillId="4" borderId="0" xfId="4" applyNumberFormat="1" applyFill="1" applyAlignment="1">
      <alignment horizontal="right"/>
    </xf>
    <xf numFmtId="0" fontId="10" fillId="0" borderId="0" xfId="4" applyAlignment="1">
      <alignment horizontal="right"/>
    </xf>
    <xf numFmtId="190" fontId="10" fillId="0" borderId="0" xfId="4" applyNumberFormat="1" applyAlignment="1">
      <alignment horizontal="right"/>
    </xf>
    <xf numFmtId="0" fontId="10" fillId="4" borderId="0" xfId="4" applyFill="1" applyAlignment="1">
      <alignment horizontal="right"/>
    </xf>
    <xf numFmtId="168" fontId="10" fillId="4" borderId="0" xfId="4" applyNumberFormat="1" applyFill="1" applyAlignment="1">
      <alignment horizontal="right"/>
    </xf>
    <xf numFmtId="10" fontId="10" fillId="4" borderId="0" xfId="2" applyNumberFormat="1" applyFont="1" applyFill="1" applyAlignment="1">
      <alignment horizontal="right"/>
    </xf>
    <xf numFmtId="10" fontId="10" fillId="0" borderId="0" xfId="2" applyNumberFormat="1" applyFont="1" applyAlignment="1">
      <alignment horizontal="right"/>
    </xf>
    <xf numFmtId="9" fontId="50" fillId="0" borderId="0" xfId="0" applyNumberFormat="1" applyFont="1"/>
    <xf numFmtId="10" fontId="50" fillId="0" borderId="0" xfId="0" applyNumberFormat="1" applyFont="1"/>
    <xf numFmtId="0" fontId="48" fillId="0" borderId="23" xfId="0" applyFont="1" applyBorder="1"/>
    <xf numFmtId="0" fontId="50" fillId="0" borderId="23" xfId="0" applyFont="1" applyBorder="1"/>
    <xf numFmtId="10" fontId="48" fillId="13" borderId="23" xfId="0" applyNumberFormat="1" applyFont="1" applyFill="1" applyBorder="1"/>
    <xf numFmtId="10" fontId="1" fillId="0" borderId="0" xfId="2" applyNumberFormat="1" applyFont="1" applyFill="1"/>
    <xf numFmtId="0" fontId="58" fillId="0" borderId="24" xfId="0" applyFont="1" applyBorder="1" applyAlignment="1">
      <alignment horizontal="center" vertical="top"/>
    </xf>
    <xf numFmtId="200" fontId="50" fillId="0" borderId="0" xfId="0" applyNumberFormat="1" applyFont="1"/>
    <xf numFmtId="2" fontId="50" fillId="0" borderId="0" xfId="0" applyNumberFormat="1" applyFont="1"/>
    <xf numFmtId="180" fontId="50" fillId="0" borderId="0" xfId="0" applyNumberFormat="1" applyFont="1"/>
    <xf numFmtId="10" fontId="48" fillId="13" borderId="23" xfId="2" applyNumberFormat="1" applyFont="1" applyFill="1" applyBorder="1"/>
    <xf numFmtId="0" fontId="59" fillId="0" borderId="0" xfId="0" applyFont="1" applyAlignment="1">
      <alignment horizontal="left" indent="2"/>
    </xf>
    <xf numFmtId="10" fontId="42" fillId="0" borderId="0" xfId="2" applyNumberFormat="1" applyFont="1"/>
    <xf numFmtId="10" fontId="42" fillId="0" borderId="0" xfId="0" applyNumberFormat="1" applyFont="1"/>
    <xf numFmtId="10" fontId="0" fillId="23" borderId="0" xfId="2" applyNumberFormat="1" applyFont="1" applyFill="1"/>
    <xf numFmtId="2" fontId="0" fillId="23" borderId="0" xfId="0" applyNumberFormat="1" applyFill="1"/>
    <xf numFmtId="0" fontId="0" fillId="23" borderId="0" xfId="0" applyFill="1"/>
    <xf numFmtId="17" fontId="48" fillId="0" borderId="0" xfId="0" applyNumberFormat="1" applyFont="1" applyAlignment="1">
      <alignment horizontal="right"/>
    </xf>
    <xf numFmtId="0" fontId="56" fillId="10" borderId="0" xfId="0" applyFont="1" applyFill="1"/>
    <xf numFmtId="0" fontId="50" fillId="0" borderId="0" xfId="0" applyFont="1" applyAlignment="1">
      <alignment horizontal="center" vertical="center"/>
    </xf>
    <xf numFmtId="0" fontId="61" fillId="25" borderId="0" xfId="0" applyFont="1" applyFill="1"/>
    <xf numFmtId="0" fontId="62" fillId="25" borderId="0" xfId="0" applyFont="1" applyFill="1"/>
    <xf numFmtId="17" fontId="48" fillId="0" borderId="0" xfId="0" applyNumberFormat="1" applyFont="1"/>
    <xf numFmtId="0" fontId="60" fillId="25" borderId="0" xfId="0" applyFont="1" applyFill="1" applyAlignment="1">
      <alignment horizontal="right"/>
    </xf>
    <xf numFmtId="0" fontId="50" fillId="0" borderId="0" xfId="0" applyFont="1" applyAlignment="1">
      <alignment horizontal="center" vertical="center" wrapText="1"/>
    </xf>
    <xf numFmtId="0" fontId="50" fillId="23" borderId="0" xfId="0" applyFont="1" applyFill="1"/>
    <xf numFmtId="0" fontId="50" fillId="10" borderId="0" xfId="0" applyFont="1" applyFill="1"/>
    <xf numFmtId="0" fontId="67" fillId="25" borderId="0" xfId="0" applyFont="1" applyFill="1" applyAlignment="1">
      <alignment horizontal="right"/>
    </xf>
    <xf numFmtId="0" fontId="68" fillId="0" borderId="0" xfId="0" applyFont="1" applyAlignment="1">
      <alignment horizontal="left" indent="1"/>
    </xf>
    <xf numFmtId="10" fontId="65" fillId="0" borderId="0" xfId="2" applyNumberFormat="1" applyFont="1"/>
    <xf numFmtId="0" fontId="69" fillId="0" borderId="0" xfId="0" applyFont="1"/>
    <xf numFmtId="0" fontId="48" fillId="26" borderId="23" xfId="0" applyFont="1" applyFill="1" applyBorder="1"/>
    <xf numFmtId="0" fontId="50" fillId="26" borderId="23" xfId="0" applyFont="1" applyFill="1" applyBorder="1"/>
    <xf numFmtId="10" fontId="48" fillId="26" borderId="23" xfId="0" applyNumberFormat="1" applyFont="1" applyFill="1" applyBorder="1"/>
    <xf numFmtId="10" fontId="48" fillId="26" borderId="23" xfId="2" applyNumberFormat="1" applyFont="1" applyFill="1" applyBorder="1"/>
    <xf numFmtId="0" fontId="50" fillId="26" borderId="0" xfId="0" applyFont="1" applyFill="1"/>
    <xf numFmtId="2" fontId="42" fillId="0" borderId="0" xfId="8" applyFont="1" applyFill="1" applyAlignment="1">
      <alignment horizontal="right" vertical="center"/>
    </xf>
    <xf numFmtId="0" fontId="42" fillId="0" borderId="0" xfId="0" applyFont="1" applyAlignment="1">
      <alignment horizontal="right"/>
    </xf>
    <xf numFmtId="170" fontId="42" fillId="0" borderId="0" xfId="0" applyNumberFormat="1" applyFont="1" applyAlignment="1">
      <alignment horizontal="right"/>
    </xf>
    <xf numFmtId="170" fontId="42" fillId="0" borderId="0" xfId="7" applyNumberFormat="1" applyFont="1" applyAlignment="1">
      <alignment horizontal="right"/>
    </xf>
    <xf numFmtId="170" fontId="43" fillId="0" borderId="22" xfId="7" applyNumberFormat="1" applyFont="1" applyBorder="1" applyAlignment="1">
      <alignment horizontal="right"/>
    </xf>
    <xf numFmtId="0" fontId="0" fillId="0" borderId="0" xfId="0" applyAlignment="1">
      <alignment horizontal="left" indent="2"/>
    </xf>
    <xf numFmtId="10" fontId="4" fillId="23" borderId="0" xfId="2" applyNumberFormat="1" applyFont="1" applyFill="1"/>
    <xf numFmtId="10" fontId="4" fillId="23" borderId="0" xfId="0" applyNumberFormat="1" applyFont="1" applyFill="1"/>
    <xf numFmtId="0" fontId="44" fillId="0" borderId="0" xfId="0" applyFont="1" applyAlignment="1">
      <alignment horizontal="center" vertical="center"/>
    </xf>
    <xf numFmtId="0" fontId="49" fillId="0" borderId="0" xfId="0" applyFont="1" applyAlignment="1">
      <alignment horizontal="center" vertical="center"/>
    </xf>
    <xf numFmtId="0" fontId="71" fillId="0" borderId="0" xfId="0" applyFont="1" applyAlignment="1">
      <alignment horizontal="left" indent="1"/>
    </xf>
    <xf numFmtId="0" fontId="65" fillId="0" borderId="0" xfId="0" applyFont="1"/>
    <xf numFmtId="17" fontId="43" fillId="0" borderId="0" xfId="0" applyNumberFormat="1" applyFont="1" applyAlignment="1">
      <alignment horizontal="right"/>
    </xf>
    <xf numFmtId="0" fontId="44" fillId="10" borderId="0" xfId="0" applyFont="1" applyFill="1" applyAlignment="1">
      <alignment horizontal="right"/>
    </xf>
    <xf numFmtId="0" fontId="49" fillId="12" borderId="0" xfId="0" applyFont="1" applyFill="1" applyAlignment="1">
      <alignment horizontal="right"/>
    </xf>
    <xf numFmtId="0" fontId="44" fillId="0" borderId="0" xfId="0" applyFont="1"/>
    <xf numFmtId="0" fontId="72" fillId="5" borderId="0" xfId="0" applyFont="1" applyFill="1"/>
    <xf numFmtId="0" fontId="42" fillId="2" borderId="0" xfId="0" applyFont="1" applyFill="1" applyAlignment="1">
      <alignment horizontal="right"/>
    </xf>
    <xf numFmtId="0" fontId="43" fillId="0" borderId="22" xfId="0" applyFont="1" applyBorder="1" applyAlignment="1">
      <alignment horizontal="right"/>
    </xf>
    <xf numFmtId="170" fontId="43" fillId="0" borderId="0" xfId="0" applyNumberFormat="1" applyFont="1" applyAlignment="1">
      <alignment horizontal="right"/>
    </xf>
    <xf numFmtId="43" fontId="43" fillId="0" borderId="0" xfId="0" applyNumberFormat="1" applyFont="1"/>
    <xf numFmtId="43" fontId="43" fillId="3" borderId="0" xfId="0" applyNumberFormat="1" applyFont="1" applyFill="1"/>
    <xf numFmtId="0" fontId="43" fillId="0" borderId="6" xfId="0" applyFont="1" applyBorder="1" applyAlignment="1">
      <alignment horizontal="right"/>
    </xf>
    <xf numFmtId="170" fontId="42" fillId="0" borderId="6" xfId="0" applyNumberFormat="1" applyFont="1" applyBorder="1" applyAlignment="1">
      <alignment horizontal="right"/>
    </xf>
    <xf numFmtId="170" fontId="43" fillId="0" borderId="6" xfId="0" applyNumberFormat="1" applyFont="1" applyBorder="1" applyAlignment="1">
      <alignment horizontal="right"/>
    </xf>
    <xf numFmtId="43" fontId="42" fillId="3" borderId="0" xfId="0" applyNumberFormat="1" applyFont="1" applyFill="1"/>
    <xf numFmtId="0" fontId="43" fillId="0" borderId="23" xfId="0" applyFont="1" applyBorder="1" applyAlignment="1">
      <alignment horizontal="right"/>
    </xf>
    <xf numFmtId="170" fontId="42" fillId="0" borderId="23" xfId="0" applyNumberFormat="1" applyFont="1" applyBorder="1" applyAlignment="1">
      <alignment horizontal="right"/>
    </xf>
    <xf numFmtId="170" fontId="43" fillId="0" borderId="23" xfId="0" applyNumberFormat="1" applyFont="1" applyBorder="1" applyAlignment="1">
      <alignment horizontal="right"/>
    </xf>
    <xf numFmtId="0" fontId="43" fillId="0" borderId="0" xfId="0" applyFont="1" applyAlignment="1">
      <alignment horizontal="right"/>
    </xf>
    <xf numFmtId="205" fontId="42" fillId="0" borderId="0" xfId="2" applyNumberFormat="1" applyFont="1" applyBorder="1" applyAlignment="1">
      <alignment horizontal="right"/>
    </xf>
    <xf numFmtId="165" fontId="42" fillId="0" borderId="0" xfId="0" applyNumberFormat="1" applyFont="1"/>
    <xf numFmtId="206" fontId="42" fillId="0" borderId="0" xfId="0" applyNumberFormat="1" applyFont="1" applyAlignment="1">
      <alignment horizontal="right"/>
    </xf>
    <xf numFmtId="10" fontId="42" fillId="0" borderId="0" xfId="2" applyNumberFormat="1" applyFont="1" applyAlignment="1">
      <alignment horizontal="right"/>
    </xf>
    <xf numFmtId="4" fontId="42" fillId="0" borderId="0" xfId="0" applyNumberFormat="1" applyFont="1"/>
    <xf numFmtId="4" fontId="42" fillId="3" borderId="0" xfId="0" applyNumberFormat="1" applyFont="1" applyFill="1"/>
    <xf numFmtId="44" fontId="42" fillId="0" borderId="0" xfId="5" applyFont="1" applyFill="1" applyAlignment="1"/>
    <xf numFmtId="181" fontId="43" fillId="3" borderId="0" xfId="5" applyNumberFormat="1" applyFont="1" applyFill="1" applyAlignment="1"/>
    <xf numFmtId="173" fontId="42" fillId="3" borderId="0" xfId="2" applyNumberFormat="1" applyFont="1" applyFill="1"/>
    <xf numFmtId="166" fontId="43" fillId="3" borderId="0" xfId="0" applyNumberFormat="1" applyFont="1" applyFill="1"/>
    <xf numFmtId="0" fontId="43" fillId="0" borderId="30" xfId="0" applyFont="1" applyBorder="1" applyAlignment="1">
      <alignment horizontal="right"/>
    </xf>
    <xf numFmtId="10" fontId="42" fillId="13" borderId="0" xfId="2" applyNumberFormat="1" applyFont="1" applyFill="1"/>
    <xf numFmtId="0" fontId="44" fillId="0" borderId="0" xfId="6" applyFont="1" applyAlignment="1">
      <alignment horizontal="right"/>
    </xf>
    <xf numFmtId="10" fontId="42" fillId="13" borderId="0" xfId="0" applyNumberFormat="1" applyFont="1" applyFill="1" applyAlignment="1">
      <alignment horizontal="center"/>
    </xf>
    <xf numFmtId="10" fontId="42" fillId="0" borderId="0" xfId="0" applyNumberFormat="1" applyFont="1" applyAlignment="1">
      <alignment horizontal="center"/>
    </xf>
    <xf numFmtId="43" fontId="42" fillId="13" borderId="0" xfId="1" applyFont="1" applyFill="1"/>
    <xf numFmtId="43" fontId="42" fillId="13" borderId="0" xfId="0" applyNumberFormat="1" applyFont="1" applyFill="1" applyAlignment="1">
      <alignment horizontal="center"/>
    </xf>
    <xf numFmtId="43" fontId="42" fillId="0" borderId="0" xfId="1" applyFont="1"/>
    <xf numFmtId="170" fontId="74" fillId="2" borderId="0" xfId="0" applyNumberFormat="1" applyFont="1" applyFill="1" applyAlignment="1">
      <alignment horizontal="right"/>
    </xf>
    <xf numFmtId="205" fontId="74" fillId="2" borderId="0" xfId="2" applyNumberFormat="1" applyFont="1" applyFill="1" applyBorder="1" applyAlignment="1">
      <alignment horizontal="right"/>
    </xf>
    <xf numFmtId="184" fontId="42" fillId="0" borderId="0" xfId="1" applyNumberFormat="1" applyFont="1" applyBorder="1" applyAlignment="1">
      <alignment horizontal="right"/>
    </xf>
    <xf numFmtId="0" fontId="75" fillId="2" borderId="0" xfId="0" applyFont="1" applyFill="1" applyAlignment="1">
      <alignment horizontal="left"/>
    </xf>
    <xf numFmtId="0" fontId="44" fillId="0" borderId="31" xfId="0" applyFont="1" applyBorder="1" applyAlignment="1">
      <alignment horizontal="right"/>
    </xf>
    <xf numFmtId="0" fontId="50" fillId="6" borderId="0" xfId="0" applyFont="1" applyFill="1"/>
    <xf numFmtId="10" fontId="50" fillId="0" borderId="0" xfId="2" applyNumberFormat="1" applyFont="1" applyFill="1"/>
    <xf numFmtId="10" fontId="50" fillId="0" borderId="0" xfId="2" applyNumberFormat="1" applyFont="1" applyFill="1" applyAlignment="1">
      <alignment wrapText="1"/>
    </xf>
    <xf numFmtId="0" fontId="65" fillId="0" borderId="0" xfId="0" applyFont="1" applyAlignment="1">
      <alignment vertical="center"/>
    </xf>
    <xf numFmtId="0" fontId="50" fillId="9" borderId="0" xfId="0" applyFont="1" applyFill="1"/>
    <xf numFmtId="10" fontId="48" fillId="0" borderId="0" xfId="2" applyNumberFormat="1" applyFont="1" applyFill="1"/>
    <xf numFmtId="43" fontId="50" fillId="0" borderId="0" xfId="1" applyFont="1" applyFill="1"/>
    <xf numFmtId="189" fontId="50" fillId="0" borderId="0" xfId="0" applyNumberFormat="1" applyFont="1"/>
    <xf numFmtId="0" fontId="76" fillId="2" borderId="5" xfId="0" applyFont="1" applyFill="1" applyBorder="1" applyAlignment="1">
      <alignment horizontal="center" vertical="center"/>
    </xf>
    <xf numFmtId="0" fontId="50" fillId="2" borderId="6" xfId="0" applyFont="1" applyFill="1" applyBorder="1"/>
    <xf numFmtId="0" fontId="76" fillId="2" borderId="6" xfId="0" applyFont="1" applyFill="1" applyBorder="1" applyAlignment="1">
      <alignment horizontal="center"/>
    </xf>
    <xf numFmtId="0" fontId="76" fillId="2" borderId="8" xfId="0" applyFont="1" applyFill="1" applyBorder="1"/>
    <xf numFmtId="0" fontId="76" fillId="2" borderId="0" xfId="0" applyFont="1" applyFill="1" applyAlignment="1">
      <alignment horizontal="center"/>
    </xf>
    <xf numFmtId="0" fontId="50" fillId="2" borderId="0" xfId="0" applyFont="1" applyFill="1" applyAlignment="1">
      <alignment horizontal="center"/>
    </xf>
    <xf numFmtId="0" fontId="50" fillId="2" borderId="0" xfId="0" applyFont="1" applyFill="1"/>
    <xf numFmtId="0" fontId="76" fillId="2" borderId="9" xfId="0" applyFont="1" applyFill="1" applyBorder="1" applyAlignment="1">
      <alignment horizontal="center"/>
    </xf>
    <xf numFmtId="0" fontId="80" fillId="2" borderId="0" xfId="0" applyFont="1" applyFill="1" applyAlignment="1">
      <alignment horizontal="center"/>
    </xf>
    <xf numFmtId="0" fontId="56" fillId="2" borderId="0" xfId="0" applyFont="1" applyFill="1" applyAlignment="1">
      <alignment horizontal="center"/>
    </xf>
    <xf numFmtId="0" fontId="80" fillId="2" borderId="9" xfId="0" applyFont="1" applyFill="1" applyBorder="1" applyAlignment="1">
      <alignment horizontal="center"/>
    </xf>
    <xf numFmtId="0" fontId="48" fillId="6" borderId="13" xfId="0" applyFont="1" applyFill="1" applyBorder="1"/>
    <xf numFmtId="170" fontId="50" fillId="6" borderId="2" xfId="1" applyNumberFormat="1" applyFont="1" applyFill="1" applyBorder="1" applyAlignment="1">
      <alignment horizontal="center"/>
    </xf>
    <xf numFmtId="167" fontId="50" fillId="6" borderId="2" xfId="1" applyNumberFormat="1" applyFont="1" applyFill="1" applyBorder="1" applyAlignment="1">
      <alignment horizontal="center"/>
    </xf>
    <xf numFmtId="167" fontId="65" fillId="6" borderId="2" xfId="1" applyNumberFormat="1" applyFont="1" applyFill="1" applyBorder="1" applyAlignment="1">
      <alignment horizontal="center"/>
    </xf>
    <xf numFmtId="43" fontId="50" fillId="6" borderId="2" xfId="1" applyFont="1" applyFill="1" applyBorder="1" applyAlignment="1">
      <alignment horizontal="center"/>
    </xf>
    <xf numFmtId="167" fontId="78" fillId="6" borderId="2" xfId="1" applyNumberFormat="1" applyFont="1" applyFill="1" applyBorder="1" applyAlignment="1">
      <alignment horizontal="center"/>
    </xf>
    <xf numFmtId="2" fontId="50" fillId="6" borderId="2" xfId="0" applyNumberFormat="1" applyFont="1" applyFill="1" applyBorder="1" applyAlignment="1">
      <alignment horizontal="center"/>
    </xf>
    <xf numFmtId="167" fontId="50" fillId="6" borderId="2" xfId="0" applyNumberFormat="1" applyFont="1" applyFill="1" applyBorder="1" applyAlignment="1">
      <alignment horizontal="center"/>
    </xf>
    <xf numFmtId="171" fontId="50" fillId="6" borderId="2" xfId="0" applyNumberFormat="1" applyFont="1" applyFill="1" applyBorder="1" applyAlignment="1">
      <alignment horizontal="center"/>
    </xf>
    <xf numFmtId="10" fontId="50" fillId="6" borderId="2" xfId="2" applyNumberFormat="1" applyFont="1" applyFill="1" applyBorder="1" applyAlignment="1">
      <alignment horizontal="center"/>
    </xf>
    <xf numFmtId="171" fontId="50" fillId="6" borderId="17" xfId="0" applyNumberFormat="1" applyFont="1" applyFill="1" applyBorder="1" applyAlignment="1">
      <alignment horizontal="center"/>
    </xf>
    <xf numFmtId="0" fontId="48" fillId="6" borderId="8" xfId="0" applyFont="1" applyFill="1" applyBorder="1"/>
    <xf numFmtId="170" fontId="50" fillId="6" borderId="0" xfId="1" applyNumberFormat="1" applyFont="1" applyFill="1" applyBorder="1" applyAlignment="1">
      <alignment horizontal="center"/>
    </xf>
    <xf numFmtId="43" fontId="50" fillId="6" borderId="0" xfId="1" applyFont="1" applyFill="1" applyBorder="1" applyAlignment="1">
      <alignment horizontal="center"/>
    </xf>
    <xf numFmtId="167" fontId="50" fillId="6" borderId="0" xfId="1" applyNumberFormat="1" applyFont="1" applyFill="1" applyBorder="1" applyAlignment="1">
      <alignment horizontal="center"/>
    </xf>
    <xf numFmtId="2" fontId="50" fillId="6" borderId="0" xfId="0" applyNumberFormat="1" applyFont="1" applyFill="1" applyAlignment="1">
      <alignment horizontal="center"/>
    </xf>
    <xf numFmtId="167" fontId="50" fillId="6" borderId="0" xfId="0" applyNumberFormat="1" applyFont="1" applyFill="1" applyAlignment="1">
      <alignment horizontal="center"/>
    </xf>
    <xf numFmtId="171" fontId="50" fillId="6" borderId="3" xfId="0" applyNumberFormat="1" applyFont="1" applyFill="1" applyBorder="1" applyAlignment="1">
      <alignment horizontal="center"/>
    </xf>
    <xf numFmtId="10" fontId="50" fillId="6" borderId="3" xfId="2" applyNumberFormat="1" applyFont="1" applyFill="1" applyBorder="1" applyAlignment="1">
      <alignment horizontal="center"/>
    </xf>
    <xf numFmtId="171" fontId="50" fillId="6" borderId="9" xfId="0" applyNumberFormat="1" applyFont="1" applyFill="1" applyBorder="1" applyAlignment="1">
      <alignment horizontal="center"/>
    </xf>
    <xf numFmtId="169" fontId="50" fillId="6" borderId="0" xfId="0" applyNumberFormat="1" applyFont="1" applyFill="1" applyAlignment="1">
      <alignment horizontal="center"/>
    </xf>
    <xf numFmtId="169" fontId="50" fillId="6" borderId="0" xfId="0" applyNumberFormat="1" applyFont="1" applyFill="1"/>
    <xf numFmtId="0" fontId="50" fillId="6" borderId="0" xfId="0" applyFont="1" applyFill="1" applyAlignment="1">
      <alignment horizontal="center"/>
    </xf>
    <xf numFmtId="171" fontId="50" fillId="6" borderId="0" xfId="0" applyNumberFormat="1" applyFont="1" applyFill="1" applyAlignment="1">
      <alignment horizontal="center"/>
    </xf>
    <xf numFmtId="10" fontId="50" fillId="6" borderId="0" xfId="2" applyNumberFormat="1" applyFont="1" applyFill="1" applyBorder="1" applyAlignment="1">
      <alignment horizontal="center"/>
    </xf>
    <xf numFmtId="167" fontId="65" fillId="6" borderId="0" xfId="1" applyNumberFormat="1" applyFont="1" applyFill="1" applyBorder="1" applyAlignment="1">
      <alignment horizontal="center"/>
    </xf>
    <xf numFmtId="167" fontId="78" fillId="6" borderId="0" xfId="1" applyNumberFormat="1" applyFont="1" applyFill="1" applyBorder="1" applyAlignment="1">
      <alignment horizontal="center"/>
    </xf>
    <xf numFmtId="172" fontId="50" fillId="6" borderId="9" xfId="0" applyNumberFormat="1" applyFont="1" applyFill="1" applyBorder="1" applyAlignment="1">
      <alignment horizontal="center"/>
    </xf>
    <xf numFmtId="0" fontId="48" fillId="6" borderId="14" xfId="0" applyFont="1" applyFill="1" applyBorder="1"/>
    <xf numFmtId="170" fontId="50" fillId="6" borderId="3" xfId="1" applyNumberFormat="1" applyFont="1" applyFill="1" applyBorder="1" applyAlignment="1">
      <alignment horizontal="center"/>
    </xf>
    <xf numFmtId="43" fontId="50" fillId="6" borderId="3" xfId="1" applyFont="1" applyFill="1" applyBorder="1" applyAlignment="1">
      <alignment horizontal="center"/>
    </xf>
    <xf numFmtId="172" fontId="50" fillId="6" borderId="3" xfId="1" applyNumberFormat="1" applyFont="1" applyFill="1" applyBorder="1" applyAlignment="1">
      <alignment horizontal="center"/>
    </xf>
    <xf numFmtId="173" fontId="50" fillId="6" borderId="3" xfId="1" applyNumberFormat="1" applyFont="1" applyFill="1" applyBorder="1" applyAlignment="1">
      <alignment horizontal="center"/>
    </xf>
    <xf numFmtId="172" fontId="50" fillId="6" borderId="18" xfId="1" applyNumberFormat="1" applyFont="1" applyFill="1" applyBorder="1" applyAlignment="1">
      <alignment horizontal="center"/>
    </xf>
    <xf numFmtId="172" fontId="50" fillId="6" borderId="0" xfId="1" applyNumberFormat="1" applyFont="1" applyFill="1" applyBorder="1" applyAlignment="1">
      <alignment horizontal="center"/>
    </xf>
    <xf numFmtId="173" fontId="50" fillId="6" borderId="0" xfId="1" applyNumberFormat="1" applyFont="1" applyFill="1" applyBorder="1" applyAlignment="1">
      <alignment horizontal="center"/>
    </xf>
    <xf numFmtId="172" fontId="50" fillId="6" borderId="9" xfId="1" applyNumberFormat="1" applyFont="1" applyFill="1" applyBorder="1" applyAlignment="1">
      <alignment horizontal="center"/>
    </xf>
    <xf numFmtId="0" fontId="48" fillId="6" borderId="19" xfId="0" applyFont="1" applyFill="1" applyBorder="1"/>
    <xf numFmtId="170" fontId="50" fillId="6" borderId="20" xfId="1" applyNumberFormat="1" applyFont="1" applyFill="1" applyBorder="1" applyAlignment="1">
      <alignment horizontal="center"/>
    </xf>
    <xf numFmtId="170" fontId="50" fillId="6" borderId="20" xfId="0" applyNumberFormat="1" applyFont="1" applyFill="1" applyBorder="1" applyAlignment="1">
      <alignment horizontal="center"/>
    </xf>
    <xf numFmtId="0" fontId="50" fillId="6" borderId="20" xfId="0" applyFont="1" applyFill="1" applyBorder="1" applyAlignment="1">
      <alignment horizontal="center"/>
    </xf>
    <xf numFmtId="171" fontId="50" fillId="6" borderId="20" xfId="0" applyNumberFormat="1" applyFont="1" applyFill="1" applyBorder="1" applyAlignment="1">
      <alignment horizontal="center"/>
    </xf>
    <xf numFmtId="10" fontId="50" fillId="6" borderId="20" xfId="2" applyNumberFormat="1" applyFont="1" applyFill="1" applyBorder="1" applyAlignment="1">
      <alignment horizontal="center"/>
    </xf>
    <xf numFmtId="171" fontId="50" fillId="6" borderId="21" xfId="0" applyNumberFormat="1" applyFont="1" applyFill="1" applyBorder="1" applyAlignment="1">
      <alignment horizontal="center"/>
    </xf>
    <xf numFmtId="0" fontId="56" fillId="6" borderId="0" xfId="0" applyFont="1" applyFill="1"/>
    <xf numFmtId="0" fontId="83" fillId="0" borderId="0" xfId="0" applyFont="1" applyAlignment="1">
      <alignment horizontal="left"/>
    </xf>
    <xf numFmtId="0" fontId="84" fillId="0" borderId="0" xfId="0" applyFont="1" applyAlignment="1">
      <alignment horizontal="left"/>
    </xf>
    <xf numFmtId="0" fontId="85" fillId="0" borderId="0" xfId="0" applyFont="1"/>
    <xf numFmtId="0" fontId="76" fillId="2" borderId="0" xfId="0" applyFont="1" applyFill="1"/>
    <xf numFmtId="0" fontId="86" fillId="0" borderId="0" xfId="0" applyFont="1" applyAlignment="1">
      <alignment horizontal="left"/>
    </xf>
    <xf numFmtId="0" fontId="50" fillId="0" borderId="0" xfId="0" applyFont="1" applyAlignment="1">
      <alignment horizontal="left"/>
    </xf>
    <xf numFmtId="0" fontId="87" fillId="0" borderId="0" xfId="0" applyFont="1" applyAlignment="1">
      <alignment horizontal="left"/>
    </xf>
    <xf numFmtId="165" fontId="88" fillId="0" borderId="0" xfId="0" applyNumberFormat="1" applyFont="1" applyAlignment="1">
      <alignment horizontal="right"/>
    </xf>
    <xf numFmtId="165" fontId="89" fillId="0" borderId="0" xfId="0" applyNumberFormat="1" applyFont="1" applyAlignment="1">
      <alignment horizontal="right"/>
    </xf>
    <xf numFmtId="2" fontId="48" fillId="0" borderId="0" xfId="0" applyNumberFormat="1" applyFont="1"/>
    <xf numFmtId="165" fontId="50" fillId="0" borderId="0" xfId="0" applyNumberFormat="1" applyFont="1" applyAlignment="1">
      <alignment horizontal="right"/>
    </xf>
    <xf numFmtId="165" fontId="87" fillId="0" borderId="0" xfId="0" applyNumberFormat="1" applyFont="1" applyAlignment="1">
      <alignment horizontal="right"/>
    </xf>
    <xf numFmtId="0" fontId="50" fillId="0" borderId="0" xfId="0" applyFont="1" applyAlignment="1">
      <alignment horizontal="left" indent="7"/>
    </xf>
    <xf numFmtId="0" fontId="88" fillId="0" borderId="0" xfId="0" applyFont="1" applyAlignment="1">
      <alignment horizontal="left"/>
    </xf>
    <xf numFmtId="0" fontId="88" fillId="0" borderId="0" xfId="0" applyFont="1" applyAlignment="1">
      <alignment horizontal="left" indent="3"/>
    </xf>
    <xf numFmtId="0" fontId="50" fillId="0" borderId="0" xfId="0" applyFont="1" applyAlignment="1">
      <alignment horizontal="left" indent="4"/>
    </xf>
    <xf numFmtId="165" fontId="90" fillId="0" borderId="0" xfId="0" applyNumberFormat="1" applyFont="1" applyAlignment="1">
      <alignment horizontal="right"/>
    </xf>
    <xf numFmtId="165" fontId="91" fillId="0" borderId="0" xfId="0" applyNumberFormat="1" applyFont="1" applyAlignment="1">
      <alignment horizontal="right"/>
    </xf>
    <xf numFmtId="0" fontId="88" fillId="0" borderId="0" xfId="0" applyFont="1" applyAlignment="1">
      <alignment horizontal="left" indent="6"/>
    </xf>
    <xf numFmtId="0" fontId="50" fillId="9" borderId="11" xfId="0" applyFont="1" applyFill="1" applyBorder="1"/>
    <xf numFmtId="0" fontId="50" fillId="0" borderId="0" xfId="0" applyFont="1" applyAlignment="1">
      <alignment horizontal="left" indent="1"/>
    </xf>
    <xf numFmtId="0" fontId="89" fillId="0" borderId="0" xfId="0" applyFont="1" applyAlignment="1">
      <alignment horizontal="left"/>
    </xf>
    <xf numFmtId="4" fontId="90" fillId="0" borderId="0" xfId="0" applyNumberFormat="1" applyFont="1" applyAlignment="1">
      <alignment horizontal="right"/>
    </xf>
    <xf numFmtId="4" fontId="91" fillId="0" borderId="0" xfId="0" applyNumberFormat="1" applyFont="1" applyAlignment="1">
      <alignment horizontal="right"/>
    </xf>
    <xf numFmtId="4" fontId="88" fillId="0" borderId="0" xfId="0" applyNumberFormat="1" applyFont="1" applyAlignment="1">
      <alignment horizontal="right"/>
    </xf>
    <xf numFmtId="4" fontId="89" fillId="0" borderId="0" xfId="0" applyNumberFormat="1" applyFont="1" applyAlignment="1">
      <alignment horizontal="right"/>
    </xf>
    <xf numFmtId="4" fontId="50" fillId="0" borderId="0" xfId="0" applyNumberFormat="1" applyFont="1" applyAlignment="1">
      <alignment horizontal="right"/>
    </xf>
    <xf numFmtId="4" fontId="87" fillId="0" borderId="0" xfId="0" applyNumberFormat="1" applyFont="1" applyAlignment="1">
      <alignment horizontal="right"/>
    </xf>
    <xf numFmtId="0" fontId="92" fillId="0" borderId="0" xfId="0" applyFont="1" applyAlignment="1">
      <alignment horizontal="left"/>
    </xf>
    <xf numFmtId="0" fontId="83" fillId="0" borderId="0" xfId="4" applyFont="1" applyAlignment="1">
      <alignment horizontal="left"/>
    </xf>
    <xf numFmtId="0" fontId="76" fillId="0" borderId="0" xfId="0" applyFont="1"/>
    <xf numFmtId="0" fontId="93" fillId="0" borderId="0" xfId="4" applyFont="1" applyAlignment="1">
      <alignment horizontal="left"/>
    </xf>
    <xf numFmtId="0" fontId="88" fillId="0" borderId="0" xfId="4" applyFont="1" applyAlignment="1">
      <alignment horizontal="left"/>
    </xf>
    <xf numFmtId="0" fontId="88" fillId="0" borderId="0" xfId="4" applyFont="1" applyAlignment="1">
      <alignment horizontal="left" indent="3"/>
    </xf>
    <xf numFmtId="165" fontId="88" fillId="0" borderId="0" xfId="4" applyNumberFormat="1" applyFont="1" applyAlignment="1">
      <alignment horizontal="right"/>
    </xf>
    <xf numFmtId="0" fontId="93" fillId="0" borderId="0" xfId="4" applyFont="1" applyAlignment="1">
      <alignment horizontal="left" indent="4"/>
    </xf>
    <xf numFmtId="165" fontId="93" fillId="0" borderId="0" xfId="4" applyNumberFormat="1" applyFont="1" applyAlignment="1">
      <alignment horizontal="right"/>
    </xf>
    <xf numFmtId="0" fontId="88" fillId="0" borderId="0" xfId="4" applyFont="1" applyAlignment="1">
      <alignment horizontal="left" indent="6"/>
    </xf>
    <xf numFmtId="0" fontId="93" fillId="0" borderId="0" xfId="4" applyFont="1" applyAlignment="1">
      <alignment horizontal="left" indent="7"/>
    </xf>
    <xf numFmtId="165" fontId="90" fillId="0" borderId="0" xfId="4" applyNumberFormat="1" applyFont="1" applyAlignment="1">
      <alignment horizontal="right"/>
    </xf>
    <xf numFmtId="0" fontId="93" fillId="0" borderId="0" xfId="4" applyFont="1" applyAlignment="1">
      <alignment horizontal="left" indent="1"/>
    </xf>
    <xf numFmtId="3" fontId="88" fillId="0" borderId="0" xfId="4" applyNumberFormat="1" applyFont="1" applyAlignment="1">
      <alignment horizontal="right"/>
    </xf>
    <xf numFmtId="3" fontId="93" fillId="0" borderId="0" xfId="4" applyNumberFormat="1" applyFont="1" applyAlignment="1">
      <alignment horizontal="right"/>
    </xf>
    <xf numFmtId="3" fontId="90" fillId="0" borderId="0" xfId="4" applyNumberFormat="1" applyFont="1" applyAlignment="1">
      <alignment horizontal="right"/>
    </xf>
    <xf numFmtId="4" fontId="93" fillId="0" borderId="0" xfId="4" applyNumberFormat="1" applyFont="1" applyAlignment="1">
      <alignment horizontal="right"/>
    </xf>
    <xf numFmtId="4" fontId="90" fillId="0" borderId="0" xfId="4" applyNumberFormat="1" applyFont="1" applyAlignment="1">
      <alignment horizontal="right"/>
    </xf>
    <xf numFmtId="0" fontId="92" fillId="0" borderId="0" xfId="4" applyFont="1" applyAlignment="1">
      <alignment horizontal="left"/>
    </xf>
    <xf numFmtId="0" fontId="93" fillId="0" borderId="0" xfId="4" applyFont="1"/>
    <xf numFmtId="0" fontId="94" fillId="0" borderId="0" xfId="4" applyFont="1" applyAlignment="1">
      <alignment horizontal="left"/>
    </xf>
    <xf numFmtId="165" fontId="91" fillId="0" borderId="0" xfId="4" applyNumberFormat="1" applyFont="1" applyAlignment="1">
      <alignment horizontal="right"/>
    </xf>
    <xf numFmtId="165" fontId="89" fillId="0" borderId="0" xfId="4" applyNumberFormat="1" applyFont="1" applyAlignment="1">
      <alignment horizontal="right"/>
    </xf>
    <xf numFmtId="165" fontId="95" fillId="0" borderId="0" xfId="4" applyNumberFormat="1" applyFont="1" applyAlignment="1">
      <alignment horizontal="right"/>
    </xf>
    <xf numFmtId="0" fontId="89" fillId="0" borderId="0" xfId="4" applyFont="1" applyAlignment="1">
      <alignment horizontal="left"/>
    </xf>
    <xf numFmtId="0" fontId="95" fillId="0" borderId="0" xfId="4" applyFont="1" applyAlignment="1">
      <alignment horizontal="left"/>
    </xf>
    <xf numFmtId="4" fontId="95" fillId="0" borderId="0" xfId="4" applyNumberFormat="1" applyFont="1" applyAlignment="1">
      <alignment horizontal="right"/>
    </xf>
    <xf numFmtId="168" fontId="50" fillId="9" borderId="0" xfId="0" applyNumberFormat="1" applyFont="1" applyFill="1"/>
    <xf numFmtId="0" fontId="48" fillId="6" borderId="4" xfId="0" applyFont="1" applyFill="1" applyBorder="1"/>
    <xf numFmtId="0" fontId="48" fillId="9" borderId="4" xfId="0" applyFont="1" applyFill="1" applyBorder="1"/>
    <xf numFmtId="0" fontId="96" fillId="0" borderId="0" xfId="0" applyFont="1" applyAlignment="1">
      <alignment horizontal="right"/>
    </xf>
    <xf numFmtId="2" fontId="97" fillId="0" borderId="0" xfId="0" applyNumberFormat="1" applyFont="1"/>
    <xf numFmtId="182" fontId="50" fillId="0" borderId="0" xfId="0" applyNumberFormat="1" applyFont="1"/>
    <xf numFmtId="0" fontId="50" fillId="0" borderId="0" xfId="0" applyFont="1" applyAlignment="1">
      <alignment horizontal="right"/>
    </xf>
    <xf numFmtId="10" fontId="50" fillId="13" borderId="0" xfId="2" applyNumberFormat="1" applyFont="1" applyFill="1" applyAlignment="1">
      <alignment horizontal="center"/>
    </xf>
    <xf numFmtId="0" fontId="50" fillId="0" borderId="0" xfId="0" applyFont="1" applyAlignment="1">
      <alignment horizontal="center"/>
    </xf>
    <xf numFmtId="10" fontId="50" fillId="13" borderId="0" xfId="0" applyNumberFormat="1" applyFont="1" applyFill="1" applyAlignment="1">
      <alignment horizontal="center"/>
    </xf>
    <xf numFmtId="10" fontId="50" fillId="0" borderId="0" xfId="0" applyNumberFormat="1" applyFont="1" applyAlignment="1">
      <alignment horizontal="center"/>
    </xf>
    <xf numFmtId="43" fontId="50" fillId="13" borderId="0" xfId="1" applyFont="1" applyFill="1" applyAlignment="1">
      <alignment horizontal="center"/>
    </xf>
    <xf numFmtId="43" fontId="50" fillId="0" borderId="0" xfId="1" applyFont="1" applyAlignment="1">
      <alignment horizontal="center"/>
    </xf>
    <xf numFmtId="10" fontId="50" fillId="13" borderId="0" xfId="2" applyNumberFormat="1" applyFont="1" applyFill="1" applyAlignment="1">
      <alignment horizontal="right"/>
    </xf>
    <xf numFmtId="10" fontId="50" fillId="13" borderId="0" xfId="0" applyNumberFormat="1" applyFont="1" applyFill="1" applyAlignment="1">
      <alignment horizontal="right"/>
    </xf>
    <xf numFmtId="174" fontId="50" fillId="0" borderId="0" xfId="2" applyNumberFormat="1" applyFont="1" applyFill="1" applyAlignment="1">
      <alignment horizontal="right"/>
    </xf>
    <xf numFmtId="2" fontId="50" fillId="0" borderId="0" xfId="0" applyNumberFormat="1" applyFont="1" applyAlignment="1">
      <alignment horizontal="right"/>
    </xf>
    <xf numFmtId="10" fontId="50" fillId="0" borderId="0" xfId="2" applyNumberFormat="1" applyFont="1" applyFill="1" applyAlignment="1">
      <alignment horizontal="right"/>
    </xf>
    <xf numFmtId="10" fontId="50" fillId="0" borderId="0" xfId="0" applyNumberFormat="1" applyFont="1" applyAlignment="1">
      <alignment horizontal="right"/>
    </xf>
    <xf numFmtId="0" fontId="55" fillId="2" borderId="0" xfId="0" applyFont="1" applyFill="1"/>
    <xf numFmtId="0" fontId="55" fillId="0" borderId="0" xfId="0" applyFont="1"/>
    <xf numFmtId="17" fontId="48" fillId="0" borderId="0" xfId="0" applyNumberFormat="1" applyFont="1" applyAlignment="1">
      <alignment horizontal="right" vertical="center"/>
    </xf>
    <xf numFmtId="0" fontId="56" fillId="14" borderId="0" xfId="0" applyFont="1" applyFill="1" applyAlignment="1">
      <alignment horizontal="right" vertical="center"/>
    </xf>
    <xf numFmtId="0" fontId="98" fillId="12" borderId="0" xfId="0" applyFont="1" applyFill="1" applyAlignment="1">
      <alignment horizontal="right" vertical="center"/>
    </xf>
    <xf numFmtId="0" fontId="56" fillId="0" borderId="0" xfId="6" applyFont="1" applyAlignment="1">
      <alignment horizontal="right"/>
    </xf>
    <xf numFmtId="0" fontId="100" fillId="27" borderId="0" xfId="0" applyFont="1" applyFill="1"/>
    <xf numFmtId="44" fontId="100" fillId="27" borderId="0" xfId="5" applyFont="1" applyFill="1" applyBorder="1"/>
    <xf numFmtId="2" fontId="100" fillId="27" borderId="0" xfId="0" applyNumberFormat="1" applyFont="1" applyFill="1" applyAlignment="1">
      <alignment horizontal="center" vertical="center"/>
    </xf>
    <xf numFmtId="0" fontId="100" fillId="27" borderId="0" xfId="0" applyFont="1" applyFill="1" applyAlignment="1">
      <alignment horizontal="center" vertical="center"/>
    </xf>
    <xf numFmtId="164" fontId="100" fillId="27" borderId="0" xfId="0" applyNumberFormat="1" applyFont="1" applyFill="1"/>
    <xf numFmtId="0" fontId="101" fillId="23" borderId="0" xfId="0" applyFont="1" applyFill="1"/>
    <xf numFmtId="0" fontId="101" fillId="23" borderId="0" xfId="0" applyFont="1" applyFill="1" applyAlignment="1">
      <alignment horizontal="center" vertical="center"/>
    </xf>
    <xf numFmtId="2" fontId="44" fillId="10" borderId="0" xfId="0" applyNumberFormat="1" applyFont="1" applyFill="1" applyAlignment="1">
      <alignment horizontal="right"/>
    </xf>
    <xf numFmtId="2" fontId="49" fillId="12" borderId="0" xfId="0" applyNumberFormat="1" applyFont="1" applyFill="1" applyAlignment="1">
      <alignment horizontal="right"/>
    </xf>
    <xf numFmtId="0" fontId="42" fillId="0" borderId="0" xfId="0" applyFont="1" applyAlignment="1">
      <alignment horizontal="left"/>
    </xf>
    <xf numFmtId="2" fontId="48" fillId="0" borderId="0" xfId="0" applyNumberFormat="1" applyFont="1" applyAlignment="1">
      <alignment horizontal="right"/>
    </xf>
    <xf numFmtId="2" fontId="50" fillId="0" borderId="6" xfId="0" quotePrefix="1" applyNumberFormat="1" applyFont="1" applyBorder="1"/>
    <xf numFmtId="2" fontId="50" fillId="0" borderId="6" xfId="0" applyNumberFormat="1" applyFont="1" applyBorder="1" applyAlignment="1">
      <alignment horizontal="right"/>
    </xf>
    <xf numFmtId="2" fontId="50" fillId="0" borderId="6" xfId="0" applyNumberFormat="1" applyFont="1" applyBorder="1"/>
    <xf numFmtId="170" fontId="50" fillId="0" borderId="6" xfId="0" applyNumberFormat="1" applyFont="1" applyBorder="1"/>
    <xf numFmtId="2" fontId="50" fillId="0" borderId="0" xfId="0" applyNumberFormat="1" applyFont="1" applyAlignment="1">
      <alignment horizontal="left" indent="1"/>
    </xf>
    <xf numFmtId="205" fontId="48" fillId="0" borderId="0" xfId="0" applyNumberFormat="1" applyFont="1"/>
    <xf numFmtId="205" fontId="50" fillId="0" borderId="0" xfId="0" applyNumberFormat="1" applyFont="1"/>
    <xf numFmtId="2" fontId="48" fillId="0" borderId="6" xfId="0" applyNumberFormat="1" applyFont="1" applyBorder="1"/>
    <xf numFmtId="2" fontId="48" fillId="0" borderId="6" xfId="0" applyNumberFormat="1" applyFont="1" applyBorder="1" applyAlignment="1">
      <alignment horizontal="right"/>
    </xf>
    <xf numFmtId="205" fontId="65" fillId="0" borderId="6" xfId="2" applyNumberFormat="1" applyFont="1" applyBorder="1" applyAlignment="1">
      <alignment horizontal="center"/>
    </xf>
    <xf numFmtId="205" fontId="103" fillId="0" borderId="0" xfId="0" applyNumberFormat="1" applyFont="1" applyAlignment="1">
      <alignment horizontal="center"/>
    </xf>
    <xf numFmtId="2" fontId="48" fillId="0" borderId="23" xfId="0" applyNumberFormat="1" applyFont="1" applyBorder="1"/>
    <xf numFmtId="2" fontId="48" fillId="0" borderId="23" xfId="0" applyNumberFormat="1" applyFont="1" applyBorder="1" applyAlignment="1">
      <alignment horizontal="right"/>
    </xf>
    <xf numFmtId="170" fontId="48" fillId="0" borderId="23" xfId="0" applyNumberFormat="1" applyFont="1" applyBorder="1"/>
    <xf numFmtId="2" fontId="48" fillId="28" borderId="0" xfId="0" applyNumberFormat="1" applyFont="1" applyFill="1"/>
    <xf numFmtId="2" fontId="50" fillId="28" borderId="0" xfId="0" applyNumberFormat="1" applyFont="1" applyFill="1" applyAlignment="1">
      <alignment horizontal="right"/>
    </xf>
    <xf numFmtId="2" fontId="50" fillId="28" borderId="0" xfId="0" applyNumberFormat="1" applyFont="1" applyFill="1"/>
    <xf numFmtId="2" fontId="48" fillId="23" borderId="33" xfId="0" applyNumberFormat="1" applyFont="1" applyFill="1" applyBorder="1" applyAlignment="1">
      <alignment horizontal="left"/>
    </xf>
    <xf numFmtId="2" fontId="48" fillId="23" borderId="34" xfId="0" applyNumberFormat="1" applyFont="1" applyFill="1" applyBorder="1" applyAlignment="1">
      <alignment horizontal="right"/>
    </xf>
    <xf numFmtId="2" fontId="56" fillId="0" borderId="0" xfId="0" applyNumberFormat="1" applyFont="1" applyAlignment="1">
      <alignment horizontal="left" indent="1"/>
    </xf>
    <xf numFmtId="2" fontId="56" fillId="0" borderId="0" xfId="0" applyNumberFormat="1" applyFont="1" applyAlignment="1">
      <alignment horizontal="right"/>
    </xf>
    <xf numFmtId="205" fontId="66" fillId="0" borderId="11" xfId="2" applyNumberFormat="1" applyFont="1" applyBorder="1" applyAlignment="1">
      <alignment horizontal="center"/>
    </xf>
    <xf numFmtId="170" fontId="48" fillId="0" borderId="0" xfId="0" applyNumberFormat="1" applyFont="1"/>
    <xf numFmtId="170" fontId="50" fillId="0" borderId="0" xfId="0" applyNumberFormat="1" applyFont="1"/>
    <xf numFmtId="170" fontId="50" fillId="0" borderId="8" xfId="0" applyNumberFormat="1" applyFont="1" applyBorder="1"/>
    <xf numFmtId="10" fontId="48" fillId="0" borderId="0" xfId="2" applyNumberFormat="1" applyFont="1" applyAlignment="1">
      <alignment horizontal="right"/>
    </xf>
    <xf numFmtId="10" fontId="42" fillId="0" borderId="0" xfId="2" applyNumberFormat="1" applyFont="1" applyBorder="1" applyAlignment="1">
      <alignment horizontal="right"/>
    </xf>
    <xf numFmtId="10" fontId="48" fillId="23" borderId="35" xfId="2" applyNumberFormat="1" applyFont="1" applyFill="1" applyBorder="1" applyAlignment="1">
      <alignment horizontal="right"/>
    </xf>
    <xf numFmtId="2" fontId="48" fillId="0" borderId="0" xfId="0" applyNumberFormat="1" applyFont="1" applyAlignment="1">
      <alignment horizontal="left" indent="1"/>
    </xf>
    <xf numFmtId="210" fontId="48" fillId="0" borderId="0" xfId="0" applyNumberFormat="1" applyFont="1" applyAlignment="1">
      <alignment horizontal="right"/>
    </xf>
    <xf numFmtId="2" fontId="42" fillId="0" borderId="0" xfId="2" applyNumberFormat="1" applyFont="1"/>
    <xf numFmtId="10" fontId="43" fillId="0" borderId="0" xfId="2" applyNumberFormat="1" applyFont="1"/>
    <xf numFmtId="2" fontId="42" fillId="0" borderId="0" xfId="0" applyNumberFormat="1" applyFont="1"/>
    <xf numFmtId="0" fontId="104" fillId="2" borderId="0" xfId="0" applyFont="1" applyFill="1"/>
    <xf numFmtId="10" fontId="104" fillId="2" borderId="0" xfId="0" applyNumberFormat="1" applyFont="1" applyFill="1"/>
    <xf numFmtId="170" fontId="104" fillId="2" borderId="0" xfId="0" applyNumberFormat="1" applyFont="1" applyFill="1"/>
    <xf numFmtId="0" fontId="102" fillId="2" borderId="0" xfId="0" applyFont="1" applyFill="1" applyAlignment="1">
      <alignment horizontal="center"/>
    </xf>
    <xf numFmtId="170" fontId="102" fillId="2" borderId="22" xfId="9" applyNumberFormat="1" applyFont="1" applyFill="1" applyAlignment="1">
      <alignment horizontal="center"/>
    </xf>
    <xf numFmtId="0" fontId="43" fillId="0" borderId="0" xfId="0" applyFont="1" applyAlignment="1">
      <alignment horizontal="center" vertical="center"/>
    </xf>
    <xf numFmtId="0" fontId="42" fillId="0" borderId="0" xfId="8" applyNumberFormat="1" applyFont="1" applyFill="1" applyAlignment="1">
      <alignment horizontal="center" vertical="center"/>
    </xf>
    <xf numFmtId="17" fontId="42" fillId="0" borderId="0" xfId="0" applyNumberFormat="1" applyFont="1" applyAlignment="1">
      <alignment vertical="center"/>
    </xf>
    <xf numFmtId="2" fontId="42" fillId="0" borderId="0" xfId="0" applyNumberFormat="1" applyFont="1" applyAlignment="1">
      <alignment horizontal="center" vertical="center"/>
    </xf>
    <xf numFmtId="10" fontId="43" fillId="0" borderId="0" xfId="0" applyNumberFormat="1" applyFont="1" applyAlignment="1">
      <alignment horizontal="center" vertical="center"/>
    </xf>
    <xf numFmtId="10" fontId="42" fillId="0" borderId="0" xfId="2" applyNumberFormat="1" applyFont="1" applyAlignment="1">
      <alignment horizontal="center" vertical="center"/>
    </xf>
    <xf numFmtId="170" fontId="42" fillId="0" borderId="9" xfId="0" applyNumberFormat="1" applyFont="1" applyBorder="1" applyAlignment="1">
      <alignment horizontal="right"/>
    </xf>
    <xf numFmtId="170" fontId="50" fillId="0" borderId="7" xfId="0" applyNumberFormat="1" applyFont="1" applyBorder="1"/>
    <xf numFmtId="170" fontId="48" fillId="23" borderId="9" xfId="0" applyNumberFormat="1" applyFont="1" applyFill="1" applyBorder="1"/>
    <xf numFmtId="170" fontId="50" fillId="0" borderId="9" xfId="0" applyNumberFormat="1" applyFont="1" applyBorder="1"/>
    <xf numFmtId="170" fontId="66" fillId="0" borderId="9" xfId="0" applyNumberFormat="1" applyFont="1" applyBorder="1"/>
    <xf numFmtId="170" fontId="48" fillId="0" borderId="9" xfId="0" applyNumberFormat="1" applyFont="1" applyBorder="1"/>
    <xf numFmtId="170" fontId="48" fillId="0" borderId="7" xfId="0" applyNumberFormat="1" applyFont="1" applyBorder="1"/>
    <xf numFmtId="205" fontId="50" fillId="0" borderId="9" xfId="0" applyNumberFormat="1" applyFont="1" applyBorder="1"/>
    <xf numFmtId="10" fontId="42" fillId="0" borderId="9" xfId="2" applyNumberFormat="1" applyFont="1" applyBorder="1" applyAlignment="1">
      <alignment horizontal="right"/>
    </xf>
    <xf numFmtId="205" fontId="42" fillId="0" borderId="9" xfId="2" applyNumberFormat="1" applyFont="1" applyBorder="1" applyAlignment="1">
      <alignment horizontal="right"/>
    </xf>
    <xf numFmtId="170" fontId="48" fillId="0" borderId="37" xfId="0" applyNumberFormat="1" applyFont="1" applyBorder="1"/>
    <xf numFmtId="170" fontId="50" fillId="0" borderId="5" xfId="0" applyNumberFormat="1" applyFont="1" applyBorder="1"/>
    <xf numFmtId="170" fontId="66" fillId="0" borderId="0" xfId="0" applyNumberFormat="1" applyFont="1"/>
    <xf numFmtId="10" fontId="50" fillId="0" borderId="8" xfId="2" applyNumberFormat="1" applyFont="1" applyBorder="1"/>
    <xf numFmtId="10" fontId="50" fillId="0" borderId="0" xfId="2" applyNumberFormat="1" applyFont="1" applyBorder="1"/>
    <xf numFmtId="205" fontId="65" fillId="0" borderId="0" xfId="0" applyNumberFormat="1" applyFont="1"/>
    <xf numFmtId="170" fontId="42" fillId="0" borderId="8" xfId="0" applyNumberFormat="1" applyFont="1" applyBorder="1" applyAlignment="1">
      <alignment horizontal="right"/>
    </xf>
    <xf numFmtId="170" fontId="48" fillId="0" borderId="6" xfId="0" applyNumberFormat="1" applyFont="1" applyBorder="1"/>
    <xf numFmtId="10" fontId="42" fillId="0" borderId="8" xfId="2" applyNumberFormat="1" applyFont="1" applyBorder="1" applyAlignment="1">
      <alignment horizontal="right"/>
    </xf>
    <xf numFmtId="205" fontId="42" fillId="0" borderId="8" xfId="2" applyNumberFormat="1" applyFont="1" applyBorder="1" applyAlignment="1">
      <alignment horizontal="right"/>
    </xf>
    <xf numFmtId="170" fontId="48" fillId="0" borderId="38" xfId="0" applyNumberFormat="1" applyFont="1" applyBorder="1"/>
    <xf numFmtId="170" fontId="66" fillId="0" borderId="8" xfId="0" applyNumberFormat="1" applyFont="1" applyBorder="1"/>
    <xf numFmtId="170" fontId="48" fillId="0" borderId="8" xfId="0" applyNumberFormat="1" applyFont="1" applyBorder="1"/>
    <xf numFmtId="205" fontId="50" fillId="0" borderId="8" xfId="0" applyNumberFormat="1" applyFont="1" applyBorder="1"/>
    <xf numFmtId="0" fontId="66" fillId="0" borderId="0" xfId="0" applyFont="1"/>
    <xf numFmtId="165" fontId="65" fillId="0" borderId="0" xfId="0" applyNumberFormat="1" applyFont="1"/>
    <xf numFmtId="10" fontId="65" fillId="0" borderId="0" xfId="0" applyNumberFormat="1" applyFont="1"/>
    <xf numFmtId="0" fontId="65" fillId="0" borderId="39" xfId="0" applyFont="1" applyBorder="1"/>
    <xf numFmtId="165" fontId="65" fillId="0" borderId="39" xfId="0" applyNumberFormat="1" applyFont="1" applyBorder="1"/>
    <xf numFmtId="0" fontId="66" fillId="0" borderId="39" xfId="0" applyFont="1" applyBorder="1"/>
    <xf numFmtId="0" fontId="65" fillId="0" borderId="0" xfId="0" applyFont="1" applyAlignment="1">
      <alignment horizontal="left" indent="1"/>
    </xf>
    <xf numFmtId="0" fontId="57" fillId="0" borderId="0" xfId="0" applyFont="1"/>
    <xf numFmtId="4" fontId="57" fillId="0" borderId="0" xfId="0" applyNumberFormat="1" applyFont="1"/>
    <xf numFmtId="170" fontId="65" fillId="0" borderId="0" xfId="0" applyNumberFormat="1" applyFont="1"/>
    <xf numFmtId="170" fontId="43" fillId="0" borderId="22" xfId="9" applyNumberFormat="1" applyFont="1" applyAlignment="1">
      <alignment horizontal="right"/>
    </xf>
    <xf numFmtId="2" fontId="42" fillId="0" borderId="0" xfId="8" applyFont="1" applyFill="1" applyAlignment="1">
      <alignment horizontal="right"/>
    </xf>
    <xf numFmtId="170" fontId="47" fillId="0" borderId="0" xfId="7" applyNumberFormat="1" applyFont="1" applyAlignment="1">
      <alignment horizontal="right"/>
    </xf>
    <xf numFmtId="2" fontId="43" fillId="0" borderId="23" xfId="8" applyFont="1" applyFill="1" applyBorder="1" applyAlignment="1">
      <alignment horizontal="right"/>
    </xf>
    <xf numFmtId="2" fontId="43" fillId="0" borderId="0" xfId="8" applyFont="1" applyFill="1" applyAlignment="1">
      <alignment horizontal="right"/>
    </xf>
    <xf numFmtId="170" fontId="51" fillId="0" borderId="22" xfId="7" applyNumberFormat="1" applyFont="1" applyBorder="1" applyAlignment="1">
      <alignment horizontal="right"/>
    </xf>
    <xf numFmtId="170" fontId="51" fillId="0" borderId="0" xfId="7" applyNumberFormat="1" applyFont="1" applyAlignment="1">
      <alignment horizontal="right"/>
    </xf>
    <xf numFmtId="170" fontId="69" fillId="0" borderId="0" xfId="0" applyNumberFormat="1" applyFont="1" applyAlignment="1">
      <alignment horizontal="right"/>
    </xf>
    <xf numFmtId="170" fontId="69" fillId="0" borderId="0" xfId="7" applyNumberFormat="1" applyFont="1" applyAlignment="1">
      <alignment horizontal="right"/>
    </xf>
    <xf numFmtId="2" fontId="69" fillId="0" borderId="0" xfId="0" applyNumberFormat="1" applyFont="1" applyAlignment="1">
      <alignment horizontal="right"/>
    </xf>
    <xf numFmtId="170" fontId="69" fillId="0" borderId="0" xfId="8" applyNumberFormat="1" applyFont="1" applyFill="1" applyAlignment="1">
      <alignment horizontal="right"/>
    </xf>
    <xf numFmtId="170" fontId="43" fillId="0" borderId="23" xfId="9" applyNumberFormat="1" applyFont="1" applyBorder="1" applyAlignment="1">
      <alignment horizontal="right"/>
    </xf>
    <xf numFmtId="2" fontId="65" fillId="0" borderId="0" xfId="0" applyNumberFormat="1" applyFont="1"/>
    <xf numFmtId="10" fontId="65" fillId="23" borderId="43" xfId="2" applyNumberFormat="1" applyFont="1" applyFill="1" applyBorder="1"/>
    <xf numFmtId="0" fontId="65" fillId="10" borderId="0" xfId="0" applyFont="1" applyFill="1"/>
    <xf numFmtId="0" fontId="66" fillId="0" borderId="23" xfId="0" applyFont="1" applyBorder="1"/>
    <xf numFmtId="0" fontId="65" fillId="0" borderId="23" xfId="0" applyFont="1" applyBorder="1"/>
    <xf numFmtId="170" fontId="65" fillId="0" borderId="23" xfId="0" applyNumberFormat="1" applyFont="1" applyBorder="1"/>
    <xf numFmtId="170" fontId="66" fillId="0" borderId="23" xfId="0" applyNumberFormat="1" applyFont="1" applyBorder="1"/>
    <xf numFmtId="0" fontId="66" fillId="0" borderId="11" xfId="0" applyFont="1" applyBorder="1"/>
    <xf numFmtId="170" fontId="66" fillId="0" borderId="11" xfId="0" applyNumberFormat="1" applyFont="1" applyBorder="1"/>
    <xf numFmtId="0" fontId="55" fillId="2" borderId="0" xfId="0" applyFont="1" applyFill="1" applyAlignment="1">
      <alignment horizontal="center"/>
    </xf>
    <xf numFmtId="10" fontId="66" fillId="0" borderId="0" xfId="10" applyNumberFormat="1" applyFont="1" applyFill="1" applyBorder="1" applyAlignment="1">
      <alignment horizontal="right" vertical="center"/>
    </xf>
    <xf numFmtId="0" fontId="71" fillId="0" borderId="0" xfId="0" applyFont="1" applyAlignment="1">
      <alignment horizontal="right"/>
    </xf>
    <xf numFmtId="10" fontId="57" fillId="0" borderId="0" xfId="2" applyNumberFormat="1" applyFont="1" applyAlignment="1">
      <alignment horizontal="right"/>
    </xf>
    <xf numFmtId="10" fontId="50" fillId="0" borderId="0" xfId="2" applyNumberFormat="1" applyFont="1" applyAlignment="1">
      <alignment horizontal="right"/>
    </xf>
    <xf numFmtId="0" fontId="70" fillId="0" borderId="0" xfId="0" applyFont="1" applyAlignment="1">
      <alignment horizontal="right"/>
    </xf>
    <xf numFmtId="0" fontId="48" fillId="0" borderId="0" xfId="0" applyFont="1" applyAlignment="1">
      <alignment horizontal="right"/>
    </xf>
    <xf numFmtId="0" fontId="76" fillId="2" borderId="2" xfId="0" applyFont="1" applyFill="1" applyBorder="1"/>
    <xf numFmtId="0" fontId="48" fillId="23" borderId="0" xfId="0" applyFont="1" applyFill="1"/>
    <xf numFmtId="10" fontId="50" fillId="23" borderId="0" xfId="2" applyNumberFormat="1" applyFont="1" applyFill="1"/>
    <xf numFmtId="2" fontId="50" fillId="23" borderId="0" xfId="0" applyNumberFormat="1" applyFont="1" applyFill="1"/>
    <xf numFmtId="9" fontId="50" fillId="23" borderId="0" xfId="0" applyNumberFormat="1" applyFont="1" applyFill="1"/>
    <xf numFmtId="10" fontId="48" fillId="13" borderId="0" xfId="0" applyNumberFormat="1" applyFont="1" applyFill="1" applyAlignment="1">
      <alignment horizontal="right"/>
    </xf>
    <xf numFmtId="9" fontId="50" fillId="13" borderId="0" xfId="0" applyNumberFormat="1" applyFont="1" applyFill="1" applyAlignment="1">
      <alignment horizontal="right"/>
    </xf>
    <xf numFmtId="0" fontId="50" fillId="13" borderId="0" xfId="0" applyFont="1" applyFill="1" applyAlignment="1">
      <alignment horizontal="right"/>
    </xf>
    <xf numFmtId="9" fontId="48" fillId="13" borderId="0" xfId="0" applyNumberFormat="1" applyFont="1" applyFill="1" applyAlignment="1">
      <alignment horizontal="right"/>
    </xf>
    <xf numFmtId="2" fontId="50" fillId="13" borderId="0" xfId="2" applyNumberFormat="1" applyFont="1" applyFill="1" applyAlignment="1">
      <alignment horizontal="right"/>
    </xf>
    <xf numFmtId="0" fontId="50" fillId="13" borderId="0" xfId="1" applyNumberFormat="1" applyFont="1" applyFill="1" applyAlignment="1">
      <alignment horizontal="right"/>
    </xf>
    <xf numFmtId="0" fontId="72" fillId="0" borderId="0" xfId="0" applyFont="1"/>
    <xf numFmtId="0" fontId="48" fillId="0" borderId="0" xfId="0" applyFont="1" applyAlignment="1">
      <alignment horizontal="left"/>
    </xf>
    <xf numFmtId="10" fontId="48" fillId="0" borderId="8" xfId="2" applyNumberFormat="1" applyFont="1" applyBorder="1"/>
    <xf numFmtId="10" fontId="48" fillId="0" borderId="0" xfId="2" applyNumberFormat="1" applyFont="1" applyBorder="1"/>
    <xf numFmtId="2" fontId="55" fillId="2" borderId="0" xfId="0" applyNumberFormat="1" applyFont="1" applyFill="1" applyAlignment="1">
      <alignment horizontal="center"/>
    </xf>
    <xf numFmtId="0" fontId="48" fillId="5" borderId="0" xfId="0" applyFont="1" applyFill="1"/>
    <xf numFmtId="0" fontId="50" fillId="5" borderId="0" xfId="0" applyFont="1" applyFill="1"/>
    <xf numFmtId="2" fontId="50" fillId="5" borderId="0" xfId="0" applyNumberFormat="1" applyFont="1" applyFill="1"/>
    <xf numFmtId="10" fontId="50" fillId="9" borderId="0" xfId="2" applyNumberFormat="1" applyFont="1" applyFill="1" applyAlignment="1">
      <alignment horizontal="right"/>
    </xf>
    <xf numFmtId="173" fontId="50" fillId="9" borderId="11" xfId="2" applyNumberFormat="1" applyFont="1" applyFill="1" applyBorder="1" applyAlignment="1">
      <alignment horizontal="right"/>
    </xf>
    <xf numFmtId="172" fontId="50" fillId="9" borderId="11" xfId="0" applyNumberFormat="1" applyFont="1" applyFill="1" applyBorder="1" applyAlignment="1">
      <alignment horizontal="right" vertical="center"/>
    </xf>
    <xf numFmtId="172" fontId="50" fillId="9" borderId="11" xfId="0" applyNumberFormat="1" applyFont="1" applyFill="1" applyBorder="1" applyAlignment="1">
      <alignment horizontal="right"/>
    </xf>
    <xf numFmtId="168" fontId="50" fillId="9" borderId="6" xfId="0" applyNumberFormat="1" applyFont="1" applyFill="1" applyBorder="1"/>
    <xf numFmtId="172" fontId="50" fillId="9" borderId="0" xfId="0" applyNumberFormat="1" applyFont="1" applyFill="1" applyAlignment="1">
      <alignment horizontal="right" vertical="center"/>
    </xf>
    <xf numFmtId="211" fontId="50" fillId="9" borderId="0" xfId="0" applyNumberFormat="1" applyFont="1" applyFill="1" applyAlignment="1">
      <alignment horizontal="right" vertical="top"/>
    </xf>
    <xf numFmtId="168" fontId="50" fillId="9" borderId="11" xfId="0" applyNumberFormat="1" applyFont="1" applyFill="1" applyBorder="1"/>
    <xf numFmtId="168" fontId="50" fillId="9" borderId="11" xfId="0" applyNumberFormat="1" applyFont="1" applyFill="1" applyBorder="1" applyAlignment="1">
      <alignment horizontal="right"/>
    </xf>
    <xf numFmtId="0" fontId="50" fillId="9" borderId="0" xfId="0" applyFont="1" applyFill="1" applyAlignment="1">
      <alignment horizontal="right"/>
    </xf>
    <xf numFmtId="0" fontId="48" fillId="5" borderId="0" xfId="0" applyFont="1" applyFill="1" applyAlignment="1">
      <alignment horizontal="right"/>
    </xf>
    <xf numFmtId="0" fontId="50" fillId="5" borderId="0" xfId="0" applyFont="1" applyFill="1" applyAlignment="1">
      <alignment horizontal="right"/>
    </xf>
    <xf numFmtId="172" fontId="50" fillId="9" borderId="0" xfId="0" applyNumberFormat="1" applyFont="1" applyFill="1" applyAlignment="1">
      <alignment horizontal="right"/>
    </xf>
    <xf numFmtId="0" fontId="105" fillId="2" borderId="0" xfId="0" applyFont="1" applyFill="1" applyAlignment="1">
      <alignment horizontal="left"/>
    </xf>
    <xf numFmtId="209" fontId="50" fillId="4" borderId="0" xfId="0" applyNumberFormat="1" applyFont="1" applyFill="1"/>
    <xf numFmtId="44" fontId="50" fillId="4" borderId="0" xfId="5" applyFont="1" applyFill="1" applyAlignment="1">
      <alignment horizontal="right"/>
    </xf>
    <xf numFmtId="0" fontId="50" fillId="4" borderId="0" xfId="0" applyFont="1" applyFill="1" applyAlignment="1">
      <alignment horizontal="right"/>
    </xf>
    <xf numFmtId="44" fontId="50" fillId="0" borderId="0" xfId="0" applyNumberFormat="1" applyFont="1"/>
    <xf numFmtId="209" fontId="50" fillId="0" borderId="0" xfId="0" applyNumberFormat="1" applyFont="1"/>
    <xf numFmtId="44" fontId="50" fillId="0" borderId="0" xfId="5" applyFont="1" applyAlignment="1">
      <alignment horizontal="right"/>
    </xf>
    <xf numFmtId="0" fontId="48" fillId="28" borderId="0" xfId="0" applyFont="1" applyFill="1"/>
    <xf numFmtId="0" fontId="50" fillId="28" borderId="0" xfId="0" applyFont="1" applyFill="1"/>
    <xf numFmtId="44" fontId="50" fillId="28" borderId="0" xfId="5" applyFont="1" applyFill="1"/>
    <xf numFmtId="44" fontId="48" fillId="0" borderId="0" xfId="0" applyNumberFormat="1" applyFont="1"/>
    <xf numFmtId="182" fontId="50" fillId="0" borderId="0" xfId="2" applyNumberFormat="1" applyFont="1" applyAlignment="1">
      <alignment horizontal="center" vertical="center"/>
    </xf>
    <xf numFmtId="0" fontId="50" fillId="13" borderId="0" xfId="0" applyFont="1" applyFill="1"/>
    <xf numFmtId="10" fontId="43" fillId="0" borderId="0" xfId="2" applyNumberFormat="1" applyFont="1" applyAlignment="1">
      <alignment horizontal="right"/>
    </xf>
    <xf numFmtId="0" fontId="55" fillId="19" borderId="25" xfId="0" applyFont="1" applyFill="1" applyBorder="1" applyAlignment="1">
      <alignment horizontal="center" vertical="center"/>
    </xf>
    <xf numFmtId="0" fontId="66" fillId="15" borderId="25" xfId="0" applyFont="1" applyFill="1" applyBorder="1" applyAlignment="1">
      <alignment horizontal="left" vertical="center" indent="1"/>
    </xf>
    <xf numFmtId="10" fontId="66" fillId="15" borderId="25" xfId="0" applyNumberFormat="1" applyFont="1" applyFill="1" applyBorder="1" applyAlignment="1">
      <alignment horizontal="center" vertical="center"/>
    </xf>
    <xf numFmtId="177" fontId="65" fillId="15" borderId="25" xfId="0" applyNumberFormat="1" applyFont="1" applyFill="1" applyBorder="1" applyAlignment="1">
      <alignment horizontal="center" vertical="center"/>
    </xf>
    <xf numFmtId="201" fontId="65" fillId="15" borderId="25" xfId="0" applyNumberFormat="1" applyFont="1" applyFill="1" applyBorder="1" applyAlignment="1">
      <alignment horizontal="center" vertical="center"/>
    </xf>
    <xf numFmtId="0" fontId="65" fillId="15" borderId="25" xfId="0" applyFont="1" applyFill="1" applyBorder="1" applyAlignment="1">
      <alignment horizontal="center" vertical="center"/>
    </xf>
    <xf numFmtId="0" fontId="65" fillId="16" borderId="25" xfId="0" applyFont="1" applyFill="1" applyBorder="1" applyAlignment="1">
      <alignment horizontal="left" vertical="center" indent="1"/>
    </xf>
    <xf numFmtId="10" fontId="66" fillId="16" borderId="25" xfId="0" applyNumberFormat="1" applyFont="1" applyFill="1" applyBorder="1" applyAlignment="1">
      <alignment horizontal="center" vertical="center"/>
    </xf>
    <xf numFmtId="177" fontId="65" fillId="16" borderId="25" xfId="0" applyNumberFormat="1" applyFont="1" applyFill="1" applyBorder="1" applyAlignment="1">
      <alignment horizontal="center" vertical="center"/>
    </xf>
    <xf numFmtId="201" fontId="65" fillId="16" borderId="25" xfId="0" applyNumberFormat="1" applyFont="1" applyFill="1" applyBorder="1" applyAlignment="1">
      <alignment horizontal="center" vertical="center"/>
    </xf>
    <xf numFmtId="0" fontId="65" fillId="16" borderId="25" xfId="0" applyFont="1" applyFill="1" applyBorder="1" applyAlignment="1">
      <alignment horizontal="center" vertical="center"/>
    </xf>
    <xf numFmtId="0" fontId="65" fillId="17" borderId="25" xfId="0" applyFont="1" applyFill="1" applyBorder="1" applyAlignment="1">
      <alignment horizontal="left" vertical="center" indent="1"/>
    </xf>
    <xf numFmtId="10" fontId="107" fillId="17" borderId="25" xfId="0" applyNumberFormat="1" applyFont="1" applyFill="1" applyBorder="1" applyAlignment="1">
      <alignment horizontal="center" vertical="center"/>
    </xf>
    <xf numFmtId="177" fontId="65" fillId="17" borderId="25" xfId="0" applyNumberFormat="1" applyFont="1" applyFill="1" applyBorder="1" applyAlignment="1">
      <alignment horizontal="center" vertical="center"/>
    </xf>
    <xf numFmtId="201" fontId="65" fillId="20" borderId="25" xfId="0" applyNumberFormat="1" applyFont="1" applyFill="1" applyBorder="1" applyAlignment="1">
      <alignment horizontal="center" vertical="center"/>
    </xf>
    <xf numFmtId="0" fontId="107" fillId="17" borderId="25" xfId="0" applyFont="1" applyFill="1" applyBorder="1" applyAlignment="1">
      <alignment horizontal="center" vertical="center"/>
    </xf>
    <xf numFmtId="10" fontId="65" fillId="16" borderId="25" xfId="0" applyNumberFormat="1" applyFont="1" applyFill="1" applyBorder="1" applyAlignment="1">
      <alignment horizontal="center" vertical="center"/>
    </xf>
    <xf numFmtId="0" fontId="65" fillId="0" borderId="25" xfId="0" applyFont="1" applyBorder="1" applyAlignment="1">
      <alignment horizontal="left" vertical="center" indent="1"/>
    </xf>
    <xf numFmtId="10" fontId="65" fillId="0" borderId="25" xfId="0" applyNumberFormat="1" applyFont="1" applyBorder="1" applyAlignment="1">
      <alignment horizontal="center" vertical="center"/>
    </xf>
    <xf numFmtId="180" fontId="65" fillId="16" borderId="25" xfId="0" applyNumberFormat="1" applyFont="1" applyFill="1" applyBorder="1" applyAlignment="1">
      <alignment horizontal="center" vertical="center"/>
    </xf>
    <xf numFmtId="0" fontId="65" fillId="15" borderId="25" xfId="0" applyFont="1" applyFill="1" applyBorder="1" applyAlignment="1">
      <alignment horizontal="left" vertical="center" indent="1"/>
    </xf>
    <xf numFmtId="180" fontId="66" fillId="15" borderId="25" xfId="0" applyNumberFormat="1" applyFont="1" applyFill="1" applyBorder="1" applyAlignment="1">
      <alignment horizontal="center" vertical="center"/>
    </xf>
    <xf numFmtId="180" fontId="66" fillId="0" borderId="25" xfId="0" applyNumberFormat="1" applyFont="1" applyBorder="1" applyAlignment="1">
      <alignment horizontal="center" vertical="center"/>
    </xf>
    <xf numFmtId="180" fontId="65" fillId="0" borderId="25" xfId="0" applyNumberFormat="1" applyFont="1" applyBorder="1" applyAlignment="1">
      <alignment horizontal="center" vertical="center"/>
    </xf>
    <xf numFmtId="0" fontId="65" fillId="0" borderId="32" xfId="0" applyFont="1" applyBorder="1" applyAlignment="1">
      <alignment horizontal="left" vertical="center" indent="1"/>
    </xf>
    <xf numFmtId="0" fontId="65" fillId="16" borderId="28" xfId="0" applyFont="1" applyFill="1" applyBorder="1" applyAlignment="1">
      <alignment horizontal="left" vertical="center" indent="1"/>
    </xf>
    <xf numFmtId="0" fontId="66" fillId="21" borderId="25" xfId="0" applyFont="1" applyFill="1" applyBorder="1" applyAlignment="1">
      <alignment horizontal="left" vertical="center" indent="1"/>
    </xf>
    <xf numFmtId="10" fontId="66" fillId="21" borderId="25" xfId="0" applyNumberFormat="1" applyFont="1" applyFill="1" applyBorder="1" applyAlignment="1">
      <alignment horizontal="center" vertical="center"/>
    </xf>
    <xf numFmtId="0" fontId="66" fillId="0" borderId="25" xfId="0" applyFont="1" applyBorder="1" applyAlignment="1">
      <alignment horizontal="left" vertical="center" indent="1"/>
    </xf>
    <xf numFmtId="10" fontId="66" fillId="0" borderId="25" xfId="0" applyNumberFormat="1" applyFont="1" applyBorder="1" applyAlignment="1">
      <alignment horizontal="center" vertical="center"/>
    </xf>
    <xf numFmtId="10" fontId="55" fillId="19" borderId="25" xfId="0" applyNumberFormat="1" applyFont="1" applyFill="1" applyBorder="1" applyAlignment="1">
      <alignment horizontal="center" vertical="center"/>
    </xf>
    <xf numFmtId="180" fontId="65" fillId="16" borderId="25" xfId="0" applyNumberFormat="1" applyFont="1" applyFill="1" applyBorder="1" applyAlignment="1">
      <alignment horizontal="right" vertical="center"/>
    </xf>
    <xf numFmtId="180" fontId="65" fillId="16" borderId="25" xfId="0" applyNumberFormat="1" applyFont="1" applyFill="1" applyBorder="1"/>
    <xf numFmtId="180" fontId="65" fillId="0" borderId="25" xfId="0" applyNumberFormat="1" applyFont="1" applyBorder="1" applyAlignment="1">
      <alignment horizontal="right" vertical="center"/>
    </xf>
    <xf numFmtId="180" fontId="65" fillId="0" borderId="25" xfId="0" applyNumberFormat="1" applyFont="1" applyBorder="1"/>
    <xf numFmtId="202" fontId="65" fillId="16" borderId="25" xfId="0" applyNumberFormat="1" applyFont="1" applyFill="1" applyBorder="1"/>
    <xf numFmtId="202" fontId="65" fillId="0" borderId="25" xfId="0" applyNumberFormat="1" applyFont="1" applyBorder="1"/>
    <xf numFmtId="0" fontId="66" fillId="22" borderId="25" xfId="0" applyFont="1" applyFill="1" applyBorder="1" applyAlignment="1">
      <alignment horizontal="left" vertical="center" indent="1"/>
    </xf>
    <xf numFmtId="10" fontId="65" fillId="22" borderId="25" xfId="0" applyNumberFormat="1" applyFont="1" applyFill="1" applyBorder="1" applyAlignment="1">
      <alignment horizontal="center" vertical="center"/>
    </xf>
    <xf numFmtId="10" fontId="42" fillId="0" borderId="0" xfId="0" applyNumberFormat="1" applyFont="1" applyAlignment="1">
      <alignment horizontal="right"/>
    </xf>
    <xf numFmtId="0" fontId="110" fillId="15" borderId="25" xfId="0" applyFont="1" applyFill="1" applyBorder="1" applyAlignment="1">
      <alignment horizontal="left" vertical="center" indent="1"/>
    </xf>
    <xf numFmtId="180" fontId="111" fillId="15" borderId="25" xfId="0" applyNumberFormat="1" applyFont="1" applyFill="1" applyBorder="1" applyAlignment="1">
      <alignment horizontal="center" vertical="center"/>
    </xf>
    <xf numFmtId="0" fontId="109" fillId="0" borderId="0" xfId="0" applyFont="1"/>
    <xf numFmtId="0" fontId="110" fillId="0" borderId="25" xfId="0" applyFont="1" applyBorder="1" applyAlignment="1">
      <alignment horizontal="left" vertical="center" indent="1"/>
    </xf>
    <xf numFmtId="180" fontId="111" fillId="0" borderId="25" xfId="0" applyNumberFormat="1" applyFont="1" applyBorder="1" applyAlignment="1">
      <alignment horizontal="center" vertical="center"/>
    </xf>
    <xf numFmtId="0" fontId="112" fillId="17" borderId="25" xfId="0" applyFont="1" applyFill="1" applyBorder="1" applyAlignment="1">
      <alignment horizontal="left" vertical="center" indent="1"/>
    </xf>
    <xf numFmtId="180" fontId="112" fillId="17" borderId="25" xfId="0" applyNumberFormat="1" applyFont="1" applyFill="1" applyBorder="1" applyAlignment="1">
      <alignment horizontal="center" vertical="center"/>
    </xf>
    <xf numFmtId="180" fontId="110" fillId="0" borderId="25" xfId="0" applyNumberFormat="1" applyFont="1" applyBorder="1" applyAlignment="1">
      <alignment horizontal="center" vertical="center"/>
    </xf>
    <xf numFmtId="0" fontId="110" fillId="0" borderId="32" xfId="0" applyFont="1" applyBorder="1" applyAlignment="1">
      <alignment horizontal="left" vertical="center" indent="1"/>
    </xf>
    <xf numFmtId="182" fontId="109" fillId="0" borderId="0" xfId="2" applyNumberFormat="1" applyFont="1" applyAlignment="1">
      <alignment horizontal="center" vertical="center"/>
    </xf>
    <xf numFmtId="0" fontId="111" fillId="15" borderId="25" xfId="0" applyFont="1" applyFill="1" applyBorder="1" applyAlignment="1">
      <alignment horizontal="left" vertical="center" indent="1"/>
    </xf>
    <xf numFmtId="202" fontId="65" fillId="16" borderId="25" xfId="0" applyNumberFormat="1" applyFont="1" applyFill="1" applyBorder="1" applyAlignment="1">
      <alignment horizontal="right" vertical="center"/>
    </xf>
    <xf numFmtId="202" fontId="65" fillId="0" borderId="25" xfId="0" applyNumberFormat="1" applyFont="1" applyBorder="1" applyAlignment="1">
      <alignment horizontal="right" vertical="center"/>
    </xf>
    <xf numFmtId="174" fontId="50" fillId="0" borderId="0" xfId="2" applyNumberFormat="1" applyFont="1"/>
    <xf numFmtId="0" fontId="48" fillId="23" borderId="3" xfId="0" applyFont="1" applyFill="1" applyBorder="1"/>
    <xf numFmtId="10" fontId="48" fillId="23" borderId="3" xfId="0" applyNumberFormat="1" applyFont="1" applyFill="1" applyBorder="1"/>
    <xf numFmtId="0" fontId="76" fillId="7" borderId="0" xfId="0" applyFont="1" applyFill="1"/>
    <xf numFmtId="180" fontId="50" fillId="0" borderId="0" xfId="1" applyNumberFormat="1" applyFont="1" applyFill="1"/>
    <xf numFmtId="0" fontId="66" fillId="6" borderId="0" xfId="0" applyFont="1" applyFill="1"/>
    <xf numFmtId="0" fontId="85" fillId="6" borderId="0" xfId="0" applyFont="1" applyFill="1"/>
    <xf numFmtId="0" fontId="113" fillId="0" borderId="0" xfId="0" applyFont="1"/>
    <xf numFmtId="1" fontId="49" fillId="12" borderId="0" xfId="0" applyNumberFormat="1" applyFont="1" applyFill="1" applyAlignment="1">
      <alignment horizontal="right"/>
    </xf>
    <xf numFmtId="0" fontId="101" fillId="27" borderId="0" xfId="0" applyFont="1" applyFill="1" applyAlignment="1">
      <alignment horizontal="right"/>
    </xf>
    <xf numFmtId="0" fontId="76" fillId="7" borderId="0" xfId="0" applyFont="1" applyFill="1" applyAlignment="1">
      <alignment horizontal="center"/>
    </xf>
    <xf numFmtId="185" fontId="42" fillId="0" borderId="23" xfId="0" applyNumberFormat="1" applyFont="1" applyBorder="1" applyAlignment="1">
      <alignment horizontal="right"/>
    </xf>
    <xf numFmtId="10" fontId="64" fillId="0" borderId="0" xfId="10" applyNumberFormat="1" applyFont="1" applyFill="1" applyBorder="1" applyAlignment="1">
      <alignment horizontal="center" vertical="center"/>
    </xf>
    <xf numFmtId="10" fontId="42" fillId="13" borderId="0" xfId="2" applyNumberFormat="1" applyFont="1" applyFill="1" applyAlignment="1">
      <alignment horizontal="center"/>
    </xf>
    <xf numFmtId="212" fontId="50" fillId="0" borderId="0" xfId="0" applyNumberFormat="1" applyFont="1"/>
    <xf numFmtId="167" fontId="50" fillId="6" borderId="0" xfId="0" applyNumberFormat="1" applyFont="1" applyFill="1" applyAlignment="1">
      <alignment horizontal="center" vertical="center"/>
    </xf>
    <xf numFmtId="167" fontId="50" fillId="0" borderId="0" xfId="0" applyNumberFormat="1" applyFont="1" applyAlignment="1">
      <alignment horizontal="center"/>
    </xf>
    <xf numFmtId="167" fontId="50" fillId="0" borderId="2" xfId="1" applyNumberFormat="1" applyFont="1" applyBorder="1" applyAlignment="1">
      <alignment horizontal="center"/>
    </xf>
    <xf numFmtId="204" fontId="50" fillId="0" borderId="0" xfId="0" applyNumberFormat="1" applyFont="1"/>
    <xf numFmtId="213" fontId="42" fillId="0" borderId="0" xfId="0" applyNumberFormat="1" applyFont="1"/>
    <xf numFmtId="10" fontId="42" fillId="2" borderId="0" xfId="0" applyNumberFormat="1" applyFont="1" applyFill="1"/>
    <xf numFmtId="208" fontId="43" fillId="0" borderId="22" xfId="7" applyNumberFormat="1" applyFont="1" applyBorder="1"/>
    <xf numFmtId="213" fontId="50" fillId="0" borderId="0" xfId="0" applyNumberFormat="1" applyFont="1"/>
    <xf numFmtId="214" fontId="50" fillId="0" borderId="0" xfId="0" applyNumberFormat="1" applyFont="1"/>
    <xf numFmtId="3" fontId="50" fillId="0" borderId="0" xfId="0" applyNumberFormat="1" applyFont="1"/>
    <xf numFmtId="44" fontId="50" fillId="0" borderId="0" xfId="5" applyFont="1"/>
    <xf numFmtId="43" fontId="50" fillId="0" borderId="0" xfId="1" applyFont="1"/>
    <xf numFmtId="43" fontId="43" fillId="0" borderId="22" xfId="1" applyFont="1" applyBorder="1"/>
    <xf numFmtId="170" fontId="43" fillId="0" borderId="46" xfId="7" applyNumberFormat="1" applyFont="1" applyBorder="1"/>
    <xf numFmtId="170" fontId="43" fillId="0" borderId="47" xfId="7" applyNumberFormat="1" applyFont="1" applyBorder="1"/>
    <xf numFmtId="170" fontId="43" fillId="0" borderId="47" xfId="9" applyNumberFormat="1" applyFont="1" applyBorder="1"/>
    <xf numFmtId="170" fontId="42" fillId="0" borderId="0" xfId="9" applyNumberFormat="1" applyFont="1" applyBorder="1"/>
    <xf numFmtId="170" fontId="42" fillId="0" borderId="46" xfId="7" applyNumberFormat="1" applyFont="1" applyBorder="1"/>
    <xf numFmtId="170" fontId="42" fillId="0" borderId="46" xfId="9" applyNumberFormat="1" applyFont="1" applyBorder="1"/>
    <xf numFmtId="170" fontId="43" fillId="0" borderId="0" xfId="9" applyNumberFormat="1" applyFont="1" applyBorder="1"/>
    <xf numFmtId="2" fontId="50" fillId="13" borderId="0" xfId="1" applyNumberFormat="1" applyFont="1" applyFill="1" applyAlignment="1">
      <alignment horizontal="center" vertical="center"/>
    </xf>
    <xf numFmtId="2" fontId="49" fillId="0" borderId="0" xfId="0" applyNumberFormat="1" applyFont="1" applyAlignment="1">
      <alignment horizontal="right"/>
    </xf>
    <xf numFmtId="1" fontId="49" fillId="0" borderId="0" xfId="0" applyNumberFormat="1" applyFont="1" applyAlignment="1">
      <alignment horizontal="right"/>
    </xf>
    <xf numFmtId="10" fontId="50" fillId="0" borderId="0" xfId="2" applyNumberFormat="1" applyFont="1" applyFill="1" applyBorder="1"/>
    <xf numFmtId="10" fontId="48" fillId="0" borderId="0" xfId="2" applyNumberFormat="1" applyFont="1" applyFill="1" applyBorder="1"/>
    <xf numFmtId="10" fontId="42" fillId="0" borderId="0" xfId="2" applyNumberFormat="1" applyFont="1" applyFill="1" applyBorder="1" applyAlignment="1">
      <alignment horizontal="right"/>
    </xf>
    <xf numFmtId="205" fontId="42" fillId="0" borderId="0" xfId="2" applyNumberFormat="1" applyFont="1" applyFill="1" applyBorder="1" applyAlignment="1">
      <alignment horizontal="right"/>
    </xf>
    <xf numFmtId="2" fontId="50" fillId="29" borderId="0" xfId="0" applyNumberFormat="1" applyFont="1" applyFill="1" applyAlignment="1">
      <alignment horizontal="right"/>
    </xf>
    <xf numFmtId="0" fontId="43" fillId="0" borderId="23" xfId="9" applyFont="1" applyBorder="1"/>
    <xf numFmtId="4" fontId="66" fillId="13" borderId="39" xfId="0" applyNumberFormat="1" applyFont="1" applyFill="1" applyBorder="1"/>
    <xf numFmtId="165" fontId="66" fillId="13" borderId="39" xfId="0" applyNumberFormat="1" applyFont="1" applyFill="1" applyBorder="1"/>
    <xf numFmtId="10" fontId="66" fillId="13" borderId="41" xfId="0" applyNumberFormat="1" applyFont="1" applyFill="1" applyBorder="1"/>
    <xf numFmtId="44" fontId="66" fillId="13" borderId="0" xfId="5" applyFont="1" applyFill="1" applyBorder="1"/>
    <xf numFmtId="0" fontId="114" fillId="0" borderId="0" xfId="0" applyFont="1"/>
    <xf numFmtId="9" fontId="42" fillId="0" borderId="0" xfId="2" applyFont="1" applyAlignment="1">
      <alignment horizontal="right"/>
    </xf>
    <xf numFmtId="10" fontId="48" fillId="0" borderId="0" xfId="2" applyNumberFormat="1" applyFont="1" applyBorder="1" applyAlignment="1">
      <alignment horizontal="center"/>
    </xf>
    <xf numFmtId="205" fontId="66" fillId="6" borderId="0" xfId="2" applyNumberFormat="1" applyFont="1" applyFill="1" applyBorder="1" applyAlignment="1">
      <alignment horizontal="center"/>
    </xf>
    <xf numFmtId="170" fontId="42" fillId="3" borderId="0" xfId="0" applyNumberFormat="1" applyFont="1" applyFill="1"/>
    <xf numFmtId="0" fontId="115" fillId="0" borderId="0" xfId="0" applyFont="1" applyAlignment="1">
      <alignment vertical="center"/>
    </xf>
    <xf numFmtId="166" fontId="0" fillId="0" borderId="0" xfId="0" applyNumberFormat="1"/>
    <xf numFmtId="14" fontId="0" fillId="0" borderId="0" xfId="0" applyNumberFormat="1"/>
    <xf numFmtId="215" fontId="4" fillId="23" borderId="0" xfId="5" applyNumberFormat="1" applyFont="1" applyFill="1"/>
    <xf numFmtId="170" fontId="43" fillId="0" borderId="46" xfId="9" applyNumberFormat="1" applyFont="1" applyBorder="1" applyAlignment="1">
      <alignment horizontal="right"/>
    </xf>
    <xf numFmtId="170" fontId="42" fillId="0" borderId="0" xfId="9" applyNumberFormat="1" applyFont="1" applyBorder="1" applyAlignment="1">
      <alignment horizontal="right"/>
    </xf>
    <xf numFmtId="170" fontId="42" fillId="0" borderId="0" xfId="7" applyNumberFormat="1" applyFont="1" applyAlignment="1">
      <alignment horizontal="center"/>
    </xf>
    <xf numFmtId="170" fontId="42" fillId="0" borderId="0" xfId="8" applyNumberFormat="1" applyFont="1" applyFill="1" applyAlignment="1">
      <alignment horizontal="center" vertical="center"/>
    </xf>
    <xf numFmtId="10" fontId="71" fillId="0" borderId="0" xfId="0" applyNumberFormat="1" applyFont="1" applyAlignment="1">
      <alignment horizontal="left" indent="1"/>
    </xf>
    <xf numFmtId="216" fontId="50" fillId="0" borderId="0" xfId="0" applyNumberFormat="1" applyFont="1"/>
    <xf numFmtId="207" fontId="42" fillId="0" borderId="0" xfId="1" applyNumberFormat="1" applyFont="1" applyBorder="1" applyAlignment="1">
      <alignment horizontal="right"/>
    </xf>
    <xf numFmtId="170" fontId="43" fillId="0" borderId="46" xfId="9" applyNumberFormat="1" applyFont="1" applyBorder="1"/>
    <xf numFmtId="208" fontId="42" fillId="0" borderId="22" xfId="7" applyNumberFormat="1" applyFont="1" applyBorder="1"/>
    <xf numFmtId="17" fontId="42" fillId="0" borderId="0" xfId="0" applyNumberFormat="1" applyFont="1"/>
    <xf numFmtId="17" fontId="42" fillId="0" borderId="0" xfId="0" applyNumberFormat="1" applyFont="1" applyAlignment="1">
      <alignment horizontal="center" vertical="center"/>
    </xf>
    <xf numFmtId="0" fontId="42" fillId="12" borderId="0" xfId="0" applyFont="1" applyFill="1"/>
    <xf numFmtId="170" fontId="52" fillId="0" borderId="0" xfId="0" applyNumberFormat="1" applyFont="1" applyAlignment="1">
      <alignment horizontal="right" indent="3"/>
    </xf>
    <xf numFmtId="0" fontId="42" fillId="0" borderId="22" xfId="0" applyFont="1" applyBorder="1"/>
    <xf numFmtId="208" fontId="42" fillId="0" borderId="0" xfId="0" applyNumberFormat="1" applyFont="1" applyAlignment="1">
      <alignment horizontal="right"/>
    </xf>
    <xf numFmtId="208" fontId="42" fillId="0" borderId="0" xfId="7" applyNumberFormat="1" applyFont="1" applyAlignment="1">
      <alignment horizontal="right"/>
    </xf>
    <xf numFmtId="208" fontId="42" fillId="0" borderId="0" xfId="8" applyNumberFormat="1" applyFont="1" applyFill="1" applyAlignment="1">
      <alignment horizontal="right" vertical="center"/>
    </xf>
    <xf numFmtId="208" fontId="69" fillId="0" borderId="0" xfId="0" applyNumberFormat="1" applyFont="1" applyAlignment="1">
      <alignment horizontal="right"/>
    </xf>
    <xf numFmtId="0" fontId="43" fillId="0" borderId="23" xfId="0" applyFont="1" applyBorder="1"/>
    <xf numFmtId="208" fontId="43" fillId="0" borderId="23" xfId="7" applyNumberFormat="1" applyFont="1" applyBorder="1" applyAlignment="1">
      <alignment horizontal="right"/>
    </xf>
    <xf numFmtId="208" fontId="43" fillId="0" borderId="22" xfId="0" applyNumberFormat="1" applyFont="1" applyBorder="1" applyAlignment="1">
      <alignment horizontal="right"/>
    </xf>
    <xf numFmtId="208" fontId="43" fillId="0" borderId="22" xfId="7" applyNumberFormat="1" applyFont="1" applyBorder="1" applyAlignment="1">
      <alignment horizontal="right"/>
    </xf>
    <xf numFmtId="170" fontId="43" fillId="0" borderId="22" xfId="0" applyNumberFormat="1" applyFont="1" applyBorder="1" applyAlignment="1">
      <alignment horizontal="right"/>
    </xf>
    <xf numFmtId="208" fontId="43" fillId="0" borderId="0" xfId="0" applyNumberFormat="1" applyFont="1" applyAlignment="1">
      <alignment horizontal="right"/>
    </xf>
    <xf numFmtId="177" fontId="42" fillId="0" borderId="0" xfId="7" applyNumberFormat="1" applyFont="1" applyAlignment="1">
      <alignment horizontal="right"/>
    </xf>
    <xf numFmtId="177" fontId="42" fillId="0" borderId="0" xfId="0" applyNumberFormat="1" applyFont="1" applyAlignment="1">
      <alignment horizontal="right"/>
    </xf>
    <xf numFmtId="177" fontId="42" fillId="0" borderId="0" xfId="8" applyNumberFormat="1" applyFont="1" applyFill="1" applyAlignment="1">
      <alignment horizontal="right" vertical="center"/>
    </xf>
    <xf numFmtId="0" fontId="56" fillId="0" borderId="0" xfId="6" applyFont="1" applyFill="1" applyAlignment="1">
      <alignment horizontal="right"/>
    </xf>
    <xf numFmtId="43" fontId="50" fillId="0" borderId="0" xfId="1" applyFont="1" applyFill="1" applyAlignment="1">
      <alignment horizontal="center"/>
    </xf>
    <xf numFmtId="203" fontId="50" fillId="0" borderId="0" xfId="1" applyNumberFormat="1" applyFont="1" applyFill="1" applyAlignment="1">
      <alignment horizontal="center"/>
    </xf>
    <xf numFmtId="203" fontId="50" fillId="0" borderId="0" xfId="0" applyNumberFormat="1" applyFont="1" applyAlignment="1">
      <alignment horizontal="center"/>
    </xf>
    <xf numFmtId="180" fontId="100" fillId="27" borderId="0" xfId="0" applyNumberFormat="1" applyFont="1" applyFill="1" applyAlignment="1">
      <alignment horizontal="center" vertical="center"/>
    </xf>
    <xf numFmtId="205" fontId="50" fillId="9" borderId="11" xfId="2" applyNumberFormat="1" applyFont="1" applyFill="1" applyBorder="1" applyAlignment="1">
      <alignment horizontal="right"/>
    </xf>
    <xf numFmtId="211" fontId="50" fillId="9" borderId="11" xfId="0" applyNumberFormat="1" applyFont="1" applyFill="1" applyBorder="1" applyAlignment="1">
      <alignment horizontal="right"/>
    </xf>
    <xf numFmtId="10" fontId="42" fillId="0" borderId="0" xfId="2" applyNumberFormat="1" applyFont="1" applyAlignment="1"/>
    <xf numFmtId="43" fontId="42" fillId="0" borderId="0" xfId="0" applyNumberFormat="1" applyFont="1"/>
    <xf numFmtId="43" fontId="72" fillId="0" borderId="0" xfId="0" applyNumberFormat="1" applyFont="1"/>
    <xf numFmtId="43" fontId="50" fillId="13" borderId="0" xfId="1" applyFont="1" applyFill="1" applyAlignment="1">
      <alignment horizontal="right"/>
    </xf>
    <xf numFmtId="0" fontId="116" fillId="0" borderId="0" xfId="0" applyFont="1" applyAlignment="1">
      <alignment horizontal="right"/>
    </xf>
    <xf numFmtId="170" fontId="69" fillId="0" borderId="0" xfId="0" applyNumberFormat="1" applyFont="1"/>
    <xf numFmtId="0" fontId="117" fillId="30" borderId="0" xfId="0" applyFont="1" applyFill="1" applyAlignment="1">
      <alignment horizontal="left"/>
    </xf>
    <xf numFmtId="4" fontId="50" fillId="4" borderId="0" xfId="0" applyNumberFormat="1" applyFont="1" applyFill="1" applyAlignment="1">
      <alignment horizontal="right"/>
    </xf>
    <xf numFmtId="10" fontId="50" fillId="4" borderId="0" xfId="2" applyNumberFormat="1" applyFont="1" applyFill="1" applyAlignment="1">
      <alignment horizontal="right"/>
    </xf>
    <xf numFmtId="177" fontId="50" fillId="0" borderId="0" xfId="0" applyNumberFormat="1" applyFont="1"/>
    <xf numFmtId="0" fontId="118" fillId="0" borderId="0" xfId="3" applyFont="1"/>
    <xf numFmtId="185" fontId="42" fillId="0" borderId="0" xfId="0" applyNumberFormat="1" applyFont="1" applyAlignment="1">
      <alignment horizontal="right"/>
    </xf>
    <xf numFmtId="214" fontId="42" fillId="0" borderId="0" xfId="0" applyNumberFormat="1" applyFont="1" applyAlignment="1">
      <alignment horizontal="right"/>
    </xf>
    <xf numFmtId="205" fontId="69" fillId="0" borderId="0" xfId="2" applyNumberFormat="1" applyFont="1" applyAlignment="1">
      <alignment horizontal="right"/>
    </xf>
    <xf numFmtId="205" fontId="69" fillId="0" borderId="9" xfId="2" applyNumberFormat="1" applyFont="1" applyBorder="1" applyAlignment="1">
      <alignment horizontal="right"/>
    </xf>
    <xf numFmtId="170" fontId="50" fillId="0" borderId="11" xfId="0" applyNumberFormat="1" applyFont="1" applyBorder="1"/>
    <xf numFmtId="205" fontId="48" fillId="0" borderId="6" xfId="0" applyNumberFormat="1" applyFont="1" applyBorder="1"/>
    <xf numFmtId="170" fontId="50" fillId="0" borderId="12" xfId="0" applyNumberFormat="1" applyFont="1" applyBorder="1"/>
    <xf numFmtId="43" fontId="42" fillId="0" borderId="9" xfId="1" applyFont="1" applyBorder="1" applyAlignment="1">
      <alignment horizontal="right"/>
    </xf>
    <xf numFmtId="170" fontId="42" fillId="0" borderId="9" xfId="1" applyNumberFormat="1" applyFont="1" applyBorder="1" applyAlignment="1">
      <alignment horizontal="right"/>
    </xf>
    <xf numFmtId="43" fontId="42" fillId="0" borderId="0" xfId="1" applyFont="1" applyBorder="1" applyAlignment="1">
      <alignment horizontal="right"/>
    </xf>
    <xf numFmtId="170" fontId="42" fillId="0" borderId="0" xfId="1" applyNumberFormat="1" applyFont="1" applyBorder="1" applyAlignment="1">
      <alignment horizontal="right"/>
    </xf>
    <xf numFmtId="217" fontId="42" fillId="0" borderId="0" xfId="2" applyNumberFormat="1" applyFont="1" applyAlignment="1"/>
    <xf numFmtId="43" fontId="42" fillId="0" borderId="0" xfId="0" applyNumberFormat="1" applyFont="1" applyAlignment="1">
      <alignment horizontal="right"/>
    </xf>
    <xf numFmtId="218" fontId="42" fillId="0" borderId="0" xfId="0" applyNumberFormat="1" applyFont="1" applyAlignment="1">
      <alignment horizontal="right"/>
    </xf>
    <xf numFmtId="43" fontId="50" fillId="0" borderId="0" xfId="1" applyFont="1" applyAlignment="1">
      <alignment horizontal="right"/>
    </xf>
    <xf numFmtId="43" fontId="48" fillId="0" borderId="6" xfId="1" applyFont="1" applyBorder="1" applyAlignment="1">
      <alignment horizontal="right"/>
    </xf>
    <xf numFmtId="43" fontId="50" fillId="0" borderId="0" xfId="1" applyFont="1" applyBorder="1" applyAlignment="1">
      <alignment horizontal="right"/>
    </xf>
    <xf numFmtId="43" fontId="42" fillId="0" borderId="0" xfId="1" applyFont="1" applyAlignment="1">
      <alignment horizontal="right"/>
    </xf>
    <xf numFmtId="43" fontId="50" fillId="0" borderId="6" xfId="1" applyFont="1" applyBorder="1" applyAlignment="1">
      <alignment horizontal="right"/>
    </xf>
    <xf numFmtId="170" fontId="50" fillId="0" borderId="23" xfId="0" applyNumberFormat="1" applyFont="1" applyBorder="1"/>
    <xf numFmtId="205" fontId="66" fillId="0" borderId="0" xfId="0" applyNumberFormat="1" applyFont="1" applyAlignment="1">
      <alignment horizontal="center"/>
    </xf>
    <xf numFmtId="2" fontId="50" fillId="0" borderId="23" xfId="0" applyNumberFormat="1" applyFont="1" applyBorder="1"/>
    <xf numFmtId="2" fontId="56" fillId="0" borderId="23" xfId="0" applyNumberFormat="1" applyFont="1" applyBorder="1" applyAlignment="1">
      <alignment horizontal="right"/>
    </xf>
    <xf numFmtId="205" fontId="66" fillId="0" borderId="23" xfId="0" applyNumberFormat="1" applyFont="1" applyBorder="1" applyAlignment="1">
      <alignment horizontal="center"/>
    </xf>
    <xf numFmtId="2" fontId="50" fillId="0" borderId="37" xfId="0" applyNumberFormat="1" applyFont="1" applyBorder="1"/>
    <xf numFmtId="170" fontId="43" fillId="0" borderId="0" xfId="1" applyNumberFormat="1" applyFont="1"/>
    <xf numFmtId="170" fontId="42" fillId="0" borderId="0" xfId="1" applyNumberFormat="1" applyFont="1"/>
    <xf numFmtId="170" fontId="44" fillId="5" borderId="0" xfId="1" applyNumberFormat="1" applyFont="1" applyFill="1"/>
    <xf numFmtId="170" fontId="44" fillId="10" borderId="0" xfId="1" applyNumberFormat="1" applyFont="1" applyFill="1" applyAlignment="1">
      <alignment horizontal="center" vertical="center"/>
    </xf>
    <xf numFmtId="170" fontId="49" fillId="12" borderId="0" xfId="1" applyNumberFormat="1" applyFont="1" applyFill="1" applyAlignment="1">
      <alignment horizontal="center" vertical="center"/>
    </xf>
    <xf numFmtId="170" fontId="42" fillId="0" borderId="0" xfId="1" applyNumberFormat="1" applyFont="1" applyAlignment="1">
      <alignment horizontal="center" vertical="center"/>
    </xf>
    <xf numFmtId="170" fontId="45" fillId="12" borderId="0" xfId="1" applyNumberFormat="1" applyFont="1" applyFill="1"/>
    <xf numFmtId="170" fontId="42" fillId="0" borderId="0" xfId="1" applyNumberFormat="1" applyFont="1" applyAlignment="1">
      <alignment horizontal="left" indent="2"/>
    </xf>
    <xf numFmtId="170" fontId="42" fillId="0" borderId="0" xfId="1" applyNumberFormat="1" applyFont="1" applyFill="1"/>
    <xf numFmtId="170" fontId="43" fillId="0" borderId="22" xfId="1" applyNumberFormat="1" applyFont="1" applyBorder="1"/>
    <xf numFmtId="170" fontId="43" fillId="0" borderId="0" xfId="1" applyNumberFormat="1" applyFont="1" applyAlignment="1">
      <alignment horizontal="left" indent="1"/>
    </xf>
    <xf numFmtId="170" fontId="42" fillId="0" borderId="0" xfId="1" applyNumberFormat="1" applyFont="1" applyAlignment="1">
      <alignment horizontal="left" indent="3"/>
    </xf>
    <xf numFmtId="170" fontId="42" fillId="0" borderId="0" xfId="1" applyNumberFormat="1" applyFont="1" applyAlignment="1">
      <alignment horizontal="left" indent="4"/>
    </xf>
    <xf numFmtId="170" fontId="47" fillId="0" borderId="0" xfId="1" applyNumberFormat="1" applyFont="1"/>
    <xf numFmtId="170" fontId="43" fillId="0" borderId="46" xfId="1" applyNumberFormat="1" applyFont="1" applyBorder="1"/>
    <xf numFmtId="170" fontId="43" fillId="0" borderId="0" xfId="1" applyNumberFormat="1" applyFont="1" applyBorder="1"/>
    <xf numFmtId="170" fontId="70" fillId="0" borderId="23" xfId="1" applyNumberFormat="1" applyFont="1" applyBorder="1"/>
    <xf numFmtId="170" fontId="43" fillId="0" borderId="23" xfId="1" applyNumberFormat="1" applyFont="1" applyBorder="1"/>
    <xf numFmtId="170" fontId="42" fillId="0" borderId="23" xfId="1" applyNumberFormat="1" applyFont="1" applyFill="1" applyBorder="1"/>
    <xf numFmtId="170" fontId="72" fillId="0" borderId="0" xfId="1" applyNumberFormat="1" applyFont="1"/>
    <xf numFmtId="170" fontId="43" fillId="12" borderId="0" xfId="1" applyNumberFormat="1" applyFont="1" applyFill="1"/>
    <xf numFmtId="170" fontId="42" fillId="2" borderId="0" xfId="1" applyNumberFormat="1" applyFont="1" applyFill="1"/>
    <xf numFmtId="170" fontId="69" fillId="0" borderId="0" xfId="1" applyNumberFormat="1" applyFont="1" applyAlignment="1">
      <alignment horizontal="right"/>
    </xf>
    <xf numFmtId="170" fontId="42" fillId="0" borderId="0" xfId="1" applyNumberFormat="1" applyFont="1" applyAlignment="1">
      <alignment horizontal="right"/>
    </xf>
    <xf numFmtId="170" fontId="69" fillId="0" borderId="0" xfId="1" applyNumberFormat="1" applyFont="1" applyFill="1" applyAlignment="1">
      <alignment horizontal="right" vertical="center"/>
    </xf>
    <xf numFmtId="170" fontId="42" fillId="0" borderId="0" xfId="1" applyNumberFormat="1" applyFont="1" applyFill="1" applyAlignment="1">
      <alignment horizontal="right" vertical="center"/>
    </xf>
    <xf numFmtId="170" fontId="42" fillId="0" borderId="0" xfId="1" applyNumberFormat="1" applyFont="1" applyAlignment="1">
      <alignment horizontal="left" indent="1"/>
    </xf>
    <xf numFmtId="170" fontId="72" fillId="0" borderId="0" xfId="1" applyNumberFormat="1" applyFont="1" applyFill="1" applyAlignment="1">
      <alignment horizontal="right" vertical="center"/>
    </xf>
    <xf numFmtId="170" fontId="43" fillId="0" borderId="22" xfId="1" applyNumberFormat="1" applyFont="1" applyBorder="1" applyAlignment="1">
      <alignment horizontal="right"/>
    </xf>
    <xf numFmtId="170" fontId="52" fillId="0" borderId="0" xfId="1" applyNumberFormat="1" applyFont="1" applyAlignment="1">
      <alignment horizontal="left" indent="3"/>
    </xf>
    <xf numFmtId="170" fontId="43" fillId="0" borderId="0" xfId="1" applyNumberFormat="1" applyFont="1" applyAlignment="1">
      <alignment horizontal="right"/>
    </xf>
    <xf numFmtId="170" fontId="43" fillId="0" borderId="23" xfId="1" applyNumberFormat="1" applyFont="1" applyBorder="1" applyAlignment="1">
      <alignment horizontal="right"/>
    </xf>
    <xf numFmtId="170" fontId="43" fillId="0" borderId="48" xfId="1" applyNumberFormat="1" applyFont="1" applyBorder="1"/>
    <xf numFmtId="170" fontId="43" fillId="0" borderId="48" xfId="1" applyNumberFormat="1" applyFont="1" applyBorder="1" applyAlignment="1">
      <alignment horizontal="right"/>
    </xf>
    <xf numFmtId="170" fontId="72" fillId="0" borderId="0" xfId="1" applyNumberFormat="1" applyFont="1" applyAlignment="1">
      <alignment horizontal="right"/>
    </xf>
    <xf numFmtId="170" fontId="43" fillId="0" borderId="0" xfId="1" applyNumberFormat="1" applyFont="1" applyAlignment="1">
      <alignment horizontal="left" indent="2"/>
    </xf>
    <xf numFmtId="170" fontId="43" fillId="0" borderId="22" xfId="1" applyNumberFormat="1" applyFont="1" applyBorder="1" applyAlignment="1">
      <alignment horizontal="left"/>
    </xf>
    <xf numFmtId="170" fontId="43" fillId="0" borderId="0" xfId="1" applyNumberFormat="1" applyFont="1" applyAlignment="1">
      <alignment horizontal="left"/>
    </xf>
    <xf numFmtId="170" fontId="72" fillId="0" borderId="22" xfId="1" applyNumberFormat="1" applyFont="1" applyBorder="1" applyAlignment="1">
      <alignment horizontal="right"/>
    </xf>
    <xf numFmtId="170" fontId="72" fillId="0" borderId="46" xfId="1" applyNumberFormat="1" applyFont="1" applyBorder="1" applyAlignment="1">
      <alignment horizontal="right"/>
    </xf>
    <xf numFmtId="170" fontId="42" fillId="0" borderId="22" xfId="1" applyNumberFormat="1" applyFont="1" applyBorder="1"/>
    <xf numFmtId="170" fontId="0" fillId="0" borderId="0" xfId="1" applyNumberFormat="1" applyFont="1"/>
    <xf numFmtId="170" fontId="50" fillId="0" borderId="0" xfId="1" applyNumberFormat="1" applyFont="1"/>
    <xf numFmtId="170" fontId="69" fillId="0" borderId="0" xfId="1" applyNumberFormat="1" applyFont="1" applyAlignment="1">
      <alignment horizontal="left" indent="2"/>
    </xf>
    <xf numFmtId="170" fontId="69" fillId="0" borderId="0" xfId="1" applyNumberFormat="1" applyFont="1"/>
    <xf numFmtId="170" fontId="72" fillId="0" borderId="0" xfId="1" applyNumberFormat="1" applyFont="1" applyAlignment="1">
      <alignment horizontal="left" indent="1"/>
    </xf>
    <xf numFmtId="170" fontId="73" fillId="0" borderId="0" xfId="1" applyNumberFormat="1" applyFont="1" applyAlignment="1">
      <alignment vertical="center"/>
    </xf>
    <xf numFmtId="180" fontId="109" fillId="0" borderId="0" xfId="0" applyNumberFormat="1" applyFont="1"/>
    <xf numFmtId="185" fontId="47" fillId="0" borderId="0" xfId="7" applyNumberFormat="1" applyFont="1" applyAlignment="1">
      <alignment horizontal="right"/>
    </xf>
    <xf numFmtId="2" fontId="50" fillId="6" borderId="2" xfId="1" applyNumberFormat="1" applyFont="1" applyFill="1" applyBorder="1" applyAlignment="1">
      <alignment horizontal="center"/>
    </xf>
    <xf numFmtId="2" fontId="42" fillId="13" borderId="0" xfId="0" applyNumberFormat="1" applyFont="1" applyFill="1" applyAlignment="1">
      <alignment horizontal="center"/>
    </xf>
    <xf numFmtId="0" fontId="48" fillId="0" borderId="0" xfId="0" applyFont="1" applyAlignment="1">
      <alignment horizontal="center" vertical="center"/>
    </xf>
    <xf numFmtId="0" fontId="126" fillId="2" borderId="37" xfId="0" applyFont="1" applyFill="1" applyBorder="1"/>
    <xf numFmtId="10" fontId="42" fillId="0" borderId="0" xfId="2" applyNumberFormat="1" applyFont="1" applyFill="1"/>
    <xf numFmtId="43" fontId="50" fillId="13" borderId="0" xfId="1" applyFont="1" applyFill="1" applyAlignment="1">
      <alignment horizontal="center" vertical="center"/>
    </xf>
    <xf numFmtId="0" fontId="43" fillId="0" borderId="38" xfId="0" applyFont="1" applyBorder="1"/>
    <xf numFmtId="0" fontId="126" fillId="2" borderId="24" xfId="0" applyFont="1" applyFill="1" applyBorder="1" applyAlignment="1">
      <alignment horizontal="right"/>
    </xf>
    <xf numFmtId="0" fontId="43" fillId="0" borderId="0" xfId="0" applyFont="1" applyAlignment="1">
      <alignment horizontal="center"/>
    </xf>
    <xf numFmtId="0" fontId="123" fillId="0" borderId="0" xfId="20" applyFont="1"/>
    <xf numFmtId="0" fontId="124" fillId="0" borderId="0" xfId="20" applyFont="1"/>
    <xf numFmtId="0" fontId="115" fillId="0" borderId="0" xfId="20" applyFont="1"/>
    <xf numFmtId="37" fontId="115" fillId="0" borderId="0" xfId="20" applyNumberFormat="1" applyFont="1"/>
    <xf numFmtId="0" fontId="125" fillId="2" borderId="45" xfId="20" applyFont="1" applyFill="1" applyBorder="1" applyAlignment="1">
      <alignment horizontal="center" vertical="center" wrapText="1"/>
    </xf>
    <xf numFmtId="0" fontId="65" fillId="0" borderId="44" xfId="20" applyFont="1" applyBorder="1" applyAlignment="1">
      <alignment horizontal="center" vertical="center"/>
    </xf>
    <xf numFmtId="0" fontId="115" fillId="0" borderId="0" xfId="20" applyFont="1" applyAlignment="1">
      <alignment vertical="center"/>
    </xf>
    <xf numFmtId="0" fontId="65" fillId="0" borderId="0" xfId="20" applyFont="1"/>
    <xf numFmtId="2" fontId="123" fillId="0" borderId="0" xfId="20" applyNumberFormat="1" applyFont="1" applyAlignment="1">
      <alignment vertical="center"/>
    </xf>
    <xf numFmtId="10" fontId="115" fillId="0" borderId="0" xfId="2" applyNumberFormat="1" applyFont="1" applyAlignment="1">
      <alignment vertical="center"/>
    </xf>
    <xf numFmtId="219" fontId="115" fillId="0" borderId="0" xfId="2" applyNumberFormat="1" applyFont="1" applyAlignment="1">
      <alignment vertical="center"/>
    </xf>
    <xf numFmtId="0" fontId="127" fillId="0" borderId="0" xfId="20" applyFont="1" applyAlignment="1">
      <alignment vertical="center"/>
    </xf>
    <xf numFmtId="219" fontId="42" fillId="0" borderId="0" xfId="0" applyNumberFormat="1" applyFont="1" applyAlignment="1">
      <alignment horizontal="right"/>
    </xf>
    <xf numFmtId="10" fontId="48" fillId="23" borderId="0" xfId="0" applyNumberFormat="1" applyFont="1" applyFill="1"/>
    <xf numFmtId="10" fontId="48" fillId="26" borderId="0" xfId="0" applyNumberFormat="1" applyFont="1" applyFill="1"/>
    <xf numFmtId="2" fontId="76" fillId="2" borderId="6" xfId="0" applyNumberFormat="1" applyFont="1" applyFill="1" applyBorder="1"/>
    <xf numFmtId="10" fontId="115" fillId="0" borderId="0" xfId="2" applyNumberFormat="1" applyFont="1"/>
    <xf numFmtId="0" fontId="65" fillId="0" borderId="0" xfId="20" applyFont="1" applyAlignment="1">
      <alignment horizontal="center" vertical="center"/>
    </xf>
    <xf numFmtId="0" fontId="125" fillId="0" borderId="0" xfId="20" applyFont="1" applyAlignment="1">
      <alignment horizontal="center" vertical="center" wrapText="1"/>
    </xf>
    <xf numFmtId="178" fontId="50" fillId="0" borderId="0" xfId="2" applyNumberFormat="1" applyFont="1"/>
    <xf numFmtId="182" fontId="50" fillId="0" borderId="0" xfId="2" applyNumberFormat="1" applyFont="1"/>
    <xf numFmtId="0" fontId="50" fillId="0" borderId="8" xfId="0" applyFont="1" applyBorder="1" applyAlignment="1">
      <alignment horizontal="center"/>
    </xf>
    <xf numFmtId="207" fontId="50" fillId="0" borderId="0" xfId="1" applyNumberFormat="1" applyFont="1"/>
    <xf numFmtId="0" fontId="48" fillId="0" borderId="9" xfId="0" applyFont="1" applyBorder="1" applyAlignment="1">
      <alignment horizontal="center" vertical="center"/>
    </xf>
    <xf numFmtId="0" fontId="48" fillId="0" borderId="10" xfId="0" applyFont="1" applyBorder="1" applyAlignment="1">
      <alignment vertical="center"/>
    </xf>
    <xf numFmtId="0" fontId="48" fillId="0" borderId="11" xfId="0" applyFont="1" applyBorder="1" applyAlignment="1">
      <alignment vertical="center"/>
    </xf>
    <xf numFmtId="0" fontId="48" fillId="0" borderId="12" xfId="0" applyFont="1" applyBorder="1" applyAlignment="1">
      <alignment vertical="center"/>
    </xf>
    <xf numFmtId="0" fontId="48" fillId="0" borderId="0" xfId="0" applyFont="1" applyAlignment="1">
      <alignment vertical="center"/>
    </xf>
    <xf numFmtId="184" fontId="50" fillId="0" borderId="0" xfId="1" applyNumberFormat="1" applyFont="1"/>
    <xf numFmtId="0" fontId="50" fillId="7" borderId="0" xfId="0" applyFont="1" applyFill="1"/>
    <xf numFmtId="220" fontId="43" fillId="0" borderId="0" xfId="1" applyNumberFormat="1" applyFont="1"/>
    <xf numFmtId="220" fontId="43" fillId="0" borderId="0" xfId="1" applyNumberFormat="1" applyFont="1" applyAlignment="1">
      <alignment horizontal="center" vertical="center"/>
    </xf>
    <xf numFmtId="0" fontId="65" fillId="2" borderId="0" xfId="0" applyFont="1" applyFill="1"/>
    <xf numFmtId="10" fontId="65" fillId="0" borderId="0" xfId="2" applyNumberFormat="1" applyFont="1" applyFill="1" applyBorder="1"/>
    <xf numFmtId="0" fontId="76" fillId="0" borderId="0" xfId="0" applyFont="1" applyAlignment="1">
      <alignment vertical="center" wrapText="1"/>
    </xf>
    <xf numFmtId="0" fontId="76" fillId="0" borderId="0" xfId="0" applyFont="1" applyAlignment="1">
      <alignment vertical="center"/>
    </xf>
    <xf numFmtId="44" fontId="66" fillId="23" borderId="40" xfId="0" applyNumberFormat="1" applyFont="1" applyFill="1" applyBorder="1"/>
    <xf numFmtId="10" fontId="65" fillId="23" borderId="44" xfId="2" applyNumberFormat="1" applyFont="1" applyFill="1" applyBorder="1" applyAlignment="1"/>
    <xf numFmtId="10" fontId="65" fillId="23" borderId="36" xfId="2" applyNumberFormat="1" applyFont="1" applyFill="1" applyBorder="1" applyAlignment="1"/>
    <xf numFmtId="10" fontId="66" fillId="23" borderId="36" xfId="2" applyNumberFormat="1" applyFont="1" applyFill="1" applyBorder="1" applyAlignment="1"/>
    <xf numFmtId="10" fontId="65" fillId="23" borderId="45" xfId="2" applyNumberFormat="1" applyFont="1" applyFill="1" applyBorder="1" applyAlignment="1"/>
    <xf numFmtId="10" fontId="65" fillId="23" borderId="42" xfId="2" applyNumberFormat="1" applyFont="1" applyFill="1" applyBorder="1" applyAlignment="1"/>
    <xf numFmtId="10" fontId="65" fillId="23" borderId="43" xfId="2" applyNumberFormat="1" applyFont="1" applyFill="1" applyBorder="1" applyAlignment="1"/>
    <xf numFmtId="10" fontId="66" fillId="23" borderId="43" xfId="2" applyNumberFormat="1" applyFont="1" applyFill="1" applyBorder="1" applyAlignment="1"/>
    <xf numFmtId="2" fontId="66" fillId="0" borderId="0" xfId="0" applyNumberFormat="1" applyFont="1"/>
    <xf numFmtId="44" fontId="66" fillId="0" borderId="0" xfId="0" applyNumberFormat="1" applyFont="1"/>
    <xf numFmtId="10" fontId="66" fillId="0" borderId="0" xfId="2" applyNumberFormat="1" applyFont="1" applyFill="1" applyBorder="1"/>
    <xf numFmtId="10" fontId="48" fillId="0" borderId="0" xfId="2" applyNumberFormat="1" applyFont="1"/>
    <xf numFmtId="17" fontId="43" fillId="0" borderId="0" xfId="0" applyNumberFormat="1" applyFont="1" applyAlignment="1">
      <alignment horizontal="center"/>
    </xf>
    <xf numFmtId="170" fontId="42" fillId="0" borderId="46" xfId="9" applyNumberFormat="1" applyFont="1" applyBorder="1" applyAlignment="1">
      <alignment horizontal="left" indent="2"/>
    </xf>
    <xf numFmtId="170" fontId="42" fillId="0" borderId="0" xfId="9" applyNumberFormat="1" applyFont="1" applyBorder="1" applyAlignment="1">
      <alignment horizontal="left" indent="2"/>
    </xf>
    <xf numFmtId="170" fontId="42" fillId="0" borderId="47" xfId="0" applyNumberFormat="1" applyFont="1" applyBorder="1"/>
    <xf numFmtId="168" fontId="50" fillId="0" borderId="0" xfId="0" applyNumberFormat="1" applyFont="1"/>
    <xf numFmtId="2" fontId="50" fillId="0" borderId="0" xfId="0" applyNumberFormat="1" applyFont="1" applyAlignment="1">
      <alignment horizontal="center"/>
    </xf>
    <xf numFmtId="10" fontId="50" fillId="0" borderId="0" xfId="2" applyNumberFormat="1" applyFont="1" applyAlignment="1">
      <alignment horizontal="center"/>
    </xf>
    <xf numFmtId="0" fontId="50" fillId="32" borderId="0" xfId="0" applyFont="1" applyFill="1"/>
    <xf numFmtId="0" fontId="50" fillId="33" borderId="0" xfId="0" applyFont="1" applyFill="1"/>
    <xf numFmtId="0" fontId="50" fillId="34" borderId="0" xfId="0" applyFont="1" applyFill="1"/>
    <xf numFmtId="0" fontId="128" fillId="0" borderId="0" xfId="0" applyFont="1" applyAlignment="1">
      <alignment horizontal="center" vertical="center"/>
    </xf>
    <xf numFmtId="0" fontId="6" fillId="0" borderId="0" xfId="3"/>
    <xf numFmtId="43" fontId="48" fillId="13" borderId="0" xfId="1" applyFont="1" applyFill="1" applyAlignment="1">
      <alignment horizontal="right"/>
    </xf>
    <xf numFmtId="2" fontId="42" fillId="29" borderId="0" xfId="8" applyFont="1" applyFill="1" applyAlignment="1">
      <alignment horizontal="right"/>
    </xf>
    <xf numFmtId="43" fontId="50" fillId="0" borderId="0" xfId="0" applyNumberFormat="1" applyFont="1" applyAlignment="1">
      <alignment horizontal="right"/>
    </xf>
    <xf numFmtId="205" fontId="50" fillId="9" borderId="0" xfId="2" applyNumberFormat="1" applyFont="1" applyFill="1" applyAlignment="1">
      <alignment horizontal="right"/>
    </xf>
    <xf numFmtId="205" fontId="50" fillId="9" borderId="0" xfId="0" applyNumberFormat="1" applyFont="1" applyFill="1" applyAlignment="1">
      <alignment horizontal="right"/>
    </xf>
    <xf numFmtId="0" fontId="48" fillId="9" borderId="0" xfId="0" applyFont="1" applyFill="1"/>
    <xf numFmtId="167" fontId="50" fillId="9" borderId="0" xfId="0" applyNumberFormat="1" applyFont="1" applyFill="1"/>
    <xf numFmtId="43" fontId="50" fillId="9" borderId="0" xfId="0" applyNumberFormat="1" applyFont="1" applyFill="1"/>
    <xf numFmtId="169" fontId="78" fillId="9" borderId="0" xfId="0" applyNumberFormat="1" applyFont="1" applyFill="1"/>
    <xf numFmtId="171" fontId="50" fillId="9" borderId="0" xfId="0" applyNumberFormat="1" applyFont="1" applyFill="1"/>
    <xf numFmtId="169" fontId="50" fillId="9" borderId="0" xfId="0" applyNumberFormat="1" applyFont="1" applyFill="1"/>
    <xf numFmtId="170" fontId="50" fillId="9" borderId="0" xfId="0" applyNumberFormat="1" applyFont="1" applyFill="1"/>
    <xf numFmtId="43" fontId="48" fillId="9" borderId="0" xfId="0" applyNumberFormat="1" applyFont="1" applyFill="1"/>
    <xf numFmtId="219" fontId="50" fillId="9" borderId="0" xfId="0" applyNumberFormat="1" applyFont="1" applyFill="1"/>
    <xf numFmtId="0" fontId="48" fillId="6" borderId="0" xfId="0" applyFont="1" applyFill="1"/>
    <xf numFmtId="171" fontId="50" fillId="0" borderId="0" xfId="0" applyNumberFormat="1" applyFont="1"/>
    <xf numFmtId="17" fontId="43" fillId="0" borderId="0" xfId="0" quotePrefix="1" applyNumberFormat="1" applyFont="1" applyAlignment="1">
      <alignment horizontal="center"/>
    </xf>
    <xf numFmtId="17" fontId="43" fillId="0" borderId="0" xfId="0" quotePrefix="1" applyNumberFormat="1" applyFont="1" applyAlignment="1">
      <alignment horizontal="center" vertical="center"/>
    </xf>
    <xf numFmtId="215" fontId="48" fillId="0" borderId="0" xfId="5" applyNumberFormat="1" applyFont="1"/>
    <xf numFmtId="215" fontId="48" fillId="0" borderId="0" xfId="0" applyNumberFormat="1" applyFont="1"/>
    <xf numFmtId="0" fontId="50" fillId="23" borderId="50" xfId="0" applyFont="1" applyFill="1" applyBorder="1"/>
    <xf numFmtId="0" fontId="48" fillId="23" borderId="49" xfId="0" applyFont="1" applyFill="1" applyBorder="1"/>
    <xf numFmtId="0" fontId="48" fillId="23" borderId="51" xfId="0" applyFont="1" applyFill="1" applyBorder="1"/>
    <xf numFmtId="186" fontId="50" fillId="9" borderId="0" xfId="2" applyNumberFormat="1" applyFont="1" applyFill="1" applyAlignment="1">
      <alignment horizontal="right"/>
    </xf>
    <xf numFmtId="0" fontId="48" fillId="23" borderId="2" xfId="0" applyFont="1" applyFill="1" applyBorder="1" applyAlignment="1">
      <alignment horizontal="center"/>
    </xf>
    <xf numFmtId="9" fontId="48" fillId="0" borderId="53" xfId="0" applyNumberFormat="1" applyFont="1" applyBorder="1" applyAlignment="1">
      <alignment horizontal="center"/>
    </xf>
    <xf numFmtId="215" fontId="48" fillId="0" borderId="0" xfId="0" applyNumberFormat="1" applyFont="1" applyAlignment="1">
      <alignment horizontal="center"/>
    </xf>
    <xf numFmtId="9" fontId="48" fillId="0" borderId="54" xfId="0" applyNumberFormat="1" applyFont="1" applyBorder="1" applyAlignment="1">
      <alignment horizontal="center"/>
    </xf>
    <xf numFmtId="0" fontId="48" fillId="0" borderId="52" xfId="0" applyFont="1" applyBorder="1" applyAlignment="1">
      <alignment horizontal="center"/>
    </xf>
    <xf numFmtId="0" fontId="48" fillId="23" borderId="56" xfId="0" applyFont="1" applyFill="1" applyBorder="1"/>
    <xf numFmtId="0" fontId="48" fillId="0" borderId="57" xfId="0" applyFont="1" applyBorder="1" applyAlignment="1">
      <alignment horizontal="center"/>
    </xf>
    <xf numFmtId="215" fontId="48" fillId="0" borderId="55" xfId="0" applyNumberFormat="1" applyFont="1" applyBorder="1" applyAlignment="1">
      <alignment horizontal="center"/>
    </xf>
    <xf numFmtId="186" fontId="48" fillId="0" borderId="4" xfId="2" applyNumberFormat="1" applyFont="1" applyBorder="1" applyAlignment="1">
      <alignment horizontal="center"/>
    </xf>
    <xf numFmtId="0" fontId="129" fillId="0" borderId="0" xfId="0" applyFont="1"/>
    <xf numFmtId="10" fontId="48" fillId="23" borderId="3" xfId="2" applyNumberFormat="1" applyFont="1" applyFill="1" applyBorder="1"/>
    <xf numFmtId="2" fontId="66" fillId="0" borderId="40" xfId="0" applyNumberFormat="1" applyFont="1" applyBorder="1"/>
    <xf numFmtId="2" fontId="65" fillId="0" borderId="5" xfId="0" applyNumberFormat="1" applyFont="1" applyBorder="1"/>
    <xf numFmtId="2" fontId="65" fillId="0" borderId="6" xfId="0" applyNumberFormat="1" applyFont="1" applyBorder="1"/>
    <xf numFmtId="2" fontId="65" fillId="0" borderId="7" xfId="0" applyNumberFormat="1" applyFont="1" applyBorder="1"/>
    <xf numFmtId="2" fontId="65" fillId="0" borderId="8" xfId="0" applyNumberFormat="1" applyFont="1" applyBorder="1"/>
    <xf numFmtId="2" fontId="65" fillId="0" borderId="9" xfId="0" applyNumberFormat="1" applyFont="1" applyBorder="1"/>
    <xf numFmtId="2" fontId="65" fillId="0" borderId="10" xfId="0" applyNumberFormat="1" applyFont="1" applyBorder="1"/>
    <xf numFmtId="2" fontId="65" fillId="0" borderId="11" xfId="0" applyNumberFormat="1" applyFont="1" applyBorder="1"/>
    <xf numFmtId="2" fontId="65" fillId="0" borderId="12" xfId="0" applyNumberFormat="1" applyFont="1" applyBorder="1"/>
    <xf numFmtId="10" fontId="65" fillId="23" borderId="58" xfId="2" applyNumberFormat="1" applyFont="1" applyFill="1" applyBorder="1"/>
    <xf numFmtId="0" fontId="0" fillId="0" borderId="0" xfId="0" quotePrefix="1"/>
    <xf numFmtId="0" fontId="130" fillId="0" borderId="0" xfId="0" applyFont="1"/>
    <xf numFmtId="0" fontId="2" fillId="35" borderId="0" xfId="0" applyFont="1" applyFill="1"/>
    <xf numFmtId="0" fontId="4" fillId="36" borderId="0" xfId="0" applyFont="1" applyFill="1"/>
    <xf numFmtId="0" fontId="4" fillId="23" borderId="0" xfId="0" applyFont="1" applyFill="1"/>
    <xf numFmtId="0" fontId="62" fillId="23" borderId="0" xfId="0" applyFont="1" applyFill="1" applyAlignment="1">
      <alignment readingOrder="1"/>
    </xf>
    <xf numFmtId="0" fontId="62" fillId="0" borderId="0" xfId="0" applyFont="1" applyAlignment="1">
      <alignment readingOrder="1"/>
    </xf>
    <xf numFmtId="0" fontId="97" fillId="0" borderId="0" xfId="0" applyFont="1"/>
    <xf numFmtId="0" fontId="83" fillId="2" borderId="0" xfId="0" applyFont="1" applyFill="1" applyAlignment="1">
      <alignment readingOrder="1"/>
    </xf>
    <xf numFmtId="0" fontId="76" fillId="2" borderId="6" xfId="0" applyFont="1" applyFill="1" applyBorder="1" applyAlignment="1">
      <alignment horizontal="center" vertical="center"/>
    </xf>
    <xf numFmtId="0" fontId="48" fillId="6" borderId="2" xfId="0" applyFont="1" applyFill="1" applyBorder="1"/>
    <xf numFmtId="0" fontId="48" fillId="6" borderId="3" xfId="0" applyFont="1" applyFill="1" applyBorder="1"/>
    <xf numFmtId="0" fontId="48" fillId="6" borderId="20" xfId="0" applyFont="1" applyFill="1" applyBorder="1"/>
    <xf numFmtId="1" fontId="50" fillId="0" borderId="0" xfId="0" applyNumberFormat="1" applyFont="1"/>
    <xf numFmtId="172" fontId="50" fillId="0" borderId="0" xfId="0" applyNumberFormat="1" applyFont="1"/>
    <xf numFmtId="10" fontId="43" fillId="0" borderId="0" xfId="2" applyNumberFormat="1" applyFont="1" applyAlignment="1">
      <alignment horizontal="center" vertical="center"/>
    </xf>
    <xf numFmtId="0" fontId="43" fillId="5" borderId="0" xfId="0" applyFont="1" applyFill="1" applyAlignment="1">
      <alignment horizontal="left"/>
    </xf>
    <xf numFmtId="0" fontId="42" fillId="0" borderId="0" xfId="0" applyFont="1"/>
    <xf numFmtId="0" fontId="75" fillId="2" borderId="0" xfId="0" applyFont="1" applyFill="1"/>
    <xf numFmtId="43" fontId="42" fillId="0" borderId="0" xfId="0" applyNumberFormat="1" applyFont="1" applyAlignment="1">
      <alignment horizontal="left" vertical="top"/>
    </xf>
    <xf numFmtId="0" fontId="42" fillId="0" borderId="0" xfId="0" applyFont="1" applyAlignment="1">
      <alignment horizontal="left" vertical="top"/>
    </xf>
    <xf numFmtId="10" fontId="43" fillId="0" borderId="0" xfId="0" applyNumberFormat="1" applyFont="1"/>
    <xf numFmtId="0" fontId="43" fillId="0" borderId="0" xfId="0" applyFont="1"/>
    <xf numFmtId="10" fontId="42" fillId="0" borderId="0" xfId="0" applyNumberFormat="1" applyFont="1"/>
    <xf numFmtId="174" fontId="42" fillId="0" borderId="0" xfId="0" applyNumberFormat="1" applyFont="1"/>
    <xf numFmtId="0" fontId="48" fillId="0" borderId="0" xfId="0" applyFont="1" applyAlignment="1">
      <alignment horizontal="center"/>
    </xf>
    <xf numFmtId="0" fontId="66" fillId="5" borderId="0" xfId="0" applyFont="1" applyFill="1"/>
    <xf numFmtId="0" fontId="76" fillId="2" borderId="0" xfId="0" applyFont="1" applyFill="1"/>
    <xf numFmtId="0" fontId="76" fillId="2" borderId="15" xfId="0" applyFont="1" applyFill="1" applyBorder="1" applyAlignment="1">
      <alignment horizontal="center"/>
    </xf>
    <xf numFmtId="0" fontId="76" fillId="2" borderId="16" xfId="0" applyFont="1" applyFill="1" applyBorder="1" applyAlignment="1">
      <alignment horizontal="center"/>
    </xf>
    <xf numFmtId="0" fontId="66" fillId="5" borderId="0" xfId="0" applyFont="1" applyFill="1" applyAlignment="1">
      <alignment horizontal="left"/>
    </xf>
    <xf numFmtId="0" fontId="56" fillId="0" borderId="0" xfId="0" applyFont="1" applyAlignment="1">
      <alignment horizontal="left" vertical="center"/>
    </xf>
    <xf numFmtId="0" fontId="76" fillId="2" borderId="0" xfId="0" applyFont="1" applyFill="1" applyAlignment="1">
      <alignment horizontal="center" vertical="center"/>
    </xf>
    <xf numFmtId="169" fontId="50" fillId="9" borderId="0" xfId="0" applyNumberFormat="1" applyFont="1" applyFill="1" applyAlignment="1">
      <alignment horizontal="center"/>
    </xf>
    <xf numFmtId="0" fontId="76" fillId="0" borderId="0" xfId="0" applyFont="1" applyAlignment="1">
      <alignment horizontal="center"/>
    </xf>
    <xf numFmtId="169" fontId="48" fillId="9" borderId="0" xfId="0" applyNumberFormat="1" applyFont="1" applyFill="1" applyAlignment="1">
      <alignment horizontal="center"/>
    </xf>
    <xf numFmtId="0" fontId="76" fillId="2" borderId="5" xfId="0" applyFont="1" applyFill="1" applyBorder="1" applyAlignment="1">
      <alignment horizontal="center"/>
    </xf>
    <xf numFmtId="0" fontId="76" fillId="2" borderId="6" xfId="0" applyFont="1" applyFill="1" applyBorder="1" applyAlignment="1">
      <alignment horizontal="center"/>
    </xf>
    <xf numFmtId="0" fontId="76" fillId="2" borderId="7" xfId="0" applyFont="1" applyFill="1" applyBorder="1" applyAlignment="1">
      <alignment horizontal="center"/>
    </xf>
    <xf numFmtId="8" fontId="50" fillId="5" borderId="0" xfId="0" applyNumberFormat="1" applyFont="1" applyFill="1" applyAlignment="1">
      <alignment horizontal="center"/>
    </xf>
    <xf numFmtId="0" fontId="50" fillId="5" borderId="0" xfId="0" applyFont="1" applyFill="1" applyAlignment="1">
      <alignment horizontal="center"/>
    </xf>
    <xf numFmtId="0" fontId="50" fillId="5" borderId="8" xfId="0" applyFont="1" applyFill="1" applyBorder="1" applyAlignment="1">
      <alignment horizontal="center"/>
    </xf>
    <xf numFmtId="0" fontId="50" fillId="0" borderId="8" xfId="0" applyFont="1" applyBorder="1" applyAlignment="1">
      <alignment horizontal="center"/>
    </xf>
    <xf numFmtId="0" fontId="50" fillId="0" borderId="0" xfId="0" applyFont="1" applyAlignment="1">
      <alignment horizontal="center"/>
    </xf>
    <xf numFmtId="0" fontId="76" fillId="2" borderId="8" xfId="0" applyFont="1" applyFill="1" applyBorder="1" applyAlignment="1">
      <alignment horizontal="center" vertical="center"/>
    </xf>
    <xf numFmtId="0" fontId="76" fillId="2" borderId="9" xfId="0" applyFont="1" applyFill="1" applyBorder="1" applyAlignment="1">
      <alignment horizontal="center" vertical="center"/>
    </xf>
    <xf numFmtId="8" fontId="48" fillId="8" borderId="0" xfId="0" applyNumberFormat="1" applyFont="1" applyFill="1" applyAlignment="1">
      <alignment horizontal="center"/>
    </xf>
    <xf numFmtId="0" fontId="48" fillId="8" borderId="0" xfId="0" applyFont="1" applyFill="1" applyAlignment="1">
      <alignment horizontal="center"/>
    </xf>
    <xf numFmtId="0" fontId="57" fillId="0" borderId="8" xfId="0" applyFont="1" applyBorder="1" applyAlignment="1">
      <alignment horizontal="center" vertical="center"/>
    </xf>
    <xf numFmtId="0" fontId="57" fillId="0" borderId="0" xfId="0" applyFont="1" applyAlignment="1">
      <alignment horizontal="center" vertical="center"/>
    </xf>
    <xf numFmtId="0" fontId="57" fillId="0" borderId="9" xfId="0" applyFont="1" applyBorder="1" applyAlignment="1">
      <alignment horizontal="center" vertical="center"/>
    </xf>
    <xf numFmtId="0" fontId="50" fillId="0" borderId="9" xfId="0" applyFont="1" applyBorder="1" applyAlignment="1">
      <alignment horizontal="center"/>
    </xf>
    <xf numFmtId="8" fontId="50" fillId="0" borderId="0" xfId="0" applyNumberFormat="1" applyFont="1" applyAlignment="1">
      <alignment horizontal="center"/>
    </xf>
    <xf numFmtId="0" fontId="50" fillId="5" borderId="9" xfId="0" applyFont="1" applyFill="1" applyBorder="1" applyAlignment="1">
      <alignment horizontal="center"/>
    </xf>
    <xf numFmtId="0" fontId="48" fillId="8" borderId="9" xfId="0" applyFont="1" applyFill="1" applyBorder="1" applyAlignment="1">
      <alignment horizontal="center"/>
    </xf>
    <xf numFmtId="0" fontId="128" fillId="0" borderId="8" xfId="0" applyFont="1" applyBorder="1" applyAlignment="1">
      <alignment horizontal="right" vertical="center"/>
    </xf>
    <xf numFmtId="0" fontId="128" fillId="0" borderId="0" xfId="0" applyFont="1" applyAlignment="1">
      <alignment horizontal="right" vertical="center"/>
    </xf>
    <xf numFmtId="7" fontId="128" fillId="0" borderId="0" xfId="5" applyNumberFormat="1" applyFont="1" applyAlignment="1">
      <alignment horizontal="left" vertical="center"/>
    </xf>
    <xf numFmtId="7" fontId="128" fillId="0" borderId="9" xfId="5" applyNumberFormat="1" applyFont="1" applyBorder="1" applyAlignment="1">
      <alignment horizontal="left" vertical="center"/>
    </xf>
    <xf numFmtId="0" fontId="48" fillId="8" borderId="8" xfId="0" applyFont="1" applyFill="1" applyBorder="1" applyAlignment="1">
      <alignment horizontal="center"/>
    </xf>
    <xf numFmtId="0" fontId="76" fillId="2" borderId="59" xfId="0" applyFont="1" applyFill="1" applyBorder="1" applyAlignment="1">
      <alignment horizontal="center" vertical="center" wrapText="1"/>
    </xf>
    <xf numFmtId="0" fontId="76" fillId="2" borderId="60" xfId="0" applyFont="1" applyFill="1" applyBorder="1" applyAlignment="1">
      <alignment horizontal="center" vertical="center" wrapText="1"/>
    </xf>
    <xf numFmtId="0" fontId="76" fillId="2" borderId="61" xfId="0" applyFont="1" applyFill="1" applyBorder="1" applyAlignment="1">
      <alignment horizontal="center" vertical="center" wrapText="1"/>
    </xf>
    <xf numFmtId="0" fontId="76" fillId="2" borderId="36" xfId="0" applyFont="1" applyFill="1" applyBorder="1" applyAlignment="1">
      <alignment horizontal="center" vertical="center"/>
    </xf>
    <xf numFmtId="0" fontId="76" fillId="2" borderId="45" xfId="0" applyFont="1" applyFill="1" applyBorder="1" applyAlignment="1">
      <alignment horizontal="center" vertical="center"/>
    </xf>
    <xf numFmtId="0" fontId="50" fillId="27" borderId="0" xfId="0" applyFont="1" applyFill="1" applyAlignment="1">
      <alignment horizontal="center"/>
    </xf>
    <xf numFmtId="0" fontId="76" fillId="2" borderId="0" xfId="0" applyFont="1" applyFill="1" applyAlignment="1">
      <alignment horizontal="center"/>
    </xf>
    <xf numFmtId="0" fontId="99" fillId="2" borderId="0" xfId="0" applyFont="1" applyFill="1" applyAlignment="1">
      <alignment horizontal="center"/>
    </xf>
    <xf numFmtId="0" fontId="101" fillId="23" borderId="0" xfId="0" applyFont="1" applyFill="1" applyAlignment="1">
      <alignment horizontal="left"/>
    </xf>
    <xf numFmtId="0" fontId="101" fillId="27" borderId="0" xfId="0" applyFont="1" applyFill="1" applyAlignment="1">
      <alignment horizontal="left" vertical="center"/>
    </xf>
    <xf numFmtId="168" fontId="101" fillId="23" borderId="0" xfId="0" applyNumberFormat="1" applyFont="1" applyFill="1" applyAlignment="1">
      <alignment horizontal="center" vertical="center"/>
    </xf>
    <xf numFmtId="0" fontId="55" fillId="2" borderId="0" xfId="0" applyFont="1" applyFill="1" applyAlignment="1">
      <alignment horizontal="center"/>
    </xf>
    <xf numFmtId="0" fontId="108" fillId="19" borderId="25" xfId="0" applyFont="1" applyFill="1" applyBorder="1" applyAlignment="1">
      <alignment horizontal="center" vertical="center"/>
    </xf>
    <xf numFmtId="0" fontId="109" fillId="7" borderId="0" xfId="0" applyFont="1" applyFill="1" applyAlignment="1">
      <alignment horizontal="center"/>
    </xf>
    <xf numFmtId="0" fontId="55" fillId="19" borderId="25" xfId="0" applyFont="1" applyFill="1" applyBorder="1" applyAlignment="1">
      <alignment horizontal="center" vertical="center"/>
    </xf>
    <xf numFmtId="0" fontId="50" fillId="7" borderId="26" xfId="0" applyFont="1" applyFill="1" applyBorder="1"/>
    <xf numFmtId="0" fontId="50" fillId="7" borderId="27" xfId="0" applyFont="1" applyFill="1" applyBorder="1"/>
    <xf numFmtId="0" fontId="55" fillId="18" borderId="28" xfId="0" applyFont="1" applyFill="1" applyBorder="1" applyAlignment="1">
      <alignment horizontal="left" vertical="center"/>
    </xf>
    <xf numFmtId="0" fontId="50" fillId="7" borderId="0" xfId="0" applyFont="1" applyFill="1" applyAlignment="1">
      <alignment horizontal="left"/>
    </xf>
    <xf numFmtId="0" fontId="106" fillId="0" borderId="0" xfId="0" applyFont="1" applyAlignment="1">
      <alignment horizontal="center" vertical="center"/>
    </xf>
    <xf numFmtId="0" fontId="50" fillId="0" borderId="0" xfId="0" applyFont="1"/>
    <xf numFmtId="0" fontId="50" fillId="7" borderId="0" xfId="0" applyFont="1" applyFill="1"/>
    <xf numFmtId="0" fontId="55" fillId="2" borderId="0" xfId="0" applyFont="1" applyFill="1" applyAlignment="1">
      <alignment horizontal="center" vertical="center"/>
    </xf>
    <xf numFmtId="0" fontId="57" fillId="0" borderId="0" xfId="0" applyFont="1" applyAlignment="1">
      <alignment horizontal="center"/>
    </xf>
    <xf numFmtId="170" fontId="43" fillId="0" borderId="0" xfId="1" applyNumberFormat="1" applyFont="1" applyAlignment="1"/>
    <xf numFmtId="0" fontId="43" fillId="5" borderId="0" xfId="0" applyFont="1" applyFill="1" applyAlignment="1">
      <alignment horizontal="center"/>
    </xf>
    <xf numFmtId="0" fontId="48" fillId="5" borderId="0" xfId="0" applyFont="1" applyFill="1" applyAlignment="1">
      <alignment horizontal="center"/>
    </xf>
    <xf numFmtId="0" fontId="48" fillId="0" borderId="0" xfId="0" applyFont="1" applyAlignment="1">
      <alignment horizontal="center" vertical="center"/>
    </xf>
    <xf numFmtId="0" fontId="48" fillId="5" borderId="0" xfId="0" applyFont="1" applyFill="1" applyAlignment="1">
      <alignment horizontal="center" vertical="center"/>
    </xf>
    <xf numFmtId="0" fontId="102" fillId="2" borderId="0" xfId="0" applyFont="1" applyFill="1" applyAlignment="1">
      <alignment horizontal="left"/>
    </xf>
    <xf numFmtId="0" fontId="43" fillId="2" borderId="0" xfId="0" applyFont="1" applyFill="1" applyAlignment="1">
      <alignment horizontal="left"/>
    </xf>
    <xf numFmtId="0" fontId="2" fillId="2" borderId="0" xfId="0" applyFont="1" applyFill="1" applyAlignment="1">
      <alignment horizontal="center"/>
    </xf>
    <xf numFmtId="0" fontId="0" fillId="0" borderId="0" xfId="0" applyAlignment="1">
      <alignment horizontal="center" vertical="center"/>
    </xf>
    <xf numFmtId="165" fontId="0" fillId="0" borderId="0" xfId="0" applyNumberFormat="1" applyAlignment="1">
      <alignment horizontal="center" vertical="center"/>
    </xf>
    <xf numFmtId="0" fontId="0" fillId="0" borderId="0" xfId="0" applyAlignment="1">
      <alignment vertical="center"/>
    </xf>
    <xf numFmtId="0" fontId="30" fillId="0" borderId="0" xfId="0" applyFont="1"/>
    <xf numFmtId="43" fontId="0" fillId="0" borderId="0" xfId="0" applyNumberFormat="1" applyAlignment="1">
      <alignment horizontal="left" vertical="top"/>
    </xf>
    <xf numFmtId="0" fontId="0" fillId="0" borderId="0" xfId="0" applyAlignment="1">
      <alignment horizontal="left" vertical="top"/>
    </xf>
    <xf numFmtId="10" fontId="0" fillId="0" borderId="0" xfId="0" applyNumberFormat="1"/>
    <xf numFmtId="0" fontId="0" fillId="0" borderId="0" xfId="0"/>
    <xf numFmtId="174" fontId="0" fillId="0" borderId="0" xfId="0" applyNumberFormat="1"/>
    <xf numFmtId="43" fontId="0" fillId="0" borderId="0" xfId="0" applyNumberFormat="1"/>
    <xf numFmtId="43" fontId="22" fillId="0" borderId="0" xfId="0" applyNumberFormat="1" applyFont="1"/>
    <xf numFmtId="43" fontId="4" fillId="0" borderId="0" xfId="0" applyNumberFormat="1" applyFont="1"/>
    <xf numFmtId="0" fontId="4" fillId="0" borderId="0" xfId="0" applyFont="1"/>
    <xf numFmtId="10" fontId="0" fillId="0" borderId="0" xfId="2" applyNumberFormat="1" applyFont="1" applyAlignment="1"/>
    <xf numFmtId="0" fontId="31" fillId="2" borderId="0" xfId="0" applyFont="1" applyFill="1"/>
    <xf numFmtId="0" fontId="21" fillId="2" borderId="0" xfId="0" applyFont="1" applyFill="1"/>
    <xf numFmtId="0" fontId="30" fillId="0" borderId="2" xfId="0" applyFont="1" applyBorder="1" applyAlignment="1">
      <alignment horizontal="center"/>
    </xf>
    <xf numFmtId="0" fontId="0" fillId="0" borderId="3" xfId="0" applyBorder="1" applyAlignment="1">
      <alignment horizontal="left"/>
    </xf>
    <xf numFmtId="0" fontId="0" fillId="0" borderId="2" xfId="0" applyBorder="1" applyAlignment="1">
      <alignment horizontal="left"/>
    </xf>
    <xf numFmtId="0" fontId="0" fillId="0" borderId="0" xfId="0" applyAlignment="1">
      <alignment horizontal="left"/>
    </xf>
    <xf numFmtId="0" fontId="50" fillId="0" borderId="0" xfId="0" applyFont="1" applyAlignment="1">
      <alignment horizontal="left"/>
    </xf>
    <xf numFmtId="0" fontId="48" fillId="0" borderId="0" xfId="0" applyFont="1" applyAlignment="1">
      <alignment horizontal="left"/>
    </xf>
  </cellXfs>
  <cellStyles count="22">
    <cellStyle name="beep" xfId="9" xr:uid="{5DAD76BD-F564-44C2-BA4D-80F266FA1268}"/>
    <cellStyle name="Blockout Cell" xfId="8" xr:uid="{DA3BEF44-E5C1-43BE-8D60-AA313E7DCFC4}"/>
    <cellStyle name="Blockout Cell 2" xfId="11" xr:uid="{89CE120A-F45F-4CAD-9207-FCAE7C457C32}"/>
    <cellStyle name="Comma" xfId="1" builtinId="3"/>
    <cellStyle name="Currency" xfId="5" builtinId="4"/>
    <cellStyle name="Explanatory Text" xfId="6" builtinId="53"/>
    <cellStyle name="Hardcoded Values" xfId="12" xr:uid="{5EF3FDB3-5F57-4814-B6D1-6AD15579C3C8}"/>
    <cellStyle name="Helper" xfId="13" xr:uid="{CBF1EC23-3C66-4AD8-9FF0-D236B0E742A1}"/>
    <cellStyle name="Hyperlink" xfId="3" builtinId="8"/>
    <cellStyle name="Hyperlink 2" xfId="14" xr:uid="{6FF960CC-7949-470B-9286-8DD594F3125A}"/>
    <cellStyle name="Import" xfId="15" xr:uid="{84D5FBA0-A519-4079-BE67-F118DAF3B843}"/>
    <cellStyle name="Mod Input" xfId="10" xr:uid="{2DE61171-307A-49E2-A63D-6D10DFBDBDD0}"/>
    <cellStyle name="Normal" xfId="0" builtinId="0"/>
    <cellStyle name="Normal 2" xfId="4" xr:uid="{0C9CA14B-9111-4C6E-92BE-A70E38F6321F}"/>
    <cellStyle name="Normal 2 2" xfId="16" xr:uid="{9886B69F-96FF-4E09-BC3B-5C21C9C2605B}"/>
    <cellStyle name="Normal 3" xfId="17" xr:uid="{05DFD4A2-DCA7-4321-8BB6-3355883ECD7E}"/>
    <cellStyle name="Normal 4" xfId="18" xr:uid="{33E067D1-2F86-4B26-A085-77E8543E2C24}"/>
    <cellStyle name="Normal 5" xfId="19" xr:uid="{0E8E954E-5BCA-4A33-A7CB-C67C27149398}"/>
    <cellStyle name="Normal 6" xfId="20" xr:uid="{4D455A68-CA8D-4365-A6DC-D1CC26FD7A8C}"/>
    <cellStyle name="Per cent" xfId="2" builtinId="5"/>
    <cellStyle name="Per cent 2" xfId="21" xr:uid="{ED322997-EA13-41BA-B4EC-DCECD04D2337}"/>
    <cellStyle name="Reference Cells" xfId="7" xr:uid="{6051C680-4C30-4F41-AF48-A058592E1C8C}"/>
  </cellStyles>
  <dxfs count="5">
    <dxf>
      <font>
        <b/>
        <i val="0"/>
        <strike val="0"/>
        <condense val="0"/>
        <extend val="0"/>
        <outline val="0"/>
        <shadow val="0"/>
        <u val="none"/>
        <vertAlign val="baseline"/>
        <sz val="9"/>
        <color rgb="FF000000"/>
        <name val="Arial"/>
        <family val="2"/>
        <scheme val="none"/>
      </font>
      <fill>
        <patternFill patternType="none">
          <fgColor indexed="64"/>
          <bgColor auto="1"/>
        </patternFill>
      </fill>
      <alignment horizontal="general" vertical="bottom" textRotation="0" wrapText="0" indent="0" justifyLastLine="0" shrinkToFit="0" readingOrder="1"/>
    </dxf>
    <dxf>
      <fill>
        <patternFill patternType="none">
          <fgColor indexed="64"/>
          <bgColor auto="1"/>
        </patternFill>
      </fill>
    </dxf>
    <dxf>
      <font>
        <b/>
        <i val="0"/>
        <strike val="0"/>
        <condense val="0"/>
        <extend val="0"/>
        <outline val="0"/>
        <shadow val="0"/>
        <u val="none"/>
        <vertAlign val="baseline"/>
        <sz val="9"/>
        <color rgb="FF000000"/>
        <name val="Arial"/>
        <family val="2"/>
        <scheme val="none"/>
      </font>
      <fill>
        <patternFill patternType="none">
          <fgColor indexed="64"/>
          <bgColor auto="1"/>
        </patternFill>
      </fill>
      <alignment horizontal="general" vertical="bottom" textRotation="0" wrapText="0" indent="0" justifyLastLine="0" shrinkToFit="0" readingOrder="1"/>
    </dxf>
    <dxf>
      <fill>
        <patternFill patternType="none">
          <fgColor indexed="64"/>
          <bgColor auto="1"/>
        </patternFill>
      </fill>
    </dxf>
    <dxf>
      <font>
        <b/>
        <i val="0"/>
        <strike val="0"/>
        <condense val="0"/>
        <extend val="0"/>
        <outline val="0"/>
        <shadow val="0"/>
        <u val="none"/>
        <vertAlign val="baseline"/>
        <sz val="9"/>
        <color theme="0"/>
        <name val="Arial"/>
        <family val="2"/>
        <scheme val="none"/>
      </font>
      <fill>
        <patternFill patternType="solid">
          <fgColor indexed="64"/>
          <bgColor rgb="FF0067ED"/>
        </patternFill>
      </fill>
      <alignment horizontal="general" vertical="bottom" textRotation="0" wrapText="0" indent="0" justifyLastLine="0" shrinkToFit="0" readingOrder="1"/>
      <border diagonalUp="0" diagonalDown="0" outline="0">
        <left style="medium">
          <color rgb="FF000000"/>
        </left>
        <right style="medium">
          <color rgb="FF000000"/>
        </right>
        <top/>
        <bottom/>
      </border>
    </dxf>
  </dxfs>
  <tableStyles count="0" defaultTableStyle="TableStyleMedium2" defaultPivotStyle="PivotStyleLight16"/>
  <colors>
    <mruColors>
      <color rgb="FF0067ED"/>
      <color rgb="FFFBC828"/>
      <color rgb="FF803FA5"/>
      <color rgb="FFB3D1FA"/>
      <color rgb="FFFFFFFF"/>
      <color rgb="FFAF59E1"/>
      <color rgb="FF82B536"/>
      <color rgb="FF004AAC"/>
      <color rgb="FFDAE9F8"/>
      <color rgb="FFFEA0A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haredStrings" Target="sharedStrings.xml"/><Relationship Id="rId47" Type="http://schemas.microsoft.com/office/2017/06/relationships/richStyles" Target="richData/richStyles.xml"/><Relationship Id="rId50" Type="http://schemas.microsoft.com/office/2017/06/relationships/rdRichValueTypes" Target="richData/rdRichValueTypes.xml"/><Relationship Id="rId55" Type="http://schemas.openxmlformats.org/officeDocument/2006/relationships/customXml" Target="../customXml/item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connections" Target="connections.xml"/><Relationship Id="rId45" Type="http://schemas.microsoft.com/office/2017/06/relationships/rdRichValueStructure" Target="richData/rdrichvaluestructure.xml"/><Relationship Id="rId53"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microsoft.com/office/2017/06/relationships/rdRichValue" Target="richData/rdrichvalue.xml"/><Relationship Id="rId52"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eetMetadata" Target="metadata.xml"/><Relationship Id="rId48" Type="http://schemas.microsoft.com/office/2017/06/relationships/rdSupportingPropertyBagStructure" Target="richData/rdsupportingpropertybagstructure.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microsoft.com/office/2017/06/relationships/rdArray" Target="richData/rdarray.xml"/><Relationship Id="rId20" Type="http://schemas.openxmlformats.org/officeDocument/2006/relationships/worksheet" Target="worksheets/sheet20.xml"/><Relationship Id="rId41" Type="http://schemas.openxmlformats.org/officeDocument/2006/relationships/styles" Target="styles.xml"/><Relationship Id="rId54"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microsoft.com/office/2017/06/relationships/rdSupportingPropertyBag" Target="richData/rdsupportingpropertybag.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3" Type="http://schemas.openxmlformats.org/officeDocument/2006/relationships/chartUserShapes" Target="../drawings/drawing12.xml"/><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3" Type="http://schemas.openxmlformats.org/officeDocument/2006/relationships/chartUserShapes" Target="../drawings/drawing13.xml"/><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3" Type="http://schemas.openxmlformats.org/officeDocument/2006/relationships/chartUserShapes" Target="../drawings/drawing14.xml"/><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3" Type="http://schemas.openxmlformats.org/officeDocument/2006/relationships/chartUserShapes" Target="../drawings/drawing15.xml"/><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0522282795832363E-2"/>
          <c:y val="1.3428683335141526E-2"/>
          <c:w val="0.93895543440833529"/>
          <c:h val="0.87859387555831792"/>
        </c:manualLayout>
      </c:layout>
      <c:barChart>
        <c:barDir val="col"/>
        <c:grouping val="clustered"/>
        <c:varyColors val="0"/>
        <c:ser>
          <c:idx val="0"/>
          <c:order val="0"/>
          <c:tx>
            <c:strRef>
              <c:f>'Comp. Multi &amp; Imp. Val'!$AD$20</c:f>
              <c:strCache>
                <c:ptCount val="1"/>
                <c:pt idx="0">
                  <c:v>Peers (Average) </c:v>
                </c:pt>
              </c:strCache>
            </c:strRef>
          </c:tx>
          <c:spPr>
            <a:solidFill>
              <a:srgbClr val="B3D1F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'Comp. Multi &amp; Imp. Val'!$AE$19:$AG$19</c:f>
              <c:strCache>
                <c:ptCount val="3"/>
                <c:pt idx="0">
                  <c:v>EV/Revenue (NTM)</c:v>
                </c:pt>
                <c:pt idx="1">
                  <c:v>EV/EBITDA (NTM)</c:v>
                </c:pt>
                <c:pt idx="2">
                  <c:v>EV/FCF (LTM)</c:v>
                </c:pt>
              </c:strCache>
            </c:strRef>
          </c:cat>
          <c:val>
            <c:numRef>
              <c:f>'Comp. Multi &amp; Imp. Val'!$AE$20:$AG$20</c:f>
              <c:numCache>
                <c:formatCode>0.00"x";[Red]\(0.00"x"\)</c:formatCode>
                <c:ptCount val="3"/>
                <c:pt idx="0">
                  <c:v>3.9836751006096507</c:v>
                </c:pt>
                <c:pt idx="1">
                  <c:v>20.17258605382926</c:v>
                </c:pt>
                <c:pt idx="2">
                  <c:v>19.101424689242183</c:v>
                </c:pt>
              </c:numCache>
            </c:numRef>
          </c:val>
          <c:extLst>
            <c:ext xmlns:c16="http://schemas.microsoft.com/office/drawing/2014/chart" uri="{C3380CC4-5D6E-409C-BE32-E72D297353CC}">
              <c16:uniqueId val="{00000000-28E7-4A56-9A0E-365AAC24CA92}"/>
            </c:ext>
          </c:extLst>
        </c:ser>
        <c:ser>
          <c:idx val="1"/>
          <c:order val="1"/>
          <c:tx>
            <c:strRef>
              <c:f>'Comp. Multi &amp; Imp. Val'!$AD$21</c:f>
              <c:strCache>
                <c:ptCount val="1"/>
                <c:pt idx="0">
                  <c:v>Atlassian</c:v>
                </c:pt>
              </c:strCache>
            </c:strRef>
          </c:tx>
          <c:spPr>
            <a:solidFill>
              <a:srgbClr val="0067E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'Comp. Multi &amp; Imp. Val'!$AE$19:$AG$19</c:f>
              <c:strCache>
                <c:ptCount val="3"/>
                <c:pt idx="0">
                  <c:v>EV/Revenue (NTM)</c:v>
                </c:pt>
                <c:pt idx="1">
                  <c:v>EV/EBITDA (NTM)</c:v>
                </c:pt>
                <c:pt idx="2">
                  <c:v>EV/FCF (LTM)</c:v>
                </c:pt>
              </c:strCache>
            </c:strRef>
          </c:cat>
          <c:val>
            <c:numRef>
              <c:f>'Comp. Multi &amp; Imp. Val'!$AE$21:$AG$21</c:f>
              <c:numCache>
                <c:formatCode>0.00"x";\(0.00"x"\)</c:formatCode>
                <c:ptCount val="3"/>
                <c:pt idx="0">
                  <c:v>6.1447418421283597</c:v>
                </c:pt>
                <c:pt idx="1">
                  <c:v>23.524895595348625</c:v>
                </c:pt>
                <c:pt idx="2">
                  <c:v>35.125941566444084</c:v>
                </c:pt>
              </c:numCache>
            </c:numRef>
          </c:val>
          <c:extLst>
            <c:ext xmlns:c16="http://schemas.microsoft.com/office/drawing/2014/chart" uri="{C3380CC4-5D6E-409C-BE32-E72D297353CC}">
              <c16:uniqueId val="{00000001-28E7-4A56-9A0E-365AAC24CA92}"/>
            </c:ext>
          </c:extLst>
        </c:ser>
        <c:dLbls>
          <c:showLegendKey val="0"/>
          <c:showVal val="0"/>
          <c:showCatName val="0"/>
          <c:showSerName val="0"/>
          <c:showPercent val="0"/>
          <c:showBubbleSize val="0"/>
        </c:dLbls>
        <c:gapWidth val="219"/>
        <c:overlap val="-27"/>
        <c:axId val="2082058271"/>
        <c:axId val="338922447"/>
      </c:barChart>
      <c:catAx>
        <c:axId val="2082058271"/>
        <c:scaling>
          <c:orientation val="minMax"/>
        </c:scaling>
        <c:delete val="0"/>
        <c:axPos val="b"/>
        <c:numFmt formatCode="General" sourceLinked="1"/>
        <c:majorTickMark val="none"/>
        <c:minorTickMark val="out"/>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38922447"/>
        <c:crosses val="autoZero"/>
        <c:auto val="1"/>
        <c:lblAlgn val="ctr"/>
        <c:lblOffset val="100"/>
        <c:noMultiLvlLbl val="0"/>
      </c:catAx>
      <c:valAx>
        <c:axId val="338922447"/>
        <c:scaling>
          <c:orientation val="minMax"/>
        </c:scaling>
        <c:delete val="1"/>
        <c:axPos val="l"/>
        <c:numFmt formatCode="0.00&quot;x&quot;;[Red]\(0.00&quot;x&quot;\)" sourceLinked="1"/>
        <c:majorTickMark val="out"/>
        <c:minorTickMark val="none"/>
        <c:tickLblPos val="nextTo"/>
        <c:crossAx val="208205827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2160571248331321E-2"/>
          <c:y val="5.8998486292447E-2"/>
          <c:w val="0.9616362498534371"/>
          <c:h val="0.80175003927524091"/>
        </c:manualLayout>
      </c:layout>
      <c:barChart>
        <c:barDir val="col"/>
        <c:grouping val="clustered"/>
        <c:varyColors val="0"/>
        <c:ser>
          <c:idx val="0"/>
          <c:order val="0"/>
          <c:spPr>
            <a:solidFill>
              <a:srgbClr val="0067ED"/>
            </a:solidFill>
            <a:ln>
              <a:noFill/>
            </a:ln>
            <a:effectLst/>
          </c:spPr>
          <c:invertIfNegative val="0"/>
          <c:dLbls>
            <c:dLbl>
              <c:idx val="2"/>
              <c:layout>
                <c:manualLayout>
                  <c:x val="-5.102832064051173E-17"/>
                  <c:y val="-4.166666666666675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41D-4DC0-AA5F-A51D069551BD}"/>
                </c:ext>
              </c:extLst>
            </c:dLbl>
            <c:dLbl>
              <c:idx val="3"/>
              <c:layout>
                <c:manualLayout>
                  <c:x val="0"/>
                  <c:y val="-6.013977023972352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41D-4DC0-AA5F-A51D069551BD}"/>
                </c:ext>
              </c:extLst>
            </c:dLbl>
            <c:dLbl>
              <c:idx val="4"/>
              <c:layout>
                <c:manualLayout>
                  <c:x val="-1.0214114753016765E-16"/>
                  <c:y val="-4.3330064625890525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41D-4DC0-AA5F-A51D069551BD}"/>
                </c:ext>
              </c:extLst>
            </c:dLbl>
            <c:dLbl>
              <c:idx val="5"/>
              <c:layout>
                <c:manualLayout>
                  <c:x val="-2.7857757118084003E-3"/>
                  <c:y val="-5.809052592999822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41D-4DC0-AA5F-A51D069551B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Helvetica" panose="020B0604020202020204" pitchFamily="34" charset="0"/>
                    <a:ea typeface="+mn-ea"/>
                    <a:cs typeface="Helvetica"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trendline>
            <c:spPr>
              <a:ln w="19050" cap="rnd">
                <a:solidFill>
                  <a:schemeClr val="tx1"/>
                </a:solidFill>
                <a:prstDash val="sysDot"/>
              </a:ln>
              <a:effectLst/>
            </c:spPr>
            <c:trendlineType val="exp"/>
            <c:dispRSqr val="0"/>
            <c:dispEq val="0"/>
          </c:trendline>
          <c:cat>
            <c:strRef>
              <c:f>Charts!$A$4:$A$10</c:f>
              <c:strCache>
                <c:ptCount val="7"/>
                <c:pt idx="0">
                  <c:v>'20A</c:v>
                </c:pt>
                <c:pt idx="1">
                  <c:v>'21A</c:v>
                </c:pt>
                <c:pt idx="2">
                  <c:v>'22A</c:v>
                </c:pt>
                <c:pt idx="3">
                  <c:v>'23A</c:v>
                </c:pt>
                <c:pt idx="4">
                  <c:v>'24A</c:v>
                </c:pt>
                <c:pt idx="5">
                  <c:v>'25A</c:v>
                </c:pt>
                <c:pt idx="6">
                  <c:v>'26A</c:v>
                </c:pt>
              </c:strCache>
            </c:strRef>
          </c:cat>
          <c:val>
            <c:numRef>
              <c:f>Charts!$B$4:$B$10</c:f>
              <c:numCache>
                <c:formatCode>0</c:formatCode>
                <c:ptCount val="7"/>
                <c:pt idx="0">
                  <c:v>645.14</c:v>
                </c:pt>
                <c:pt idx="1">
                  <c:v>725.75800000000004</c:v>
                </c:pt>
                <c:pt idx="2">
                  <c:v>732.66600000000005</c:v>
                </c:pt>
                <c:pt idx="3">
                  <c:v>727.221</c:v>
                </c:pt>
                <c:pt idx="4">
                  <c:v>1288.7560000000001</c:v>
                </c:pt>
                <c:pt idx="5">
                  <c:v>1304.4449999999999</c:v>
                </c:pt>
                <c:pt idx="6">
                  <c:v>2302.739</c:v>
                </c:pt>
              </c:numCache>
            </c:numRef>
          </c:val>
          <c:extLst>
            <c:ext xmlns:c16="http://schemas.microsoft.com/office/drawing/2014/chart" uri="{C3380CC4-5D6E-409C-BE32-E72D297353CC}">
              <c16:uniqueId val="{00000000-341D-4DC0-AA5F-A51D069551BD}"/>
            </c:ext>
          </c:extLst>
        </c:ser>
        <c:dLbls>
          <c:dLblPos val="outEnd"/>
          <c:showLegendKey val="0"/>
          <c:showVal val="1"/>
          <c:showCatName val="0"/>
          <c:showSerName val="0"/>
          <c:showPercent val="0"/>
          <c:showBubbleSize val="0"/>
        </c:dLbls>
        <c:gapWidth val="219"/>
        <c:overlap val="-27"/>
        <c:axId val="2064951888"/>
        <c:axId val="2064954288"/>
      </c:barChart>
      <c:catAx>
        <c:axId val="2064951888"/>
        <c:scaling>
          <c:orientation val="minMax"/>
        </c:scaling>
        <c:delete val="0"/>
        <c:axPos val="b"/>
        <c:numFmt formatCode="General" sourceLinked="1"/>
        <c:majorTickMark val="none"/>
        <c:minorTickMark val="out"/>
        <c:tickLblPos val="nextTo"/>
        <c:spPr>
          <a:noFill/>
          <a:ln w="12700"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64954288"/>
        <c:crosses val="autoZero"/>
        <c:auto val="1"/>
        <c:lblAlgn val="ctr"/>
        <c:lblOffset val="100"/>
        <c:tickMarkSkip val="1"/>
        <c:noMultiLvlLbl val="0"/>
      </c:catAx>
      <c:valAx>
        <c:axId val="2064954288"/>
        <c:scaling>
          <c:orientation val="minMax"/>
        </c:scaling>
        <c:delete val="1"/>
        <c:axPos val="l"/>
        <c:majorGridlines>
          <c:spPr>
            <a:ln w="9525" cap="flat" cmpd="sng" algn="ctr">
              <a:noFill/>
              <a:round/>
            </a:ln>
            <a:effectLst/>
          </c:spPr>
        </c:majorGridlines>
        <c:numFmt formatCode="0" sourceLinked="1"/>
        <c:majorTickMark val="out"/>
        <c:minorTickMark val="none"/>
        <c:tickLblPos val="nextTo"/>
        <c:crossAx val="2064951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1066964529540508E-2"/>
          <c:y val="2.5428304572398686E-2"/>
          <c:w val="0.92417455560682515"/>
          <c:h val="0.84204505686789155"/>
        </c:manualLayout>
      </c:layout>
      <c:lineChart>
        <c:grouping val="standard"/>
        <c:varyColors val="0"/>
        <c:ser>
          <c:idx val="0"/>
          <c:order val="0"/>
          <c:tx>
            <c:v>R&amp;D</c:v>
          </c:tx>
          <c:spPr>
            <a:ln w="28575" cap="rnd">
              <a:solidFill>
                <a:srgbClr val="AF59E1"/>
              </a:solidFill>
              <a:round/>
            </a:ln>
            <a:effectLst/>
          </c:spPr>
          <c:marker>
            <c:symbol val="none"/>
          </c:marker>
          <c:dLbls>
            <c:dLbl>
              <c:idx val="6"/>
              <c:layout>
                <c:manualLayout>
                  <c:x val="-7.7858847054677979E-2"/>
                  <c:y val="-6.7544289375572844E-2"/>
                </c:manualLayout>
              </c:layout>
              <c:tx>
                <c:rich>
                  <a:bodyPr/>
                  <a:lstStyle/>
                  <a:p>
                    <a:fld id="{B1AD7D47-3F49-41E8-B462-37D6F2C245CE}" type="VALUE">
                      <a:rPr lang="en-US" sz="700" b="1">
                        <a:solidFill>
                          <a:srgbClr val="AF59E1"/>
                        </a:solidFill>
                      </a:rPr>
                      <a:pPr/>
                      <a:t>[VALUE]</a:t>
                    </a:fld>
                    <a:endParaRPr lang="en-AU"/>
                  </a:p>
                </c:rich>
              </c:tx>
              <c:showLegendKey val="0"/>
              <c:showVal val="1"/>
              <c:showCatName val="0"/>
              <c:showSerName val="0"/>
              <c:showPercent val="0"/>
              <c:showBubbleSize val="0"/>
              <c:extLst xmlns:c15="http://schemas.microsoft.com/office/drawing/2012/chart">
                <c:ext xmlns:c15="http://schemas.microsoft.com/office/drawing/2012/chart" uri="{CE6537A1-D6FC-4f65-9D91-7224C49458BB}">
                  <c15:dlblFieldTable/>
                  <c15:showDataLabelsRange val="0"/>
                </c:ext>
                <c:ext xmlns:c16="http://schemas.microsoft.com/office/drawing/2014/chart" uri="{C3380CC4-5D6E-409C-BE32-E72D297353CC}">
                  <c16:uniqueId val="{00000010-E6B0-4B05-9190-A60598489C7B}"/>
                </c:ext>
              </c:extLst>
            </c:dLbl>
            <c:dLbl>
              <c:idx val="12"/>
              <c:layout>
                <c:manualLayout>
                  <c:x val="-3.7180558586659834E-2"/>
                  <c:y val="-8.8784491376718927E-2"/>
                </c:manualLayout>
              </c:layout>
              <c:tx>
                <c:rich>
                  <a:bodyPr/>
                  <a:lstStyle/>
                  <a:p>
                    <a:fld id="{AC0DBD48-570A-4C94-9D1F-A683235A9611}" type="VALUE">
                      <a:rPr lang="en-US" sz="700" b="1">
                        <a:solidFill>
                          <a:srgbClr val="AF59E1"/>
                        </a:solidFill>
                      </a:rPr>
                      <a:pPr/>
                      <a:t>[VALUE]</a:t>
                    </a:fld>
                    <a:endParaRPr lang="en-AU"/>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07C7-410C-9D56-F52BAB5A8CC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strRef>
              <c:f>Charts!$J$2:$V$2</c:f>
              <c:strCache>
                <c:ptCount val="13"/>
                <c:pt idx="0">
                  <c:v>'20A</c:v>
                </c:pt>
                <c:pt idx="1">
                  <c:v>'21A</c:v>
                </c:pt>
                <c:pt idx="2">
                  <c:v>'22A</c:v>
                </c:pt>
                <c:pt idx="3">
                  <c:v>'23A</c:v>
                </c:pt>
                <c:pt idx="4">
                  <c:v>'24A</c:v>
                </c:pt>
                <c:pt idx="5">
                  <c:v>'25A</c:v>
                </c:pt>
                <c:pt idx="6">
                  <c:v>'26A</c:v>
                </c:pt>
                <c:pt idx="7">
                  <c:v>'27E</c:v>
                </c:pt>
                <c:pt idx="8">
                  <c:v>'28E</c:v>
                </c:pt>
                <c:pt idx="9">
                  <c:v>'29E</c:v>
                </c:pt>
                <c:pt idx="10">
                  <c:v>'30E</c:v>
                </c:pt>
                <c:pt idx="11">
                  <c:v>'31E</c:v>
                </c:pt>
                <c:pt idx="12">
                  <c:v>'32E</c:v>
                </c:pt>
              </c:strCache>
            </c:strRef>
          </c:cat>
          <c:val>
            <c:numRef>
              <c:f>Charts!$J$3:$V$3</c:f>
              <c:numCache>
                <c:formatCode>0.00%</c:formatCode>
                <c:ptCount val="13"/>
                <c:pt idx="0">
                  <c:v>0.47280434005524807</c:v>
                </c:pt>
                <c:pt idx="1">
                  <c:v>0.46111303641895296</c:v>
                </c:pt>
                <c:pt idx="2">
                  <c:v>0.49861820797307921</c:v>
                </c:pt>
                <c:pt idx="3">
                  <c:v>0.52901492001888739</c:v>
                </c:pt>
                <c:pt idx="4">
                  <c:v>0.50110344988979261</c:v>
                </c:pt>
                <c:pt idx="5">
                  <c:v>0.51182289661350511</c:v>
                </c:pt>
                <c:pt idx="6">
                  <c:v>0.4974290614499503</c:v>
                </c:pt>
                <c:pt idx="7">
                  <c:v>0.46260265411325757</c:v>
                </c:pt>
                <c:pt idx="8">
                  <c:v>0.43760265411325755</c:v>
                </c:pt>
                <c:pt idx="9">
                  <c:v>0.41260265411325753</c:v>
                </c:pt>
                <c:pt idx="10">
                  <c:v>0.38760265411325751</c:v>
                </c:pt>
                <c:pt idx="11">
                  <c:v>0.36260265411325743</c:v>
                </c:pt>
                <c:pt idx="12">
                  <c:v>0.33760265411325746</c:v>
                </c:pt>
              </c:numCache>
            </c:numRef>
          </c:val>
          <c:smooth val="0"/>
          <c:extLst>
            <c:ext xmlns:c16="http://schemas.microsoft.com/office/drawing/2014/chart" uri="{C3380CC4-5D6E-409C-BE32-E72D297353CC}">
              <c16:uniqueId val="{00000000-E6B0-4B05-9190-A60598489C7B}"/>
            </c:ext>
          </c:extLst>
        </c:ser>
        <c:ser>
          <c:idx val="1"/>
          <c:order val="1"/>
          <c:tx>
            <c:v>M&amp;S</c:v>
          </c:tx>
          <c:spPr>
            <a:ln w="28575" cap="rnd">
              <a:solidFill>
                <a:srgbClr val="0067ED"/>
              </a:solidFill>
              <a:round/>
            </a:ln>
            <a:effectLst/>
          </c:spPr>
          <c:marker>
            <c:symbol val="none"/>
          </c:marker>
          <c:dLbls>
            <c:dLbl>
              <c:idx val="6"/>
              <c:layout>
                <c:manualLayout>
                  <c:x val="-7.223261360916293E-2"/>
                  <c:y val="-5.9189881373979202E-2"/>
                </c:manualLayout>
              </c:layout>
              <c:tx>
                <c:rich>
                  <a:bodyPr/>
                  <a:lstStyle/>
                  <a:p>
                    <a:fld id="{5CB83713-1E40-4714-A4BE-C3F93EE3EE51}" type="VALUE">
                      <a:rPr lang="en-US" sz="700"/>
                      <a:pPr/>
                      <a:t>[VALUE]</a:t>
                    </a:fld>
                    <a:endParaRPr lang="en-AU"/>
                  </a:p>
                </c:rich>
              </c:tx>
              <c:showLegendKey val="0"/>
              <c:showVal val="1"/>
              <c:showCatName val="0"/>
              <c:showSerName val="0"/>
              <c:showPercent val="0"/>
              <c:showBubbleSize val="0"/>
              <c:extLst xmlns:c15="http://schemas.microsoft.com/office/drawing/2012/chart">
                <c:ext xmlns:c15="http://schemas.microsoft.com/office/drawing/2012/chart" uri="{CE6537A1-D6FC-4f65-9D91-7224C49458BB}">
                  <c15:dlblFieldTable/>
                  <c15:showDataLabelsRange val="0"/>
                </c:ext>
                <c:ext xmlns:c16="http://schemas.microsoft.com/office/drawing/2014/chart" uri="{C3380CC4-5D6E-409C-BE32-E72D297353CC}">
                  <c16:uniqueId val="{00000011-E6B0-4B05-9190-A60598489C7B}"/>
                </c:ext>
              </c:extLst>
            </c:dLbl>
            <c:dLbl>
              <c:idx val="12"/>
              <c:layout>
                <c:manualLayout>
                  <c:x val="-3.7266484124896138E-2"/>
                  <c:y val="-8.1632293412424423E-2"/>
                </c:manualLayout>
              </c:layout>
              <c:tx>
                <c:rich>
                  <a:bodyPr/>
                  <a:lstStyle/>
                  <a:p>
                    <a:fld id="{9D42C4BB-1D2D-46C4-BAA2-CE6A2A945B46}" type="VALUE">
                      <a:rPr lang="en-US" sz="700"/>
                      <a:pPr/>
                      <a:t>[VALUE]</a:t>
                    </a:fld>
                    <a:endParaRPr lang="en-AU"/>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07C7-410C-9D56-F52BAB5A8CC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67ED"/>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strRef>
              <c:f>Charts!$J$2:$V$2</c:f>
              <c:strCache>
                <c:ptCount val="13"/>
                <c:pt idx="0">
                  <c:v>'20A</c:v>
                </c:pt>
                <c:pt idx="1">
                  <c:v>'21A</c:v>
                </c:pt>
                <c:pt idx="2">
                  <c:v>'22A</c:v>
                </c:pt>
                <c:pt idx="3">
                  <c:v>'23A</c:v>
                </c:pt>
                <c:pt idx="4">
                  <c:v>'24A</c:v>
                </c:pt>
                <c:pt idx="5">
                  <c:v>'25A</c:v>
                </c:pt>
                <c:pt idx="6">
                  <c:v>'26A</c:v>
                </c:pt>
                <c:pt idx="7">
                  <c:v>'27E</c:v>
                </c:pt>
                <c:pt idx="8">
                  <c:v>'28E</c:v>
                </c:pt>
                <c:pt idx="9">
                  <c:v>'29E</c:v>
                </c:pt>
                <c:pt idx="10">
                  <c:v>'30E</c:v>
                </c:pt>
                <c:pt idx="11">
                  <c:v>'31E</c:v>
                </c:pt>
                <c:pt idx="12">
                  <c:v>'32E</c:v>
                </c:pt>
              </c:strCache>
            </c:strRef>
          </c:cat>
          <c:val>
            <c:numRef>
              <c:f>Charts!$J$4:$V$4</c:f>
              <c:numCache>
                <c:formatCode>0.00%</c:formatCode>
                <c:ptCount val="13"/>
                <c:pt idx="0">
                  <c:v>0.18565729943444723</c:v>
                </c:pt>
                <c:pt idx="1">
                  <c:v>0.17849949165490739</c:v>
                </c:pt>
                <c:pt idx="2">
                  <c:v>0.20253831591911473</c:v>
                </c:pt>
                <c:pt idx="3">
                  <c:v>0.21780421071750589</c:v>
                </c:pt>
                <c:pt idx="4">
                  <c:v>0.20132528702430572</c:v>
                </c:pt>
                <c:pt idx="5">
                  <c:v>0.21753957199810406</c:v>
                </c:pt>
                <c:pt idx="6">
                  <c:v>0.23449570531387148</c:v>
                </c:pt>
                <c:pt idx="7">
                  <c:v>0.23449570531387148</c:v>
                </c:pt>
                <c:pt idx="8">
                  <c:v>0.24449570531387149</c:v>
                </c:pt>
                <c:pt idx="9">
                  <c:v>0.2544957053138715</c:v>
                </c:pt>
                <c:pt idx="10">
                  <c:v>0.24449570531387149</c:v>
                </c:pt>
                <c:pt idx="11">
                  <c:v>0.23449570531387148</c:v>
                </c:pt>
                <c:pt idx="12">
                  <c:v>0.22449570531387147</c:v>
                </c:pt>
              </c:numCache>
            </c:numRef>
          </c:val>
          <c:smooth val="0"/>
          <c:extLst>
            <c:ext xmlns:c16="http://schemas.microsoft.com/office/drawing/2014/chart" uri="{C3380CC4-5D6E-409C-BE32-E72D297353CC}">
              <c16:uniqueId val="{00000001-E6B0-4B05-9190-A60598489C7B}"/>
            </c:ext>
          </c:extLst>
        </c:ser>
        <c:ser>
          <c:idx val="2"/>
          <c:order val="2"/>
          <c:tx>
            <c:v>G&amp;A</c:v>
          </c:tx>
          <c:spPr>
            <a:ln w="28575" cap="rnd">
              <a:solidFill>
                <a:schemeClr val="bg2">
                  <a:lumMod val="75000"/>
                </a:schemeClr>
              </a:solidFill>
              <a:round/>
            </a:ln>
            <a:effectLst/>
          </c:spPr>
          <c:marker>
            <c:symbol val="none"/>
          </c:marker>
          <c:cat>
            <c:strRef>
              <c:f>Charts!$J$2:$V$2</c:f>
              <c:strCache>
                <c:ptCount val="13"/>
                <c:pt idx="0">
                  <c:v>'20A</c:v>
                </c:pt>
                <c:pt idx="1">
                  <c:v>'21A</c:v>
                </c:pt>
                <c:pt idx="2">
                  <c:v>'22A</c:v>
                </c:pt>
                <c:pt idx="3">
                  <c:v>'23A</c:v>
                </c:pt>
                <c:pt idx="4">
                  <c:v>'24A</c:v>
                </c:pt>
                <c:pt idx="5">
                  <c:v>'25A</c:v>
                </c:pt>
                <c:pt idx="6">
                  <c:v>'26A</c:v>
                </c:pt>
                <c:pt idx="7">
                  <c:v>'27E</c:v>
                </c:pt>
                <c:pt idx="8">
                  <c:v>'28E</c:v>
                </c:pt>
                <c:pt idx="9">
                  <c:v>'29E</c:v>
                </c:pt>
                <c:pt idx="10">
                  <c:v>'30E</c:v>
                </c:pt>
                <c:pt idx="11">
                  <c:v>'31E</c:v>
                </c:pt>
                <c:pt idx="12">
                  <c:v>'32E</c:v>
                </c:pt>
              </c:strCache>
            </c:strRef>
          </c:cat>
          <c:val>
            <c:numRef>
              <c:f>Charts!$J$5:$V$5</c:f>
              <c:numCache>
                <c:formatCode>0.00%</c:formatCode>
                <c:ptCount val="13"/>
                <c:pt idx="0">
                  <c:v>0.16628267230340241</c:v>
                </c:pt>
                <c:pt idx="1">
                  <c:v>0.15089616165948347</c:v>
                </c:pt>
                <c:pt idx="2">
                  <c:v>0.17067182992362862</c:v>
                </c:pt>
                <c:pt idx="3">
                  <c:v>0.17154810650115837</c:v>
                </c:pt>
                <c:pt idx="4">
                  <c:v>0.14008548151781661</c:v>
                </c:pt>
                <c:pt idx="5">
                  <c:v>0.12405758130302663</c:v>
                </c:pt>
                <c:pt idx="6">
                  <c:v>0.11482845904361147</c:v>
                </c:pt>
                <c:pt idx="7">
                  <c:v>0.11944302017331905</c:v>
                </c:pt>
                <c:pt idx="8">
                  <c:v>0.11444302017331905</c:v>
                </c:pt>
                <c:pt idx="9">
                  <c:v>0.10944302017331903</c:v>
                </c:pt>
                <c:pt idx="10">
                  <c:v>0.10444302017331904</c:v>
                </c:pt>
                <c:pt idx="11">
                  <c:v>9.9443020173319033E-2</c:v>
                </c:pt>
                <c:pt idx="12">
                  <c:v>9.4443020173319028E-2</c:v>
                </c:pt>
              </c:numCache>
            </c:numRef>
          </c:val>
          <c:smooth val="0"/>
          <c:extLst>
            <c:ext xmlns:c16="http://schemas.microsoft.com/office/drawing/2014/chart" uri="{C3380CC4-5D6E-409C-BE32-E72D297353CC}">
              <c16:uniqueId val="{00000002-E6B0-4B05-9190-A60598489C7B}"/>
            </c:ext>
          </c:extLst>
        </c:ser>
        <c:dLbls>
          <c:showLegendKey val="0"/>
          <c:showVal val="0"/>
          <c:showCatName val="0"/>
          <c:showSerName val="0"/>
          <c:showPercent val="0"/>
          <c:showBubbleSize val="0"/>
        </c:dLbls>
        <c:smooth val="0"/>
        <c:axId val="239053904"/>
        <c:axId val="239058224"/>
      </c:lineChart>
      <c:catAx>
        <c:axId val="239053904"/>
        <c:scaling>
          <c:orientation val="minMax"/>
        </c:scaling>
        <c:delete val="0"/>
        <c:axPos val="b"/>
        <c:numFmt formatCode="General" sourceLinked="1"/>
        <c:majorTickMark val="out"/>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39058224"/>
        <c:crosses val="autoZero"/>
        <c:auto val="1"/>
        <c:lblAlgn val="ctr"/>
        <c:lblOffset val="100"/>
        <c:noMultiLvlLbl val="0"/>
      </c:catAx>
      <c:valAx>
        <c:axId val="239058224"/>
        <c:scaling>
          <c:orientation val="minMax"/>
        </c:scaling>
        <c:delete val="1"/>
        <c:axPos val="l"/>
        <c:numFmt formatCode="0.00%" sourceLinked="1"/>
        <c:majorTickMark val="out"/>
        <c:minorTickMark val="none"/>
        <c:tickLblPos val="nextTo"/>
        <c:crossAx val="239053904"/>
        <c:crosses val="autoZero"/>
        <c:crossBetween val="midCat"/>
      </c:valAx>
      <c:spPr>
        <a:noFill/>
        <a:ln>
          <a:noFill/>
        </a:ln>
        <a:effectLst/>
      </c:spPr>
    </c:plotArea>
    <c:legend>
      <c:legendPos val="b"/>
      <c:layout>
        <c:manualLayout>
          <c:xMode val="edge"/>
          <c:yMode val="edge"/>
          <c:x val="0.26735223341855918"/>
          <c:y val="0.7551995628333279"/>
          <c:w val="0.48547224087493834"/>
          <c:h val="0.12565844712018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Charts!$A$23:$C$23</c:f>
              <c:strCache>
                <c:ptCount val="3"/>
                <c:pt idx="0">
                  <c:v>Cloud</c:v>
                </c:pt>
              </c:strCache>
            </c:strRef>
          </c:tx>
          <c:spPr>
            <a:solidFill>
              <a:srgbClr val="0067ED"/>
            </a:solidFill>
            <a:ln>
              <a:noFill/>
            </a:ln>
            <a:effectLst/>
          </c:spPr>
          <c:invertIfNegative val="0"/>
          <c:cat>
            <c:strRef>
              <c:f>Charts!$D$22:$P$22</c:f>
              <c:strCache>
                <c:ptCount val="13"/>
                <c:pt idx="0">
                  <c:v>'20A</c:v>
                </c:pt>
                <c:pt idx="1">
                  <c:v>'21A</c:v>
                </c:pt>
                <c:pt idx="2">
                  <c:v>'22A</c:v>
                </c:pt>
                <c:pt idx="3">
                  <c:v>'23A</c:v>
                </c:pt>
                <c:pt idx="4">
                  <c:v>'24A</c:v>
                </c:pt>
                <c:pt idx="5">
                  <c:v>'25A</c:v>
                </c:pt>
                <c:pt idx="6">
                  <c:v>'26A</c:v>
                </c:pt>
                <c:pt idx="7">
                  <c:v>'27E</c:v>
                </c:pt>
                <c:pt idx="8">
                  <c:v>'28E</c:v>
                </c:pt>
                <c:pt idx="9">
                  <c:v>'29E</c:v>
                </c:pt>
                <c:pt idx="10">
                  <c:v>'30E</c:v>
                </c:pt>
                <c:pt idx="11">
                  <c:v>'31E</c:v>
                </c:pt>
                <c:pt idx="12">
                  <c:v>'32E</c:v>
                </c:pt>
              </c:strCache>
            </c:strRef>
          </c:cat>
          <c:val>
            <c:numRef>
              <c:f>Charts!$D$23:$P$23</c:f>
              <c:numCache>
                <c:formatCode>#,##0.00;[Red]\(#,##0.00\)</c:formatCode>
                <c:ptCount val="13"/>
                <c:pt idx="0">
                  <c:v>872.72903545422184</c:v>
                </c:pt>
                <c:pt idx="1">
                  <c:v>1129.5233877016587</c:v>
                </c:pt>
                <c:pt idx="2">
                  <c:v>1515.424</c:v>
                </c:pt>
                <c:pt idx="3">
                  <c:v>2085.5</c:v>
                </c:pt>
                <c:pt idx="4">
                  <c:v>2698.9</c:v>
                </c:pt>
                <c:pt idx="5">
                  <c:v>3447.4</c:v>
                </c:pt>
                <c:pt idx="6">
                  <c:v>4410.6270000000004</c:v>
                </c:pt>
                <c:pt idx="7">
                  <c:v>5909.4217500000004</c:v>
                </c:pt>
                <c:pt idx="8">
                  <c:v>7634.3850903600005</c:v>
                </c:pt>
                <c:pt idx="9">
                  <c:v>9463.2049542189616</c:v>
                </c:pt>
                <c:pt idx="10">
                  <c:v>12137.565839637955</c:v>
                </c:pt>
                <c:pt idx="11">
                  <c:v>13715.449398790888</c:v>
                </c:pt>
                <c:pt idx="12">
                  <c:v>15086.994338669978</c:v>
                </c:pt>
              </c:numCache>
            </c:numRef>
          </c:val>
          <c:extLst>
            <c:ext xmlns:c16="http://schemas.microsoft.com/office/drawing/2014/chart" uri="{C3380CC4-5D6E-409C-BE32-E72D297353CC}">
              <c16:uniqueId val="{00000000-793B-48C2-8CCD-3A125368FFC7}"/>
            </c:ext>
          </c:extLst>
        </c:ser>
        <c:ser>
          <c:idx val="1"/>
          <c:order val="1"/>
          <c:tx>
            <c:strRef>
              <c:f>Charts!$A$24:$C$24</c:f>
              <c:strCache>
                <c:ptCount val="3"/>
                <c:pt idx="0">
                  <c:v>Data Center</c:v>
                </c:pt>
              </c:strCache>
            </c:strRef>
          </c:tx>
          <c:spPr>
            <a:solidFill>
              <a:srgbClr val="82B536"/>
            </a:solidFill>
            <a:ln>
              <a:noFill/>
            </a:ln>
            <a:effectLst/>
          </c:spPr>
          <c:invertIfNegative val="0"/>
          <c:cat>
            <c:strRef>
              <c:f>Charts!$D$22:$P$22</c:f>
              <c:strCache>
                <c:ptCount val="13"/>
                <c:pt idx="0">
                  <c:v>'20A</c:v>
                </c:pt>
                <c:pt idx="1">
                  <c:v>'21A</c:v>
                </c:pt>
                <c:pt idx="2">
                  <c:v>'22A</c:v>
                </c:pt>
                <c:pt idx="3">
                  <c:v>'23A</c:v>
                </c:pt>
                <c:pt idx="4">
                  <c:v>'24A</c:v>
                </c:pt>
                <c:pt idx="5">
                  <c:v>'25A</c:v>
                </c:pt>
                <c:pt idx="6">
                  <c:v>'26A</c:v>
                </c:pt>
                <c:pt idx="7">
                  <c:v>'27E</c:v>
                </c:pt>
                <c:pt idx="8">
                  <c:v>'28E</c:v>
                </c:pt>
                <c:pt idx="9">
                  <c:v>'29E</c:v>
                </c:pt>
                <c:pt idx="10">
                  <c:v>'30E</c:v>
                </c:pt>
                <c:pt idx="11">
                  <c:v>'31E</c:v>
                </c:pt>
                <c:pt idx="12">
                  <c:v>'32E</c:v>
                </c:pt>
              </c:strCache>
            </c:strRef>
          </c:cat>
          <c:val>
            <c:numRef>
              <c:f>Charts!$D$24:$P$24</c:f>
              <c:numCache>
                <c:formatCode>#,##0.00;[Red]\(#,##0.00\)</c:formatCode>
                <c:ptCount val="13"/>
                <c:pt idx="0">
                  <c:v>322.68636395931048</c:v>
                </c:pt>
                <c:pt idx="1">
                  <c:v>417.63454655172785</c:v>
                </c:pt>
                <c:pt idx="2">
                  <c:v>560.31899999999996</c:v>
                </c:pt>
                <c:pt idx="3">
                  <c:v>819.25099999999998</c:v>
                </c:pt>
                <c:pt idx="4">
                  <c:v>1208.498</c:v>
                </c:pt>
                <c:pt idx="5">
                  <c:v>1467.1669999999999</c:v>
                </c:pt>
                <c:pt idx="6">
                  <c:v>1830.941</c:v>
                </c:pt>
                <c:pt idx="7">
                  <c:v>1208.4210599999999</c:v>
                </c:pt>
                <c:pt idx="8">
                  <c:v>1012.6568482799998</c:v>
                </c:pt>
                <c:pt idx="9">
                  <c:v>919.49241823823991</c:v>
                </c:pt>
                <c:pt idx="10">
                  <c:v>0</c:v>
                </c:pt>
                <c:pt idx="11">
                  <c:v>0</c:v>
                </c:pt>
                <c:pt idx="12">
                  <c:v>0</c:v>
                </c:pt>
              </c:numCache>
            </c:numRef>
          </c:val>
          <c:extLst>
            <c:ext xmlns:c16="http://schemas.microsoft.com/office/drawing/2014/chart" uri="{C3380CC4-5D6E-409C-BE32-E72D297353CC}">
              <c16:uniqueId val="{00000001-793B-48C2-8CCD-3A125368FFC7}"/>
            </c:ext>
          </c:extLst>
        </c:ser>
        <c:ser>
          <c:idx val="2"/>
          <c:order val="2"/>
          <c:tx>
            <c:strRef>
              <c:f>Charts!$A$25:$C$25</c:f>
              <c:strCache>
                <c:ptCount val="3"/>
                <c:pt idx="0">
                  <c:v>Server</c:v>
                </c:pt>
              </c:strCache>
            </c:strRef>
          </c:tx>
          <c:spPr>
            <a:solidFill>
              <a:srgbClr val="AF59E1"/>
            </a:solidFill>
            <a:ln>
              <a:noFill/>
            </a:ln>
            <a:effectLst/>
          </c:spPr>
          <c:invertIfNegative val="0"/>
          <c:cat>
            <c:strRef>
              <c:f>Charts!$D$22:$P$22</c:f>
              <c:strCache>
                <c:ptCount val="13"/>
                <c:pt idx="0">
                  <c:v>'20A</c:v>
                </c:pt>
                <c:pt idx="1">
                  <c:v>'21A</c:v>
                </c:pt>
                <c:pt idx="2">
                  <c:v>'22A</c:v>
                </c:pt>
                <c:pt idx="3">
                  <c:v>'23A</c:v>
                </c:pt>
                <c:pt idx="4">
                  <c:v>'24A</c:v>
                </c:pt>
                <c:pt idx="5">
                  <c:v>'25A</c:v>
                </c:pt>
                <c:pt idx="6">
                  <c:v>'26A</c:v>
                </c:pt>
                <c:pt idx="7">
                  <c:v>'27E</c:v>
                </c:pt>
                <c:pt idx="8">
                  <c:v>'28E</c:v>
                </c:pt>
                <c:pt idx="9">
                  <c:v>'29E</c:v>
                </c:pt>
                <c:pt idx="10">
                  <c:v>'30E</c:v>
                </c:pt>
                <c:pt idx="11">
                  <c:v>'31E</c:v>
                </c:pt>
                <c:pt idx="12">
                  <c:v>'32E</c:v>
                </c:pt>
              </c:strCache>
            </c:strRef>
          </c:cat>
          <c:val>
            <c:numRef>
              <c:f>Charts!$D$25:$P$25</c:f>
              <c:numCache>
                <c:formatCode>#,##0.00;[Red]\(#,##0.00\)</c:formatCode>
                <c:ptCount val="13"/>
                <c:pt idx="0">
                  <c:v>302.36236197028637</c:v>
                </c:pt>
                <c:pt idx="1">
                  <c:v>391.33035058058107</c:v>
                </c:pt>
                <c:pt idx="2">
                  <c:v>525.02800000000002</c:v>
                </c:pt>
                <c:pt idx="3">
                  <c:v>400.517</c:v>
                </c:pt>
                <c:pt idx="4">
                  <c:v>177.64500000000001</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2-793B-48C2-8CCD-3A125368FFC7}"/>
            </c:ext>
          </c:extLst>
        </c:ser>
        <c:ser>
          <c:idx val="3"/>
          <c:order val="3"/>
          <c:tx>
            <c:strRef>
              <c:f>Charts!$A$26:$C$26</c:f>
              <c:strCache>
                <c:ptCount val="3"/>
                <c:pt idx="0">
                  <c:v>Marketplace &amp; Other</c:v>
                </c:pt>
              </c:strCache>
            </c:strRef>
          </c:tx>
          <c:spPr>
            <a:solidFill>
              <a:srgbClr val="FBC828"/>
            </a:solidFill>
            <a:ln>
              <a:noFill/>
            </a:ln>
            <a:effectLst/>
          </c:spPr>
          <c:invertIfNegative val="0"/>
          <c:cat>
            <c:strRef>
              <c:f>Charts!$D$22:$P$22</c:f>
              <c:strCache>
                <c:ptCount val="13"/>
                <c:pt idx="0">
                  <c:v>'20A</c:v>
                </c:pt>
                <c:pt idx="1">
                  <c:v>'21A</c:v>
                </c:pt>
                <c:pt idx="2">
                  <c:v>'22A</c:v>
                </c:pt>
                <c:pt idx="3">
                  <c:v>'23A</c:v>
                </c:pt>
                <c:pt idx="4">
                  <c:v>'24A</c:v>
                </c:pt>
                <c:pt idx="5">
                  <c:v>'25A</c:v>
                </c:pt>
                <c:pt idx="6">
                  <c:v>'26A</c:v>
                </c:pt>
                <c:pt idx="7">
                  <c:v>'27E</c:v>
                </c:pt>
                <c:pt idx="8">
                  <c:v>'28E</c:v>
                </c:pt>
                <c:pt idx="9">
                  <c:v>'29E</c:v>
                </c:pt>
                <c:pt idx="10">
                  <c:v>'30E</c:v>
                </c:pt>
                <c:pt idx="11">
                  <c:v>'31E</c:v>
                </c:pt>
                <c:pt idx="12">
                  <c:v>'32E</c:v>
                </c:pt>
              </c:strCache>
            </c:strRef>
          </c:cat>
          <c:val>
            <c:numRef>
              <c:f>Charts!$D$26:$P$26</c:f>
              <c:numCache>
                <c:formatCode>#,##0.00;[Red]\(#,##0.00\)</c:formatCode>
                <c:ptCount val="13"/>
                <c:pt idx="0">
                  <c:v>116.39523861618149</c:v>
                </c:pt>
                <c:pt idx="1">
                  <c:v>150.64371516603268</c:v>
                </c:pt>
                <c:pt idx="2">
                  <c:v>202.11099999999999</c:v>
                </c:pt>
                <c:pt idx="3">
                  <c:v>229.37899999999999</c:v>
                </c:pt>
                <c:pt idx="4">
                  <c:v>273.56</c:v>
                </c:pt>
                <c:pt idx="5">
                  <c:v>300.73700000000002</c:v>
                </c:pt>
                <c:pt idx="6">
                  <c:v>330.74</c:v>
                </c:pt>
                <c:pt idx="7">
                  <c:v>373.7362</c:v>
                </c:pt>
                <c:pt idx="8">
                  <c:v>416.71586300000001</c:v>
                </c:pt>
                <c:pt idx="9">
                  <c:v>460.47102861500002</c:v>
                </c:pt>
                <c:pt idx="10">
                  <c:v>501.91342119035005</c:v>
                </c:pt>
                <c:pt idx="11">
                  <c:v>539.55692777962633</c:v>
                </c:pt>
                <c:pt idx="12">
                  <c:v>571.93034344640398</c:v>
                </c:pt>
              </c:numCache>
            </c:numRef>
          </c:val>
          <c:extLst>
            <c:ext xmlns:c16="http://schemas.microsoft.com/office/drawing/2014/chart" uri="{C3380CC4-5D6E-409C-BE32-E72D297353CC}">
              <c16:uniqueId val="{00000003-793B-48C2-8CCD-3A125368FFC7}"/>
            </c:ext>
          </c:extLst>
        </c:ser>
        <c:dLbls>
          <c:showLegendKey val="0"/>
          <c:showVal val="0"/>
          <c:showCatName val="0"/>
          <c:showSerName val="0"/>
          <c:showPercent val="0"/>
          <c:showBubbleSize val="0"/>
        </c:dLbls>
        <c:gapWidth val="150"/>
        <c:overlap val="100"/>
        <c:axId val="385861904"/>
        <c:axId val="385863824"/>
      </c:barChart>
      <c:catAx>
        <c:axId val="385861904"/>
        <c:scaling>
          <c:orientation val="minMax"/>
        </c:scaling>
        <c:delete val="0"/>
        <c:axPos val="b"/>
        <c:numFmt formatCode="General" sourceLinked="1"/>
        <c:majorTickMark val="none"/>
        <c:minorTickMark val="out"/>
        <c:tickLblPos val="nextTo"/>
        <c:spPr>
          <a:noFill/>
          <a:ln w="952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85863824"/>
        <c:crosses val="autoZero"/>
        <c:auto val="1"/>
        <c:lblAlgn val="ctr"/>
        <c:lblOffset val="100"/>
        <c:noMultiLvlLbl val="0"/>
      </c:catAx>
      <c:valAx>
        <c:axId val="385863824"/>
        <c:scaling>
          <c:orientation val="minMax"/>
        </c:scaling>
        <c:delete val="0"/>
        <c:axPos val="l"/>
        <c:numFmt formatCode="\ \ \ &quot;$&quot;#,##0&quot;M&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8586190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063272539280777"/>
          <c:y val="5.0829961952117961E-2"/>
          <c:w val="0.75686448587592181"/>
          <c:h val="0.84854080732503812"/>
        </c:manualLayout>
      </c:layout>
      <c:barChart>
        <c:barDir val="col"/>
        <c:grouping val="clustered"/>
        <c:varyColors val="0"/>
        <c:ser>
          <c:idx val="0"/>
          <c:order val="0"/>
          <c:tx>
            <c:v>Gross Profit (US$B)</c:v>
          </c:tx>
          <c:spPr>
            <a:solidFill>
              <a:srgbClr val="0067ED"/>
            </a:solidFill>
            <a:ln>
              <a:noFill/>
            </a:ln>
            <a:effectLst/>
          </c:spPr>
          <c:invertIfNegative val="0"/>
          <c:cat>
            <c:strRef>
              <c:f>Charts!$S$22:$AE$22</c:f>
              <c:strCache>
                <c:ptCount val="13"/>
                <c:pt idx="0">
                  <c:v>'20A</c:v>
                </c:pt>
                <c:pt idx="1">
                  <c:v>'21A</c:v>
                </c:pt>
                <c:pt idx="2">
                  <c:v>'22A</c:v>
                </c:pt>
                <c:pt idx="3">
                  <c:v>'23A</c:v>
                </c:pt>
                <c:pt idx="4">
                  <c:v>'24A</c:v>
                </c:pt>
                <c:pt idx="5">
                  <c:v>'25A</c:v>
                </c:pt>
                <c:pt idx="6">
                  <c:v>'26A</c:v>
                </c:pt>
                <c:pt idx="7">
                  <c:v>'27E</c:v>
                </c:pt>
                <c:pt idx="8">
                  <c:v>'28E</c:v>
                </c:pt>
                <c:pt idx="9">
                  <c:v>'29E</c:v>
                </c:pt>
                <c:pt idx="10">
                  <c:v>'30E</c:v>
                </c:pt>
                <c:pt idx="11">
                  <c:v>'31E</c:v>
                </c:pt>
                <c:pt idx="12">
                  <c:v>'32E</c:v>
                </c:pt>
              </c:strCache>
            </c:strRef>
          </c:cat>
          <c:val>
            <c:numRef>
              <c:f>Charts!$S$23:$AE$23</c:f>
              <c:numCache>
                <c:formatCode>0.00</c:formatCode>
                <c:ptCount val="13"/>
                <c:pt idx="0">
                  <c:v>1.3453660000000001</c:v>
                </c:pt>
                <c:pt idx="1">
                  <c:v>1.7531110000000001</c:v>
                </c:pt>
                <c:pt idx="2">
                  <c:v>2.3371749999999998</c:v>
                </c:pt>
                <c:pt idx="3">
                  <c:v>2.9008820000000002</c:v>
                </c:pt>
                <c:pt idx="4">
                  <c:v>3.5551080000000002</c:v>
                </c:pt>
                <c:pt idx="5">
                  <c:v>4.3204530000000005</c:v>
                </c:pt>
                <c:pt idx="6">
                  <c:v>5.5754760000000001</c:v>
                </c:pt>
                <c:pt idx="7">
                  <c:v>6.2067683617173639</c:v>
                </c:pt>
                <c:pt idx="8">
                  <c:v>7.4926573387235171</c:v>
                </c:pt>
                <c:pt idx="9">
                  <c:v>9.0039328303269279</c:v>
                </c:pt>
                <c:pt idx="10">
                  <c:v>10.560280923404859</c:v>
                </c:pt>
                <c:pt idx="11">
                  <c:v>11.95151268345797</c:v>
                </c:pt>
                <c:pt idx="12">
                  <c:v>13.112270278378285</c:v>
                </c:pt>
              </c:numCache>
            </c:numRef>
          </c:val>
          <c:extLst>
            <c:ext xmlns:c16="http://schemas.microsoft.com/office/drawing/2014/chart" uri="{C3380CC4-5D6E-409C-BE32-E72D297353CC}">
              <c16:uniqueId val="{00000000-9BC2-4F01-8E43-61F4687E6AFA}"/>
            </c:ext>
          </c:extLst>
        </c:ser>
        <c:dLbls>
          <c:showLegendKey val="0"/>
          <c:showVal val="0"/>
          <c:showCatName val="0"/>
          <c:showSerName val="0"/>
          <c:showPercent val="0"/>
          <c:showBubbleSize val="0"/>
        </c:dLbls>
        <c:gapWidth val="219"/>
        <c:overlap val="-27"/>
        <c:axId val="597820624"/>
        <c:axId val="2137791360"/>
      </c:barChart>
      <c:lineChart>
        <c:grouping val="standard"/>
        <c:varyColors val="0"/>
        <c:ser>
          <c:idx val="1"/>
          <c:order val="1"/>
          <c:tx>
            <c:v>Gross Profit Margin (%)</c:v>
          </c:tx>
          <c:spPr>
            <a:ln w="28575" cap="rnd">
              <a:solidFill>
                <a:srgbClr val="B3D1FA"/>
              </a:solidFill>
              <a:round/>
            </a:ln>
            <a:effectLst/>
          </c:spPr>
          <c:marker>
            <c:symbol val="none"/>
          </c:marker>
          <c:cat>
            <c:strRef>
              <c:f>Charts!$S$22:$AE$22</c:f>
              <c:strCache>
                <c:ptCount val="13"/>
                <c:pt idx="0">
                  <c:v>'20A</c:v>
                </c:pt>
                <c:pt idx="1">
                  <c:v>'21A</c:v>
                </c:pt>
                <c:pt idx="2">
                  <c:v>'22A</c:v>
                </c:pt>
                <c:pt idx="3">
                  <c:v>'23A</c:v>
                </c:pt>
                <c:pt idx="4">
                  <c:v>'24A</c:v>
                </c:pt>
                <c:pt idx="5">
                  <c:v>'25A</c:v>
                </c:pt>
                <c:pt idx="6">
                  <c:v>'26A</c:v>
                </c:pt>
                <c:pt idx="7">
                  <c:v>'27E</c:v>
                </c:pt>
                <c:pt idx="8">
                  <c:v>'28E</c:v>
                </c:pt>
                <c:pt idx="9">
                  <c:v>'29E</c:v>
                </c:pt>
                <c:pt idx="10">
                  <c:v>'30E</c:v>
                </c:pt>
                <c:pt idx="11">
                  <c:v>'31E</c:v>
                </c:pt>
                <c:pt idx="12">
                  <c:v>'32E</c:v>
                </c:pt>
              </c:strCache>
            </c:strRef>
          </c:cat>
          <c:val>
            <c:numRef>
              <c:f>Charts!$S$24:$AE$24</c:f>
              <c:numCache>
                <c:formatCode>0.00%</c:formatCode>
                <c:ptCount val="13"/>
                <c:pt idx="0">
                  <c:v>0.83347076180805901</c:v>
                </c:pt>
                <c:pt idx="1">
                  <c:v>0.83915760229607328</c:v>
                </c:pt>
                <c:pt idx="2">
                  <c:v>0.83384709024496928</c:v>
                </c:pt>
                <c:pt idx="3">
                  <c:v>0.82069920985037548</c:v>
                </c:pt>
                <c:pt idx="4">
                  <c:v>0.81565308884521026</c:v>
                </c:pt>
                <c:pt idx="5">
                  <c:v>0.82841824752689397</c:v>
                </c:pt>
                <c:pt idx="6">
                  <c:v>0.84832847152020263</c:v>
                </c:pt>
                <c:pt idx="7">
                  <c:v>0.82313997051596366</c:v>
                </c:pt>
                <c:pt idx="8">
                  <c:v>0.82048585224323578</c:v>
                </c:pt>
                <c:pt idx="9">
                  <c:v>0.81738618189807632</c:v>
                </c:pt>
                <c:pt idx="10">
                  <c:v>0.81377869481610576</c:v>
                </c:pt>
                <c:pt idx="11">
                  <c:v>0.81480665417811415</c:v>
                </c:pt>
                <c:pt idx="12">
                  <c:v>0.81159954734227679</c:v>
                </c:pt>
              </c:numCache>
            </c:numRef>
          </c:val>
          <c:smooth val="0"/>
          <c:extLst>
            <c:ext xmlns:c16="http://schemas.microsoft.com/office/drawing/2014/chart" uri="{C3380CC4-5D6E-409C-BE32-E72D297353CC}">
              <c16:uniqueId val="{00000001-9BC2-4F01-8E43-61F4687E6AFA}"/>
            </c:ext>
          </c:extLst>
        </c:ser>
        <c:dLbls>
          <c:showLegendKey val="0"/>
          <c:showVal val="0"/>
          <c:showCatName val="0"/>
          <c:showSerName val="0"/>
          <c:showPercent val="0"/>
          <c:showBubbleSize val="0"/>
        </c:dLbls>
        <c:marker val="1"/>
        <c:smooth val="0"/>
        <c:axId val="202410768"/>
        <c:axId val="2137797120"/>
      </c:lineChart>
      <c:catAx>
        <c:axId val="597820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137791360"/>
        <c:crosses val="autoZero"/>
        <c:auto val="1"/>
        <c:lblAlgn val="ctr"/>
        <c:lblOffset val="100"/>
        <c:noMultiLvlLbl val="0"/>
      </c:catAx>
      <c:valAx>
        <c:axId val="2137791360"/>
        <c:scaling>
          <c:orientation val="minMax"/>
        </c:scaling>
        <c:delete val="0"/>
        <c:axPos val="l"/>
        <c:numFmt formatCode="\ \ \ &quot;$&quot;#,##0&quot;B&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97820624"/>
        <c:crosses val="autoZero"/>
        <c:crossBetween val="between"/>
      </c:valAx>
      <c:valAx>
        <c:axId val="2137797120"/>
        <c:scaling>
          <c:orientation val="minMax"/>
          <c:min val="0.79"/>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2410768"/>
        <c:crosses val="max"/>
        <c:crossBetween val="between"/>
      </c:valAx>
      <c:catAx>
        <c:axId val="202410768"/>
        <c:scaling>
          <c:orientation val="minMax"/>
        </c:scaling>
        <c:delete val="1"/>
        <c:axPos val="b"/>
        <c:numFmt formatCode="General" sourceLinked="1"/>
        <c:majorTickMark val="out"/>
        <c:minorTickMark val="none"/>
        <c:tickLblPos val="nextTo"/>
        <c:crossAx val="2137797120"/>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solidFill>
                <a:srgbClr val="0067ED"/>
              </a:solidFill>
              <a:round/>
            </a:ln>
            <a:effectLst/>
          </c:spPr>
          <c:marker>
            <c:symbol val="circle"/>
            <c:size val="5"/>
            <c:spPr>
              <a:solidFill>
                <a:schemeClr val="accent1"/>
              </a:solidFill>
              <a:ln w="38100">
                <a:solidFill>
                  <a:srgbClr val="004AAC"/>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Charts!$A$51:$A$60</c:f>
              <c:strCache>
                <c:ptCount val="10"/>
                <c:pt idx="0">
                  <c:v>'17A</c:v>
                </c:pt>
                <c:pt idx="1">
                  <c:v>'18A</c:v>
                </c:pt>
                <c:pt idx="2">
                  <c:v>'19A</c:v>
                </c:pt>
                <c:pt idx="3">
                  <c:v>'20A</c:v>
                </c:pt>
                <c:pt idx="4">
                  <c:v>'21A</c:v>
                </c:pt>
                <c:pt idx="5">
                  <c:v>'22A</c:v>
                </c:pt>
                <c:pt idx="6">
                  <c:v>'23A</c:v>
                </c:pt>
                <c:pt idx="7">
                  <c:v>'24A</c:v>
                </c:pt>
                <c:pt idx="8">
                  <c:v>'25A</c:v>
                </c:pt>
                <c:pt idx="9">
                  <c:v>'26A</c:v>
                </c:pt>
              </c:strCache>
            </c:strRef>
          </c:cat>
          <c:val>
            <c:numRef>
              <c:f>Charts!$B$51:$B$60</c:f>
              <c:numCache>
                <c:formatCode>General</c:formatCode>
                <c:ptCount val="10"/>
                <c:pt idx="0">
                  <c:v>20</c:v>
                </c:pt>
                <c:pt idx="1">
                  <c:v>27</c:v>
                </c:pt>
                <c:pt idx="2">
                  <c:v>58</c:v>
                </c:pt>
                <c:pt idx="3">
                  <c:v>50</c:v>
                </c:pt>
                <c:pt idx="4">
                  <c:v>56</c:v>
                </c:pt>
                <c:pt idx="5">
                  <c:v>50</c:v>
                </c:pt>
                <c:pt idx="6">
                  <c:v>55</c:v>
                </c:pt>
                <c:pt idx="7">
                  <c:v>78</c:v>
                </c:pt>
                <c:pt idx="8">
                  <c:v>88</c:v>
                </c:pt>
                <c:pt idx="9">
                  <c:v>89</c:v>
                </c:pt>
              </c:numCache>
            </c:numRef>
          </c:val>
          <c:smooth val="0"/>
          <c:extLst>
            <c:ext xmlns:c16="http://schemas.microsoft.com/office/drawing/2014/chart" uri="{C3380CC4-5D6E-409C-BE32-E72D297353CC}">
              <c16:uniqueId val="{00000000-05A0-444F-8C3E-A073D76631E5}"/>
            </c:ext>
          </c:extLst>
        </c:ser>
        <c:dLbls>
          <c:dLblPos val="t"/>
          <c:showLegendKey val="0"/>
          <c:showVal val="1"/>
          <c:showCatName val="0"/>
          <c:showSerName val="0"/>
          <c:showPercent val="0"/>
          <c:showBubbleSize val="0"/>
        </c:dLbls>
        <c:marker val="1"/>
        <c:smooth val="0"/>
        <c:axId val="1085569888"/>
        <c:axId val="1085571616"/>
      </c:lineChart>
      <c:catAx>
        <c:axId val="1085569888"/>
        <c:scaling>
          <c:orientation val="minMax"/>
        </c:scaling>
        <c:delete val="0"/>
        <c:axPos val="b"/>
        <c:numFmt formatCode="General" sourceLinked="1"/>
        <c:majorTickMark val="none"/>
        <c:minorTickMark val="out"/>
        <c:tickLblPos val="nextTo"/>
        <c:spPr>
          <a:noFill/>
          <a:ln w="952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085571616"/>
        <c:crosses val="autoZero"/>
        <c:auto val="1"/>
        <c:lblAlgn val="ctr"/>
        <c:lblOffset val="100"/>
        <c:noMultiLvlLbl val="0"/>
      </c:catAx>
      <c:valAx>
        <c:axId val="1085571616"/>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085569888"/>
        <c:crosses val="autoZero"/>
        <c:crossBetween val="between"/>
        <c:majorUnit val="20"/>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0067ED"/>
            </a:solidFill>
            <a:ln>
              <a:noFill/>
            </a:ln>
            <a:effectLst/>
          </c:spPr>
          <c:invertIfNegative val="0"/>
          <c:dLbls>
            <c:dLbl>
              <c:idx val="5"/>
              <c:layout>
                <c:manualLayout>
                  <c:x val="-2.7281290512447894E-3"/>
                  <c:y val="-6.897194208027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7570-46DD-AEE7-5946B1C9CC3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Charts!$AA$2:$AG$2</c:f>
              <c:strCache>
                <c:ptCount val="7"/>
                <c:pt idx="0">
                  <c:v>'20A</c:v>
                </c:pt>
                <c:pt idx="1">
                  <c:v>'21A</c:v>
                </c:pt>
                <c:pt idx="2">
                  <c:v>'22A</c:v>
                </c:pt>
                <c:pt idx="3">
                  <c:v>'23A</c:v>
                </c:pt>
                <c:pt idx="4">
                  <c:v>'24A</c:v>
                </c:pt>
                <c:pt idx="5">
                  <c:v>'25A</c:v>
                </c:pt>
                <c:pt idx="6">
                  <c:v>'26A</c:v>
                </c:pt>
              </c:strCache>
            </c:strRef>
          </c:cat>
          <c:val>
            <c:numRef>
              <c:f>Charts!$AA$3:$AG$3</c:f>
              <c:numCache>
                <c:formatCode>General</c:formatCode>
                <c:ptCount val="7"/>
                <c:pt idx="0">
                  <c:v>25.4</c:v>
                </c:pt>
                <c:pt idx="1">
                  <c:v>56.7</c:v>
                </c:pt>
                <c:pt idx="2">
                  <c:v>91.7</c:v>
                </c:pt>
                <c:pt idx="3">
                  <c:v>147.80000000000001</c:v>
                </c:pt>
                <c:pt idx="4">
                  <c:v>249.70000000000002</c:v>
                </c:pt>
                <c:pt idx="5">
                  <c:v>282.20000000000005</c:v>
                </c:pt>
                <c:pt idx="6">
                  <c:v>369.20000000000005</c:v>
                </c:pt>
              </c:numCache>
            </c:numRef>
          </c:val>
          <c:extLst>
            <c:ext xmlns:c16="http://schemas.microsoft.com/office/drawing/2014/chart" uri="{C3380CC4-5D6E-409C-BE32-E72D297353CC}">
              <c16:uniqueId val="{00000000-7570-46DD-AEE7-5946B1C9CC34}"/>
            </c:ext>
          </c:extLst>
        </c:ser>
        <c:dLbls>
          <c:dLblPos val="outEnd"/>
          <c:showLegendKey val="0"/>
          <c:showVal val="1"/>
          <c:showCatName val="0"/>
          <c:showSerName val="0"/>
          <c:showPercent val="0"/>
          <c:showBubbleSize val="0"/>
        </c:dLbls>
        <c:gapWidth val="219"/>
        <c:overlap val="-27"/>
        <c:axId val="967952976"/>
        <c:axId val="967953936"/>
      </c:barChart>
      <c:catAx>
        <c:axId val="967952976"/>
        <c:scaling>
          <c:orientation val="minMax"/>
        </c:scaling>
        <c:delete val="0"/>
        <c:axPos val="b"/>
        <c:numFmt formatCode="General" sourceLinked="1"/>
        <c:majorTickMark val="none"/>
        <c:minorTickMark val="out"/>
        <c:tickLblPos val="nextTo"/>
        <c:spPr>
          <a:solidFill>
            <a:schemeClr val="bg1"/>
          </a:solidFill>
          <a:ln w="952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967953936"/>
        <c:crosses val="autoZero"/>
        <c:auto val="1"/>
        <c:lblAlgn val="ctr"/>
        <c:lblOffset val="100"/>
        <c:noMultiLvlLbl val="0"/>
      </c:catAx>
      <c:valAx>
        <c:axId val="967953936"/>
        <c:scaling>
          <c:orientation val="minMax"/>
        </c:scaling>
        <c:delete val="1"/>
        <c:axPos val="l"/>
        <c:numFmt formatCode="General" sourceLinked="1"/>
        <c:majorTickMark val="out"/>
        <c:minorTickMark val="none"/>
        <c:tickLblPos val="nextTo"/>
        <c:crossAx val="967952976"/>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2900761982282743E-2"/>
          <c:y val="2.7661524621027955E-2"/>
          <c:w val="0.97243089356560986"/>
          <c:h val="0.83328492211021066"/>
        </c:manualLayout>
      </c:layout>
      <c:barChart>
        <c:barDir val="col"/>
        <c:grouping val="clustered"/>
        <c:varyColors val="0"/>
        <c:ser>
          <c:idx val="0"/>
          <c:order val="0"/>
          <c:spPr>
            <a:solidFill>
              <a:srgbClr val="B3D1FA"/>
            </a:solidFill>
            <a:ln>
              <a:noFill/>
            </a:ln>
            <a:effectLst/>
          </c:spPr>
          <c:invertIfNegative val="0"/>
          <c:dPt>
            <c:idx val="0"/>
            <c:invertIfNegative val="0"/>
            <c:bubble3D val="0"/>
            <c:spPr>
              <a:solidFill>
                <a:srgbClr val="0067ED"/>
              </a:solidFill>
              <a:ln>
                <a:noFill/>
              </a:ln>
              <a:effectLst/>
            </c:spPr>
            <c:extLst>
              <c:ext xmlns:c16="http://schemas.microsoft.com/office/drawing/2014/chart" uri="{C3380CC4-5D6E-409C-BE32-E72D297353CC}">
                <c16:uniqueId val="{00000001-938D-4BD9-98A0-8A6A781108C0}"/>
              </c:ext>
            </c:extLst>
          </c:dPt>
          <c:dLbls>
            <c:dLbl>
              <c:idx val="6"/>
              <c:layout>
                <c:manualLayout>
                  <c:x val="0"/>
                  <c:y val="2.1499074918990623E-2"/>
                </c:manualLayout>
              </c:layout>
              <c:dLblPos val="outEnd"/>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7-938D-4BD9-98A0-8A6A781108C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Charts!$AJ$25:$AP$25</c:f>
              <c:strCache>
                <c:ptCount val="7"/>
                <c:pt idx="0">
                  <c:v>Atlassian Corp </c:v>
                </c:pt>
                <c:pt idx="1">
                  <c:v>ServiceNow</c:v>
                </c:pt>
                <c:pt idx="2">
                  <c:v>HubSpot</c:v>
                </c:pt>
                <c:pt idx="3">
                  <c:v>GitLab</c:v>
                </c:pt>
                <c:pt idx="4">
                  <c:v>Monday.com</c:v>
                </c:pt>
                <c:pt idx="5">
                  <c:v>Freshworks</c:v>
                </c:pt>
                <c:pt idx="6">
                  <c:v>Asana</c:v>
                </c:pt>
              </c:strCache>
            </c:strRef>
          </c:cat>
          <c:val>
            <c:numRef>
              <c:f>Charts!$AJ$26:$AP$26</c:f>
              <c:numCache>
                <c:formatCode>0.00"x";\(0.00"x"\)</c:formatCode>
                <c:ptCount val="7"/>
                <c:pt idx="0">
                  <c:v>22.642684344195882</c:v>
                </c:pt>
                <c:pt idx="1">
                  <c:v>19.318169042300205</c:v>
                </c:pt>
                <c:pt idx="2">
                  <c:v>8.4230761670761662</c:v>
                </c:pt>
                <c:pt idx="3">
                  <c:v>49.291457425742564</c:v>
                </c:pt>
                <c:pt idx="4">
                  <c:v>9.7332464528069096</c:v>
                </c:pt>
                <c:pt idx="5">
                  <c:v>11.143876166407466</c:v>
                </c:pt>
                <c:pt idx="6">
                  <c:v>15.902267666916728</c:v>
                </c:pt>
              </c:numCache>
            </c:numRef>
          </c:val>
          <c:extLst>
            <c:ext xmlns:c16="http://schemas.microsoft.com/office/drawing/2014/chart" uri="{C3380CC4-5D6E-409C-BE32-E72D297353CC}">
              <c16:uniqueId val="{00000000-938D-4BD9-98A0-8A6A781108C0}"/>
            </c:ext>
          </c:extLst>
        </c:ser>
        <c:dLbls>
          <c:dLblPos val="outEnd"/>
          <c:showLegendKey val="0"/>
          <c:showVal val="1"/>
          <c:showCatName val="0"/>
          <c:showSerName val="0"/>
          <c:showPercent val="0"/>
          <c:showBubbleSize val="0"/>
        </c:dLbls>
        <c:gapWidth val="150"/>
        <c:axId val="616058303"/>
        <c:axId val="616061183"/>
      </c:barChart>
      <c:lineChart>
        <c:grouping val="standard"/>
        <c:varyColors val="0"/>
        <c:ser>
          <c:idx val="1"/>
          <c:order val="1"/>
          <c:tx>
            <c:v>Average: 19.49x</c:v>
          </c:tx>
          <c:spPr>
            <a:ln w="19050" cap="rnd">
              <a:solidFill>
                <a:srgbClr val="FF0000"/>
              </a:solidFill>
              <a:prstDash val="dash"/>
              <a:round/>
            </a:ln>
            <a:effectLst/>
          </c:spPr>
          <c:marker>
            <c:symbol val="none"/>
          </c:marker>
          <c:dLbls>
            <c:delete val="1"/>
          </c:dLbls>
          <c:val>
            <c:numRef>
              <c:f>Charts!$AJ$27:$AP$27</c:f>
              <c:numCache>
                <c:formatCode>0.00"x";\(0.00"x"\)</c:formatCode>
                <c:ptCount val="7"/>
                <c:pt idx="0">
                  <c:v>19.493539609349419</c:v>
                </c:pt>
                <c:pt idx="1">
                  <c:v>19.493539609349419</c:v>
                </c:pt>
                <c:pt idx="2">
                  <c:v>19.493539609349419</c:v>
                </c:pt>
                <c:pt idx="3">
                  <c:v>19.493539609349419</c:v>
                </c:pt>
                <c:pt idx="4">
                  <c:v>19.493539609349419</c:v>
                </c:pt>
                <c:pt idx="5">
                  <c:v>19.493539609349419</c:v>
                </c:pt>
                <c:pt idx="6">
                  <c:v>19.493539609349419</c:v>
                </c:pt>
              </c:numCache>
            </c:numRef>
          </c:val>
          <c:smooth val="0"/>
          <c:extLst>
            <c:ext xmlns:c16="http://schemas.microsoft.com/office/drawing/2014/chart" uri="{C3380CC4-5D6E-409C-BE32-E72D297353CC}">
              <c16:uniqueId val="{00000009-938D-4BD9-98A0-8A6A781108C0}"/>
            </c:ext>
          </c:extLst>
        </c:ser>
        <c:dLbls>
          <c:showLegendKey val="0"/>
          <c:showVal val="1"/>
          <c:showCatName val="0"/>
          <c:showSerName val="0"/>
          <c:showPercent val="0"/>
          <c:showBubbleSize val="0"/>
        </c:dLbls>
        <c:marker val="1"/>
        <c:smooth val="0"/>
        <c:axId val="616058303"/>
        <c:axId val="616061183"/>
      </c:lineChart>
      <c:catAx>
        <c:axId val="616058303"/>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16061183"/>
        <c:crosses val="autoZero"/>
        <c:auto val="1"/>
        <c:lblAlgn val="ctr"/>
        <c:lblOffset val="100"/>
        <c:noMultiLvlLbl val="0"/>
      </c:catAx>
      <c:valAx>
        <c:axId val="616061183"/>
        <c:scaling>
          <c:orientation val="minMax"/>
        </c:scaling>
        <c:delete val="1"/>
        <c:axPos val="l"/>
        <c:numFmt formatCode="0.00&quot;x&quot;;\(0.00&quot;x&quot;\)" sourceLinked="1"/>
        <c:majorTickMark val="none"/>
        <c:minorTickMark val="none"/>
        <c:tickLblPos val="nextTo"/>
        <c:crossAx val="616058303"/>
        <c:crosses val="autoZero"/>
        <c:crossBetween val="between"/>
      </c:valAx>
      <c:spPr>
        <a:noFill/>
        <a:ln>
          <a:noFill/>
        </a:ln>
        <a:effectLst/>
      </c:spPr>
    </c:plotArea>
    <c:legend>
      <c:legendPos val="t"/>
      <c:legendEntry>
        <c:idx val="0"/>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0067ED"/>
            </a:solidFill>
            <a:ln>
              <a:noFill/>
            </a:ln>
            <a:effectLst/>
          </c:spPr>
          <c:invertIfNegative val="0"/>
          <c:cat>
            <c:strRef>
              <c:f>Charts!$AJ$55:$AV$55</c:f>
              <c:strCache>
                <c:ptCount val="13"/>
                <c:pt idx="0">
                  <c:v>'20A</c:v>
                </c:pt>
                <c:pt idx="1">
                  <c:v>'21A</c:v>
                </c:pt>
                <c:pt idx="2">
                  <c:v>'22A</c:v>
                </c:pt>
                <c:pt idx="3">
                  <c:v>'23A</c:v>
                </c:pt>
                <c:pt idx="4">
                  <c:v>'24A</c:v>
                </c:pt>
                <c:pt idx="5">
                  <c:v>'25A</c:v>
                </c:pt>
                <c:pt idx="6">
                  <c:v>'26A</c:v>
                </c:pt>
                <c:pt idx="7">
                  <c:v>'27E</c:v>
                </c:pt>
                <c:pt idx="8">
                  <c:v>'28E</c:v>
                </c:pt>
                <c:pt idx="9">
                  <c:v>'29E</c:v>
                </c:pt>
                <c:pt idx="10">
                  <c:v>'30E</c:v>
                </c:pt>
                <c:pt idx="11">
                  <c:v>'31E</c:v>
                </c:pt>
                <c:pt idx="12">
                  <c:v>'32E</c:v>
                </c:pt>
              </c:strCache>
            </c:strRef>
          </c:cat>
          <c:val>
            <c:numRef>
              <c:f>Charts!$AJ$56:$AV$56</c:f>
              <c:numCache>
                <c:formatCode>0.00</c:formatCode>
                <c:ptCount val="13"/>
                <c:pt idx="0">
                  <c:v>183.62799999999999</c:v>
                </c:pt>
                <c:pt idx="1">
                  <c:v>253.85900000000001</c:v>
                </c:pt>
                <c:pt idx="2">
                  <c:v>410.35399999999998</c:v>
                </c:pt>
                <c:pt idx="3">
                  <c:v>581.28499999999997</c:v>
                </c:pt>
                <c:pt idx="4">
                  <c:v>724.75700000000006</c:v>
                </c:pt>
                <c:pt idx="5">
                  <c:v>816.11300000000006</c:v>
                </c:pt>
                <c:pt idx="6">
                  <c:v>856.16200000000003</c:v>
                </c:pt>
                <c:pt idx="7">
                  <c:v>1194.4376208312112</c:v>
                </c:pt>
                <c:pt idx="8">
                  <c:v>1484.2492718292281</c:v>
                </c:pt>
                <c:pt idx="9">
                  <c:v>1830.6057627404953</c:v>
                </c:pt>
                <c:pt idx="10">
                  <c:v>2198.117952129166</c:v>
                </c:pt>
                <c:pt idx="11">
                  <c:v>2551.7024786939546</c:v>
                </c:pt>
                <c:pt idx="12">
                  <c:v>2882.869127704223</c:v>
                </c:pt>
              </c:numCache>
            </c:numRef>
          </c:val>
          <c:extLst>
            <c:ext xmlns:c16="http://schemas.microsoft.com/office/drawing/2014/chart" uri="{C3380CC4-5D6E-409C-BE32-E72D297353CC}">
              <c16:uniqueId val="{00000000-B920-4456-BD77-48E79A4F630A}"/>
            </c:ext>
          </c:extLst>
        </c:ser>
        <c:dLbls>
          <c:showLegendKey val="0"/>
          <c:showVal val="0"/>
          <c:showCatName val="0"/>
          <c:showSerName val="0"/>
          <c:showPercent val="0"/>
          <c:showBubbleSize val="0"/>
        </c:dLbls>
        <c:gapWidth val="219"/>
        <c:overlap val="-27"/>
        <c:axId val="304019072"/>
        <c:axId val="304013792"/>
      </c:barChart>
      <c:lineChart>
        <c:grouping val="standard"/>
        <c:varyColors val="0"/>
        <c:ser>
          <c:idx val="1"/>
          <c:order val="1"/>
          <c:tx>
            <c:v>COGS/Revenue (%)</c:v>
          </c:tx>
          <c:spPr>
            <a:ln w="28575" cap="rnd">
              <a:solidFill>
                <a:srgbClr val="B3D1FA"/>
              </a:solidFill>
              <a:round/>
            </a:ln>
            <a:effectLst/>
          </c:spPr>
          <c:marker>
            <c:symbol val="none"/>
          </c:marker>
          <c:cat>
            <c:strRef>
              <c:f>Charts!$AJ$55:$AV$55</c:f>
              <c:strCache>
                <c:ptCount val="13"/>
                <c:pt idx="0">
                  <c:v>'20A</c:v>
                </c:pt>
                <c:pt idx="1">
                  <c:v>'21A</c:v>
                </c:pt>
                <c:pt idx="2">
                  <c:v>'22A</c:v>
                </c:pt>
                <c:pt idx="3">
                  <c:v>'23A</c:v>
                </c:pt>
                <c:pt idx="4">
                  <c:v>'24A</c:v>
                </c:pt>
                <c:pt idx="5">
                  <c:v>'25A</c:v>
                </c:pt>
                <c:pt idx="6">
                  <c:v>'26A</c:v>
                </c:pt>
                <c:pt idx="7">
                  <c:v>'27E</c:v>
                </c:pt>
                <c:pt idx="8">
                  <c:v>'28E</c:v>
                </c:pt>
                <c:pt idx="9">
                  <c:v>'29E</c:v>
                </c:pt>
                <c:pt idx="10">
                  <c:v>'30E</c:v>
                </c:pt>
                <c:pt idx="11">
                  <c:v>'31E</c:v>
                </c:pt>
                <c:pt idx="12">
                  <c:v>'32E</c:v>
                </c:pt>
              </c:strCache>
            </c:strRef>
          </c:cat>
          <c:val>
            <c:numRef>
              <c:f>Charts!$AJ$57:$AV$57</c:f>
              <c:numCache>
                <c:formatCode>0.00%</c:formatCode>
                <c:ptCount val="13"/>
                <c:pt idx="0">
                  <c:v>0.11375980145870361</c:v>
                </c:pt>
                <c:pt idx="1">
                  <c:v>0.12151410250764433</c:v>
                </c:pt>
                <c:pt idx="2">
                  <c:v>0.1464043081371246</c:v>
                </c:pt>
                <c:pt idx="3">
                  <c:v>0.16445348007877447</c:v>
                </c:pt>
                <c:pt idx="4">
                  <c:v>0.16628194859683254</c:v>
                </c:pt>
                <c:pt idx="5">
                  <c:v>0.15648426247060576</c:v>
                </c:pt>
                <c:pt idx="6">
                  <c:v>0.13026808847059512</c:v>
                </c:pt>
                <c:pt idx="7">
                  <c:v>0.15840599982083434</c:v>
                </c:pt>
                <c:pt idx="8">
                  <c:v>0.16340599982083434</c:v>
                </c:pt>
                <c:pt idx="9">
                  <c:v>0.16840599982083435</c:v>
                </c:pt>
                <c:pt idx="10">
                  <c:v>0.17340599982083435</c:v>
                </c:pt>
                <c:pt idx="11">
                  <c:v>0.17840599982083435</c:v>
                </c:pt>
                <c:pt idx="12">
                  <c:v>0.18340599982083433</c:v>
                </c:pt>
              </c:numCache>
            </c:numRef>
          </c:val>
          <c:smooth val="0"/>
          <c:extLst>
            <c:ext xmlns:c16="http://schemas.microsoft.com/office/drawing/2014/chart" uri="{C3380CC4-5D6E-409C-BE32-E72D297353CC}">
              <c16:uniqueId val="{00000001-B920-4456-BD77-48E79A4F630A}"/>
            </c:ext>
          </c:extLst>
        </c:ser>
        <c:dLbls>
          <c:showLegendKey val="0"/>
          <c:showVal val="0"/>
          <c:showCatName val="0"/>
          <c:showSerName val="0"/>
          <c:showPercent val="0"/>
          <c:showBubbleSize val="0"/>
        </c:dLbls>
        <c:marker val="1"/>
        <c:smooth val="0"/>
        <c:axId val="304024832"/>
        <c:axId val="304015232"/>
      </c:lineChart>
      <c:catAx>
        <c:axId val="304019072"/>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04013792"/>
        <c:crosses val="autoZero"/>
        <c:auto val="1"/>
        <c:lblAlgn val="ctr"/>
        <c:lblOffset val="100"/>
        <c:noMultiLvlLbl val="0"/>
      </c:catAx>
      <c:valAx>
        <c:axId val="304013792"/>
        <c:scaling>
          <c:orientation val="minMax"/>
        </c:scaling>
        <c:delete val="0"/>
        <c:axPos val="l"/>
        <c:numFmt formatCode="\ \ \ &quot;$&quot;#,##0&quot;M&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04019072"/>
        <c:crosses val="autoZero"/>
        <c:crossBetween val="between"/>
      </c:valAx>
      <c:valAx>
        <c:axId val="304015232"/>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04024832"/>
        <c:crosses val="max"/>
        <c:crossBetween val="between"/>
      </c:valAx>
      <c:catAx>
        <c:axId val="304024832"/>
        <c:scaling>
          <c:orientation val="minMax"/>
        </c:scaling>
        <c:delete val="1"/>
        <c:axPos val="b"/>
        <c:numFmt formatCode="General" sourceLinked="1"/>
        <c:majorTickMark val="out"/>
        <c:minorTickMark val="none"/>
        <c:tickLblPos val="nextTo"/>
        <c:crossAx val="304015232"/>
        <c:crosses val="autoZero"/>
        <c:auto val="1"/>
        <c:lblAlgn val="ctr"/>
        <c:lblOffset val="100"/>
        <c:noMultiLvlLbl val="0"/>
      </c:catAx>
      <c:spPr>
        <a:noFill/>
        <a:ln>
          <a:noFill/>
        </a:ln>
        <a:effectLst/>
      </c:spPr>
    </c:plotArea>
    <c:legend>
      <c:legendPos val="t"/>
      <c:legendEntry>
        <c:idx val="0"/>
        <c:delete val="1"/>
      </c:legendEntry>
      <c:legendEntry>
        <c:idx val="1"/>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897036143467805"/>
          <c:y val="3.4336752169691523E-2"/>
          <c:w val="0.8710296385653219"/>
          <c:h val="0.8502025071641407"/>
        </c:manualLayout>
      </c:layout>
      <c:barChart>
        <c:barDir val="col"/>
        <c:grouping val="clustered"/>
        <c:varyColors val="0"/>
        <c:ser>
          <c:idx val="0"/>
          <c:order val="0"/>
          <c:tx>
            <c:v>Forecast Acquistions (US$M)</c:v>
          </c:tx>
          <c:spPr>
            <a:solidFill>
              <a:srgbClr val="0067ED"/>
            </a:solidFill>
            <a:ln>
              <a:noFill/>
            </a:ln>
            <a:effectLst/>
          </c:spPr>
          <c:invertIfNegative val="0"/>
          <c:dPt>
            <c:idx val="0"/>
            <c:invertIfNegative val="0"/>
            <c:bubble3D val="0"/>
            <c:spPr>
              <a:solidFill>
                <a:srgbClr val="B3D1FA"/>
              </a:solidFill>
              <a:ln>
                <a:noFill/>
              </a:ln>
              <a:effectLst/>
            </c:spPr>
            <c:extLst>
              <c:ext xmlns:c16="http://schemas.microsoft.com/office/drawing/2014/chart" uri="{C3380CC4-5D6E-409C-BE32-E72D297353CC}">
                <c16:uniqueId val="{00000002-4932-48FA-A497-2F6D3E70A40E}"/>
              </c:ext>
            </c:extLst>
          </c:dPt>
          <c:cat>
            <c:strRef>
              <c:f>Charts!$R$48:$X$48</c:f>
              <c:strCache>
                <c:ptCount val="7"/>
                <c:pt idx="0">
                  <c:v>'26A</c:v>
                </c:pt>
                <c:pt idx="1">
                  <c:v>'27E</c:v>
                </c:pt>
                <c:pt idx="2">
                  <c:v>'28E</c:v>
                </c:pt>
                <c:pt idx="3">
                  <c:v>'29E</c:v>
                </c:pt>
                <c:pt idx="4">
                  <c:v>'30E</c:v>
                </c:pt>
                <c:pt idx="5">
                  <c:v>'31E</c:v>
                </c:pt>
                <c:pt idx="6">
                  <c:v>'32E</c:v>
                </c:pt>
              </c:strCache>
            </c:strRef>
          </c:cat>
          <c:val>
            <c:numRef>
              <c:f>Charts!$R$49:$X$49</c:f>
              <c:numCache>
                <c:formatCode>0.0</c:formatCode>
                <c:ptCount val="7"/>
                <c:pt idx="0">
                  <c:v>1228.875</c:v>
                </c:pt>
                <c:pt idx="1">
                  <c:v>489.80612158289568</c:v>
                </c:pt>
                <c:pt idx="2">
                  <c:v>684.51429120993896</c:v>
                </c:pt>
                <c:pt idx="3">
                  <c:v>935.85597745621567</c:v>
                </c:pt>
                <c:pt idx="4">
                  <c:v>1232.2548074131469</c:v>
                </c:pt>
                <c:pt idx="5">
                  <c:v>1539.5141360634375</c:v>
                </c:pt>
                <c:pt idx="6">
                  <c:v>1857.270394608875</c:v>
                </c:pt>
              </c:numCache>
            </c:numRef>
          </c:val>
          <c:extLst>
            <c:ext xmlns:c16="http://schemas.microsoft.com/office/drawing/2014/chart" uri="{C3380CC4-5D6E-409C-BE32-E72D297353CC}">
              <c16:uniqueId val="{00000000-4932-48FA-A497-2F6D3E70A40E}"/>
            </c:ext>
          </c:extLst>
        </c:ser>
        <c:ser>
          <c:idx val="1"/>
          <c:order val="1"/>
          <c:tx>
            <c:v>Additional Acquistion Revenue (US$M)</c:v>
          </c:tx>
          <c:spPr>
            <a:solidFill>
              <a:srgbClr val="FBC828"/>
            </a:solidFill>
            <a:ln>
              <a:noFill/>
            </a:ln>
            <a:effectLst/>
          </c:spPr>
          <c:invertIfNegative val="0"/>
          <c:cat>
            <c:strRef>
              <c:f>Charts!$R$48:$X$48</c:f>
              <c:strCache>
                <c:ptCount val="7"/>
                <c:pt idx="0">
                  <c:v>'26A</c:v>
                </c:pt>
                <c:pt idx="1">
                  <c:v>'27E</c:v>
                </c:pt>
                <c:pt idx="2">
                  <c:v>'28E</c:v>
                </c:pt>
                <c:pt idx="3">
                  <c:v>'29E</c:v>
                </c:pt>
                <c:pt idx="4">
                  <c:v>'30E</c:v>
                </c:pt>
                <c:pt idx="5">
                  <c:v>'31E</c:v>
                </c:pt>
                <c:pt idx="6">
                  <c:v>'32E</c:v>
                </c:pt>
              </c:strCache>
            </c:strRef>
          </c:cat>
          <c:val>
            <c:numRef>
              <c:f>Charts!$R$50:$X$50</c:f>
              <c:numCache>
                <c:formatCode>0.00</c:formatCode>
                <c:ptCount val="7"/>
                <c:pt idx="1">
                  <c:v>48.776924637476625</c:v>
                </c:pt>
                <c:pt idx="2">
                  <c:v>68.218475876962827</c:v>
                </c:pt>
                <c:pt idx="3">
                  <c:v>95.388450036761768</c:v>
                </c:pt>
                <c:pt idx="4">
                  <c:v>132.53476392866602</c:v>
                </c:pt>
                <c:pt idx="5">
                  <c:v>181.44584103199983</c:v>
                </c:pt>
                <c:pt idx="6">
                  <c:v>242.55275995629745</c:v>
                </c:pt>
              </c:numCache>
            </c:numRef>
          </c:val>
          <c:extLst>
            <c:ext xmlns:c16="http://schemas.microsoft.com/office/drawing/2014/chart" uri="{C3380CC4-5D6E-409C-BE32-E72D297353CC}">
              <c16:uniqueId val="{00000001-4932-48FA-A497-2F6D3E70A40E}"/>
            </c:ext>
          </c:extLst>
        </c:ser>
        <c:dLbls>
          <c:showLegendKey val="0"/>
          <c:showVal val="0"/>
          <c:showCatName val="0"/>
          <c:showSerName val="0"/>
          <c:showPercent val="0"/>
          <c:showBubbleSize val="0"/>
        </c:dLbls>
        <c:gapWidth val="219"/>
        <c:overlap val="-27"/>
        <c:axId val="1243213504"/>
        <c:axId val="1243218784"/>
      </c:barChart>
      <c:catAx>
        <c:axId val="1243213504"/>
        <c:scaling>
          <c:orientation val="minMax"/>
        </c:scaling>
        <c:delete val="0"/>
        <c:axPos val="b"/>
        <c:numFmt formatCode="General" sourceLinked="1"/>
        <c:majorTickMark val="none"/>
        <c:minorTickMark val="out"/>
        <c:tickLblPos val="nextTo"/>
        <c:spPr>
          <a:solidFill>
            <a:schemeClr val="bg1"/>
          </a:solidFill>
          <a:ln w="952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243218784"/>
        <c:crosses val="autoZero"/>
        <c:auto val="1"/>
        <c:lblAlgn val="ctr"/>
        <c:lblOffset val="100"/>
        <c:noMultiLvlLbl val="0"/>
      </c:catAx>
      <c:valAx>
        <c:axId val="1243218784"/>
        <c:scaling>
          <c:orientation val="minMax"/>
        </c:scaling>
        <c:delete val="0"/>
        <c:axPos val="l"/>
        <c:numFmt formatCode="\ \ \ &quot;$&quot;#,##0&quot;M&quot;" sourceLinked="0"/>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243213504"/>
        <c:crosses val="autoZero"/>
        <c:crossBetween val="between"/>
      </c:valAx>
      <c:spPr>
        <a:noFill/>
        <a:ln>
          <a:noFill/>
        </a:ln>
        <a:effectLst/>
      </c:spPr>
    </c:plotArea>
    <c:legend>
      <c:legendPos val="t"/>
      <c:layout>
        <c:manualLayout>
          <c:xMode val="edge"/>
          <c:yMode val="edge"/>
          <c:x val="0.26421725749513392"/>
          <c:y val="2.3223487812653969E-2"/>
          <c:w val="0.52433591509927513"/>
          <c:h val="0.1443144972746285"/>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4521943405466691E-2"/>
          <c:y val="7.3403627301288896E-2"/>
          <c:w val="0.8897244611461339"/>
          <c:h val="0.77327099772149188"/>
        </c:manualLayout>
      </c:layout>
      <c:bubbleChart>
        <c:varyColors val="0"/>
        <c:ser>
          <c:idx val="0"/>
          <c:order val="0"/>
          <c:tx>
            <c:strRef>
              <c:f>Charts!$W$89</c:f>
              <c:strCache>
                <c:ptCount val="1"/>
                <c:pt idx="0">
                  <c:v>Software Collection</c:v>
                </c:pt>
              </c:strCache>
            </c:strRef>
          </c:tx>
          <c:spPr>
            <a:solidFill>
              <a:srgbClr val="0067ED"/>
            </a:solidFill>
            <a:ln w="25400">
              <a:noFill/>
            </a:ln>
            <a:effectLst/>
          </c:spPr>
          <c:invertIfNegative val="0"/>
          <c:xVal>
            <c:numRef>
              <c:f>Charts!$X$89</c:f>
              <c:numCache>
                <c:formatCode>General</c:formatCode>
                <c:ptCount val="1"/>
                <c:pt idx="0">
                  <c:v>8.9</c:v>
                </c:pt>
              </c:numCache>
            </c:numRef>
          </c:xVal>
          <c:yVal>
            <c:numRef>
              <c:f>Charts!$Y$89</c:f>
              <c:numCache>
                <c:formatCode>General</c:formatCode>
                <c:ptCount val="1"/>
                <c:pt idx="0">
                  <c:v>8.8000000000000007</c:v>
                </c:pt>
              </c:numCache>
            </c:numRef>
          </c:yVal>
          <c:bubbleSize>
            <c:numRef>
              <c:f>Charts!$Z$89</c:f>
              <c:numCache>
                <c:formatCode>General</c:formatCode>
                <c:ptCount val="1"/>
                <c:pt idx="0">
                  <c:v>28</c:v>
                </c:pt>
              </c:numCache>
            </c:numRef>
          </c:bubbleSize>
          <c:bubble3D val="0"/>
          <c:extLst>
            <c:ext xmlns:c16="http://schemas.microsoft.com/office/drawing/2014/chart" uri="{C3380CC4-5D6E-409C-BE32-E72D297353CC}">
              <c16:uniqueId val="{00000002-88E4-4841-8D34-10C8B85EB2BF}"/>
            </c:ext>
          </c:extLst>
        </c:ser>
        <c:ser>
          <c:idx val="1"/>
          <c:order val="1"/>
          <c:tx>
            <c:strRef>
              <c:f>Charts!$W$90</c:f>
              <c:strCache>
                <c:ptCount val="1"/>
                <c:pt idx="0">
                  <c:v>Service Collection</c:v>
                </c:pt>
              </c:strCache>
            </c:strRef>
          </c:tx>
          <c:spPr>
            <a:solidFill>
              <a:srgbClr val="803FA5"/>
            </a:solidFill>
            <a:ln w="25400">
              <a:noFill/>
            </a:ln>
            <a:effectLst/>
          </c:spPr>
          <c:invertIfNegative val="0"/>
          <c:xVal>
            <c:numRef>
              <c:f>Charts!$X$90</c:f>
              <c:numCache>
                <c:formatCode>General</c:formatCode>
                <c:ptCount val="1"/>
                <c:pt idx="0">
                  <c:v>6.9</c:v>
                </c:pt>
              </c:numCache>
            </c:numRef>
          </c:xVal>
          <c:yVal>
            <c:numRef>
              <c:f>Charts!$Y$90</c:f>
              <c:numCache>
                <c:formatCode>General</c:formatCode>
                <c:ptCount val="1"/>
                <c:pt idx="0">
                  <c:v>7.4</c:v>
                </c:pt>
              </c:numCache>
            </c:numRef>
          </c:yVal>
          <c:bubbleSize>
            <c:numRef>
              <c:f>Charts!$Z$90</c:f>
              <c:numCache>
                <c:formatCode>General</c:formatCode>
                <c:ptCount val="1"/>
                <c:pt idx="0">
                  <c:v>20</c:v>
                </c:pt>
              </c:numCache>
            </c:numRef>
          </c:bubbleSize>
          <c:bubble3D val="0"/>
          <c:extLst>
            <c:ext xmlns:c16="http://schemas.microsoft.com/office/drawing/2014/chart" uri="{C3380CC4-5D6E-409C-BE32-E72D297353CC}">
              <c16:uniqueId val="{00000003-88E4-4841-8D34-10C8B85EB2BF}"/>
            </c:ext>
          </c:extLst>
        </c:ser>
        <c:ser>
          <c:idx val="2"/>
          <c:order val="2"/>
          <c:tx>
            <c:strRef>
              <c:f>Charts!$W$91</c:f>
              <c:strCache>
                <c:ptCount val="1"/>
                <c:pt idx="0">
                  <c:v>Strategy Collection</c:v>
                </c:pt>
              </c:strCache>
            </c:strRef>
          </c:tx>
          <c:spPr>
            <a:solidFill>
              <a:srgbClr val="82B536"/>
            </a:solidFill>
            <a:ln w="25400">
              <a:noFill/>
            </a:ln>
            <a:effectLst/>
          </c:spPr>
          <c:invertIfNegative val="0"/>
          <c:xVal>
            <c:numRef>
              <c:f>Charts!$X$91</c:f>
              <c:numCache>
                <c:formatCode>General</c:formatCode>
                <c:ptCount val="1"/>
                <c:pt idx="0">
                  <c:v>8.3000000000000007</c:v>
                </c:pt>
              </c:numCache>
            </c:numRef>
          </c:xVal>
          <c:yVal>
            <c:numRef>
              <c:f>Charts!$Y$91</c:f>
              <c:numCache>
                <c:formatCode>General</c:formatCode>
                <c:ptCount val="1"/>
                <c:pt idx="0">
                  <c:v>6.1</c:v>
                </c:pt>
              </c:numCache>
            </c:numRef>
          </c:yVal>
          <c:bubbleSize>
            <c:numRef>
              <c:f>Charts!$Z$91</c:f>
              <c:numCache>
                <c:formatCode>General</c:formatCode>
                <c:ptCount val="1"/>
                <c:pt idx="0">
                  <c:v>6</c:v>
                </c:pt>
              </c:numCache>
            </c:numRef>
          </c:bubbleSize>
          <c:bubble3D val="0"/>
          <c:extLst>
            <c:ext xmlns:c16="http://schemas.microsoft.com/office/drawing/2014/chart" uri="{C3380CC4-5D6E-409C-BE32-E72D297353CC}">
              <c16:uniqueId val="{00000004-88E4-4841-8D34-10C8B85EB2BF}"/>
            </c:ext>
          </c:extLst>
        </c:ser>
        <c:ser>
          <c:idx val="3"/>
          <c:order val="3"/>
          <c:tx>
            <c:strRef>
              <c:f>Charts!$W$92</c:f>
              <c:strCache>
                <c:ptCount val="1"/>
                <c:pt idx="0">
                  <c:v>Teamwork Collection</c:v>
                </c:pt>
              </c:strCache>
            </c:strRef>
          </c:tx>
          <c:spPr>
            <a:solidFill>
              <a:srgbClr val="FBC828"/>
            </a:solidFill>
            <a:ln w="25400">
              <a:noFill/>
            </a:ln>
            <a:effectLst/>
          </c:spPr>
          <c:invertIfNegative val="0"/>
          <c:xVal>
            <c:numRef>
              <c:f>Charts!$X$92</c:f>
              <c:numCache>
                <c:formatCode>General</c:formatCode>
                <c:ptCount val="1"/>
                <c:pt idx="0">
                  <c:v>5.0999999999999996</c:v>
                </c:pt>
              </c:numCache>
            </c:numRef>
          </c:xVal>
          <c:yVal>
            <c:numRef>
              <c:f>Charts!$Y$92</c:f>
              <c:numCache>
                <c:formatCode>General</c:formatCode>
                <c:ptCount val="1"/>
                <c:pt idx="0">
                  <c:v>5.3</c:v>
                </c:pt>
              </c:numCache>
            </c:numRef>
          </c:yVal>
          <c:bubbleSize>
            <c:numRef>
              <c:f>Charts!$Z$92</c:f>
              <c:numCache>
                <c:formatCode>General</c:formatCode>
                <c:ptCount val="1"/>
                <c:pt idx="0">
                  <c:v>40</c:v>
                </c:pt>
              </c:numCache>
            </c:numRef>
          </c:bubbleSize>
          <c:bubble3D val="0"/>
          <c:extLst>
            <c:ext xmlns:c16="http://schemas.microsoft.com/office/drawing/2014/chart" uri="{C3380CC4-5D6E-409C-BE32-E72D297353CC}">
              <c16:uniqueId val="{00000005-88E4-4841-8D34-10C8B85EB2BF}"/>
            </c:ext>
          </c:extLst>
        </c:ser>
        <c:ser>
          <c:idx val="4"/>
          <c:order val="4"/>
          <c:tx>
            <c:strRef>
              <c:f>Charts!$W$93</c:f>
              <c:strCache>
                <c:ptCount val="1"/>
                <c:pt idx="0">
                  <c:v>Product Collection</c:v>
                </c:pt>
              </c:strCache>
            </c:strRef>
          </c:tx>
          <c:spPr>
            <a:solidFill>
              <a:srgbClr val="B3D1FA"/>
            </a:solidFill>
            <a:ln w="25400">
              <a:noFill/>
            </a:ln>
            <a:effectLst/>
          </c:spPr>
          <c:invertIfNegative val="0"/>
          <c:xVal>
            <c:numRef>
              <c:f>Charts!$X$93</c:f>
              <c:numCache>
                <c:formatCode>General</c:formatCode>
                <c:ptCount val="1"/>
                <c:pt idx="0">
                  <c:v>3.2</c:v>
                </c:pt>
              </c:numCache>
            </c:numRef>
          </c:xVal>
          <c:yVal>
            <c:numRef>
              <c:f>Charts!$Y$93</c:f>
              <c:numCache>
                <c:formatCode>General</c:formatCode>
                <c:ptCount val="1"/>
                <c:pt idx="0">
                  <c:v>3</c:v>
                </c:pt>
              </c:numCache>
            </c:numRef>
          </c:yVal>
          <c:bubbleSize>
            <c:numRef>
              <c:f>Charts!$Z$93</c:f>
              <c:numCache>
                <c:formatCode>General</c:formatCode>
                <c:ptCount val="1"/>
                <c:pt idx="0">
                  <c:v>5</c:v>
                </c:pt>
              </c:numCache>
            </c:numRef>
          </c:bubbleSize>
          <c:bubble3D val="0"/>
          <c:extLst>
            <c:ext xmlns:c16="http://schemas.microsoft.com/office/drawing/2014/chart" uri="{C3380CC4-5D6E-409C-BE32-E72D297353CC}">
              <c16:uniqueId val="{00000006-88E4-4841-8D34-10C8B85EB2BF}"/>
            </c:ext>
          </c:extLst>
        </c:ser>
        <c:dLbls>
          <c:showLegendKey val="0"/>
          <c:showVal val="0"/>
          <c:showCatName val="0"/>
          <c:showSerName val="0"/>
          <c:showPercent val="0"/>
          <c:showBubbleSize val="0"/>
        </c:dLbls>
        <c:bubbleScale val="100"/>
        <c:showNegBubbles val="0"/>
        <c:axId val="328368895"/>
        <c:axId val="328367455"/>
      </c:bubbleChart>
      <c:valAx>
        <c:axId val="328368895"/>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AU" sz="1000" b="1" i="0" u="none" strike="noStrike" baseline="0">
                    <a:solidFill>
                      <a:schemeClr val="tx1"/>
                    </a:solidFill>
                    <a:effectLst/>
                  </a:rPr>
                  <a:t>Teamwork Graph Reliance </a:t>
                </a:r>
                <a:endParaRPr lang="en-AU" b="1">
                  <a:solidFill>
                    <a:schemeClr val="tx1"/>
                  </a:solidFill>
                </a:endParaRPr>
              </a:p>
            </c:rich>
          </c:tx>
          <c:layout>
            <c:manualLayout>
              <c:xMode val="edge"/>
              <c:yMode val="edge"/>
              <c:x val="0.35818349336594979"/>
              <c:y val="0.86519320501603969"/>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AU"/>
            </a:p>
          </c:txPr>
        </c:title>
        <c:numFmt formatCode="General" sourceLinked="1"/>
        <c:majorTickMark val="none"/>
        <c:minorTickMark val="none"/>
        <c:tickLblPos val="none"/>
        <c:spPr>
          <a:noFill/>
          <a:ln w="12700"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28367455"/>
        <c:crosses val="autoZero"/>
        <c:crossBetween val="midCat"/>
      </c:valAx>
      <c:valAx>
        <c:axId val="328367455"/>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AU" sz="1000" b="1" i="0" u="none" strike="noStrike" baseline="0">
                    <a:solidFill>
                      <a:schemeClr val="tx1"/>
                    </a:solidFill>
                    <a:effectLst/>
                  </a:rPr>
                  <a:t>Competitive  Substitutes </a:t>
                </a:r>
                <a:endParaRPr lang="en-AU" b="1">
                  <a:solidFill>
                    <a:schemeClr val="tx1"/>
                  </a:solidFill>
                </a:endParaRPr>
              </a:p>
            </c:rich>
          </c:tx>
          <c:layout>
            <c:manualLayout>
              <c:xMode val="edge"/>
              <c:yMode val="edge"/>
              <c:x val="2.7010982921742044E-3"/>
              <c:y val="0.2138471036437819"/>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AU"/>
            </a:p>
          </c:txPr>
        </c:title>
        <c:numFmt formatCode="General" sourceLinked="1"/>
        <c:majorTickMark val="none"/>
        <c:minorTickMark val="none"/>
        <c:tickLblPos val="none"/>
        <c:spPr>
          <a:noFill/>
          <a:ln w="12700"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28368895"/>
        <c:crosses val="autoZero"/>
        <c:crossBetween val="midCat"/>
      </c:valAx>
      <c:spPr>
        <a:noFill/>
        <a:ln>
          <a:noFill/>
        </a:ln>
        <a:effectLst/>
      </c:spPr>
    </c:plotArea>
    <c:legend>
      <c:legendPos val="t"/>
      <c:layout>
        <c:manualLayout>
          <c:xMode val="edge"/>
          <c:yMode val="edge"/>
          <c:x val="7.5071996768925495E-2"/>
          <c:y val="3.9036347131983444E-2"/>
          <c:w val="0.78043372703412073"/>
          <c:h val="0.2157524003686771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447522189009571"/>
          <c:y val="6.8662617483790614E-2"/>
          <c:w val="0.85498633530379509"/>
          <c:h val="0.82462490054835158"/>
        </c:manualLayout>
      </c:layout>
      <c:barChart>
        <c:barDir val="col"/>
        <c:grouping val="clustered"/>
        <c:varyColors val="0"/>
        <c:ser>
          <c:idx val="0"/>
          <c:order val="0"/>
          <c:tx>
            <c:v>Revenue Growth Rate (%)</c:v>
          </c:tx>
          <c:spPr>
            <a:solidFill>
              <a:srgbClr val="0067ED"/>
            </a:solidFill>
            <a:ln>
              <a:noFill/>
            </a:ln>
            <a:effectLst/>
          </c:spPr>
          <c:invertIfNegative val="0"/>
          <c:cat>
            <c:strRef>
              <c:f>'IS Intergrated'!$H$59:$T$59</c:f>
              <c:strCache>
                <c:ptCount val="13"/>
                <c:pt idx="0">
                  <c:v>'20A</c:v>
                </c:pt>
                <c:pt idx="1">
                  <c:v>'21A</c:v>
                </c:pt>
                <c:pt idx="2">
                  <c:v>'22A</c:v>
                </c:pt>
                <c:pt idx="3">
                  <c:v>'23A</c:v>
                </c:pt>
                <c:pt idx="4">
                  <c:v>'24A</c:v>
                </c:pt>
                <c:pt idx="5">
                  <c:v>'25A</c:v>
                </c:pt>
                <c:pt idx="6">
                  <c:v>'26A</c:v>
                </c:pt>
                <c:pt idx="7">
                  <c:v>'27E</c:v>
                </c:pt>
                <c:pt idx="8">
                  <c:v>'28E</c:v>
                </c:pt>
                <c:pt idx="9">
                  <c:v>'29E</c:v>
                </c:pt>
                <c:pt idx="10">
                  <c:v>'30E</c:v>
                </c:pt>
                <c:pt idx="11">
                  <c:v>'31E</c:v>
                </c:pt>
                <c:pt idx="12">
                  <c:v>'32E</c:v>
                </c:pt>
              </c:strCache>
            </c:strRef>
          </c:cat>
          <c:val>
            <c:numRef>
              <c:f>'IS Intergrated'!$H$60:$T$60</c:f>
              <c:numCache>
                <c:formatCode>0.00%</c:formatCode>
                <c:ptCount val="13"/>
                <c:pt idx="0">
                  <c:v>0.33389999999999997</c:v>
                </c:pt>
                <c:pt idx="1">
                  <c:v>0.29424293430753701</c:v>
                </c:pt>
                <c:pt idx="2">
                  <c:v>0.34164906765106262</c:v>
                </c:pt>
                <c:pt idx="3">
                  <c:v>0.2610759211411684</c:v>
                </c:pt>
                <c:pt idx="4">
                  <c:v>0.23310842638600127</c:v>
                </c:pt>
                <c:pt idx="5">
                  <c:v>0.19655403348274669</c:v>
                </c:pt>
                <c:pt idx="6">
                  <c:v>0.26019652929148518</c:v>
                </c:pt>
                <c:pt idx="7">
                  <c:v>0.14729193072471292</c:v>
                </c:pt>
                <c:pt idx="8">
                  <c:v>0.21108026685692627</c:v>
                </c:pt>
                <c:pt idx="9">
                  <c:v>0.20625792674238363</c:v>
                </c:pt>
                <c:pt idx="10">
                  <c:v>0.17805129471110792</c:v>
                </c:pt>
                <c:pt idx="11">
                  <c:v>0.13031412252097141</c:v>
                </c:pt>
                <c:pt idx="12">
                  <c:v>0.10145760739666554</c:v>
                </c:pt>
              </c:numCache>
            </c:numRef>
          </c:val>
          <c:extLst>
            <c:ext xmlns:c16="http://schemas.microsoft.com/office/drawing/2014/chart" uri="{C3380CC4-5D6E-409C-BE32-E72D297353CC}">
              <c16:uniqueId val="{00000000-CD77-4C55-A5D6-864933E551FC}"/>
            </c:ext>
          </c:extLst>
        </c:ser>
        <c:dLbls>
          <c:showLegendKey val="0"/>
          <c:showVal val="0"/>
          <c:showCatName val="0"/>
          <c:showSerName val="0"/>
          <c:showPercent val="0"/>
          <c:showBubbleSize val="0"/>
        </c:dLbls>
        <c:gapWidth val="95"/>
        <c:overlap val="-27"/>
        <c:axId val="657378703"/>
        <c:axId val="657379183"/>
      </c:barChart>
      <c:lineChart>
        <c:grouping val="standard"/>
        <c:varyColors val="0"/>
        <c:ser>
          <c:idx val="1"/>
          <c:order val="1"/>
          <c:tx>
            <c:v>Historical CAGR (26.37%)</c:v>
          </c:tx>
          <c:spPr>
            <a:ln w="19050" cap="rnd">
              <a:solidFill>
                <a:srgbClr val="FF0000"/>
              </a:solidFill>
              <a:prstDash val="dash"/>
              <a:round/>
            </a:ln>
            <a:effectLst/>
          </c:spPr>
          <c:marker>
            <c:symbol val="none"/>
          </c:marker>
          <c:cat>
            <c:strRef>
              <c:f>'IS Intergrated'!$H$59:$T$59</c:f>
              <c:strCache>
                <c:ptCount val="13"/>
                <c:pt idx="0">
                  <c:v>'20A</c:v>
                </c:pt>
                <c:pt idx="1">
                  <c:v>'21A</c:v>
                </c:pt>
                <c:pt idx="2">
                  <c:v>'22A</c:v>
                </c:pt>
                <c:pt idx="3">
                  <c:v>'23A</c:v>
                </c:pt>
                <c:pt idx="4">
                  <c:v>'24A</c:v>
                </c:pt>
                <c:pt idx="5">
                  <c:v>'25A</c:v>
                </c:pt>
                <c:pt idx="6">
                  <c:v>'26A</c:v>
                </c:pt>
                <c:pt idx="7">
                  <c:v>'27E</c:v>
                </c:pt>
                <c:pt idx="8">
                  <c:v>'28E</c:v>
                </c:pt>
                <c:pt idx="9">
                  <c:v>'29E</c:v>
                </c:pt>
                <c:pt idx="10">
                  <c:v>'30E</c:v>
                </c:pt>
                <c:pt idx="11">
                  <c:v>'31E</c:v>
                </c:pt>
                <c:pt idx="12">
                  <c:v>'32E</c:v>
                </c:pt>
              </c:strCache>
            </c:strRef>
          </c:cat>
          <c:val>
            <c:numRef>
              <c:f>'IS Intergrated'!$H$61:$T$61</c:f>
              <c:numCache>
                <c:formatCode>0.00%</c:formatCode>
                <c:ptCount val="13"/>
                <c:pt idx="0">
                  <c:v>0.26365340374457125</c:v>
                </c:pt>
                <c:pt idx="1">
                  <c:v>0.26365340374457125</c:v>
                </c:pt>
                <c:pt idx="2">
                  <c:v>0.26365340374457125</c:v>
                </c:pt>
                <c:pt idx="3">
                  <c:v>0.26365340374457125</c:v>
                </c:pt>
                <c:pt idx="4">
                  <c:v>0.26365340374457125</c:v>
                </c:pt>
                <c:pt idx="5">
                  <c:v>0.26365340374457125</c:v>
                </c:pt>
                <c:pt idx="6">
                  <c:v>0.26365340374457125</c:v>
                </c:pt>
              </c:numCache>
            </c:numRef>
          </c:val>
          <c:smooth val="0"/>
          <c:extLst>
            <c:ext xmlns:c16="http://schemas.microsoft.com/office/drawing/2014/chart" uri="{C3380CC4-5D6E-409C-BE32-E72D297353CC}">
              <c16:uniqueId val="{00000001-CD77-4C55-A5D6-864933E551FC}"/>
            </c:ext>
          </c:extLst>
        </c:ser>
        <c:ser>
          <c:idx val="2"/>
          <c:order val="2"/>
          <c:tx>
            <c:v>Forecast CAGR (15.86%)</c:v>
          </c:tx>
          <c:spPr>
            <a:ln w="19050" cap="rnd">
              <a:solidFill>
                <a:srgbClr val="FBC828"/>
              </a:solidFill>
              <a:prstDash val="dash"/>
              <a:round/>
            </a:ln>
            <a:effectLst/>
          </c:spPr>
          <c:marker>
            <c:symbol val="none"/>
          </c:marker>
          <c:cat>
            <c:strRef>
              <c:f>'IS Intergrated'!$H$59:$T$59</c:f>
              <c:strCache>
                <c:ptCount val="13"/>
                <c:pt idx="0">
                  <c:v>'20A</c:v>
                </c:pt>
                <c:pt idx="1">
                  <c:v>'21A</c:v>
                </c:pt>
                <c:pt idx="2">
                  <c:v>'22A</c:v>
                </c:pt>
                <c:pt idx="3">
                  <c:v>'23A</c:v>
                </c:pt>
                <c:pt idx="4">
                  <c:v>'24A</c:v>
                </c:pt>
                <c:pt idx="5">
                  <c:v>'25A</c:v>
                </c:pt>
                <c:pt idx="6">
                  <c:v>'26A</c:v>
                </c:pt>
                <c:pt idx="7">
                  <c:v>'27E</c:v>
                </c:pt>
                <c:pt idx="8">
                  <c:v>'28E</c:v>
                </c:pt>
                <c:pt idx="9">
                  <c:v>'29E</c:v>
                </c:pt>
                <c:pt idx="10">
                  <c:v>'30E</c:v>
                </c:pt>
                <c:pt idx="11">
                  <c:v>'31E</c:v>
                </c:pt>
                <c:pt idx="12">
                  <c:v>'32E</c:v>
                </c:pt>
              </c:strCache>
            </c:strRef>
          </c:cat>
          <c:val>
            <c:numRef>
              <c:f>'IS Intergrated'!$H$62:$T$62</c:f>
              <c:numCache>
                <c:formatCode>0.00%</c:formatCode>
                <c:ptCount val="13"/>
                <c:pt idx="7">
                  <c:v>0.16172418708959513</c:v>
                </c:pt>
                <c:pt idx="8">
                  <c:v>0.16172418708959513</c:v>
                </c:pt>
                <c:pt idx="9">
                  <c:v>0.16172418708959513</c:v>
                </c:pt>
                <c:pt idx="10">
                  <c:v>0.16172418708959513</c:v>
                </c:pt>
                <c:pt idx="11">
                  <c:v>0.16172418708959513</c:v>
                </c:pt>
                <c:pt idx="12">
                  <c:v>0.16172418708959513</c:v>
                </c:pt>
              </c:numCache>
            </c:numRef>
          </c:val>
          <c:smooth val="0"/>
          <c:extLst>
            <c:ext xmlns:c16="http://schemas.microsoft.com/office/drawing/2014/chart" uri="{C3380CC4-5D6E-409C-BE32-E72D297353CC}">
              <c16:uniqueId val="{00000002-CD77-4C55-A5D6-864933E551FC}"/>
            </c:ext>
          </c:extLst>
        </c:ser>
        <c:dLbls>
          <c:showLegendKey val="0"/>
          <c:showVal val="0"/>
          <c:showCatName val="0"/>
          <c:showSerName val="0"/>
          <c:showPercent val="0"/>
          <c:showBubbleSize val="0"/>
        </c:dLbls>
        <c:marker val="1"/>
        <c:smooth val="0"/>
        <c:axId val="657378703"/>
        <c:axId val="657379183"/>
      </c:lineChart>
      <c:catAx>
        <c:axId val="657378703"/>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57379183"/>
        <c:crosses val="autoZero"/>
        <c:auto val="1"/>
        <c:lblAlgn val="ctr"/>
        <c:lblOffset val="100"/>
        <c:noMultiLvlLbl val="0"/>
      </c:catAx>
      <c:valAx>
        <c:axId val="65737918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57378703"/>
        <c:crosses val="autoZero"/>
        <c:crossBetween val="between"/>
      </c:valAx>
      <c:spPr>
        <a:noFill/>
        <a:ln>
          <a:noFill/>
        </a:ln>
        <a:effectLst/>
      </c:spPr>
    </c:plotArea>
    <c:legend>
      <c:legendPos val="r"/>
      <c:layout>
        <c:manualLayout>
          <c:xMode val="edge"/>
          <c:yMode val="edge"/>
          <c:x val="0.31336319673038832"/>
          <c:y val="4.7392773221676232E-2"/>
          <c:w val="0.59787222749941404"/>
          <c:h val="0.1952448834700163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0067ED"/>
            </a:solidFill>
            <a:ln>
              <a:noFill/>
            </a:ln>
            <a:effectLst/>
          </c:spPr>
          <c:invertIfNegative val="0"/>
          <c:cat>
            <c:strRef>
              <c:f>'IS Intergrated'!$R$41:$AD$41</c:f>
              <c:strCache>
                <c:ptCount val="13"/>
                <c:pt idx="0">
                  <c:v>'20A</c:v>
                </c:pt>
                <c:pt idx="1">
                  <c:v>'21A</c:v>
                </c:pt>
                <c:pt idx="2">
                  <c:v>'22A</c:v>
                </c:pt>
                <c:pt idx="3">
                  <c:v>'23A</c:v>
                </c:pt>
                <c:pt idx="4">
                  <c:v>'24A</c:v>
                </c:pt>
                <c:pt idx="5">
                  <c:v>'25A</c:v>
                </c:pt>
                <c:pt idx="6">
                  <c:v>'26A</c:v>
                </c:pt>
                <c:pt idx="7">
                  <c:v>'27E</c:v>
                </c:pt>
                <c:pt idx="8">
                  <c:v>'28E</c:v>
                </c:pt>
                <c:pt idx="9">
                  <c:v>'29E</c:v>
                </c:pt>
                <c:pt idx="10">
                  <c:v>'30E</c:v>
                </c:pt>
                <c:pt idx="11">
                  <c:v>'31E</c:v>
                </c:pt>
                <c:pt idx="12">
                  <c:v>'32E</c:v>
                </c:pt>
              </c:strCache>
            </c:strRef>
          </c:cat>
          <c:val>
            <c:numRef>
              <c:f>'IS Intergrated'!$R$42:$AD$42</c:f>
              <c:numCache>
                <c:formatCode>#,##0.00;[Red]\(#,##0.00\)</c:formatCode>
                <c:ptCount val="13"/>
                <c:pt idx="0">
                  <c:v>-350.65400000000022</c:v>
                </c:pt>
                <c:pt idx="1">
                  <c:v>-696.31499999999994</c:v>
                </c:pt>
                <c:pt idx="2">
                  <c:v>-614.12400000000036</c:v>
                </c:pt>
                <c:pt idx="3">
                  <c:v>-486.76100000000019</c:v>
                </c:pt>
                <c:pt idx="4">
                  <c:v>-300.51899999999932</c:v>
                </c:pt>
                <c:pt idx="5">
                  <c:v>-256.68699999999893</c:v>
                </c:pt>
                <c:pt idx="6">
                  <c:v>-53.830000000000851</c:v>
                </c:pt>
                <c:pt idx="7">
                  <c:v>47.013799402574691</c:v>
                </c:pt>
                <c:pt idx="8">
                  <c:v>183.61731821018725</c:v>
                </c:pt>
                <c:pt idx="9">
                  <c:v>369.12218642247188</c:v>
                </c:pt>
                <c:pt idx="10">
                  <c:v>805.5294981310451</c:v>
                </c:pt>
                <c:pt idx="11">
                  <c:v>1385.994223106421</c:v>
                </c:pt>
                <c:pt idx="12">
                  <c:v>2004.8774192613892</c:v>
                </c:pt>
              </c:numCache>
            </c:numRef>
          </c:val>
          <c:extLst>
            <c:ext xmlns:c16="http://schemas.microsoft.com/office/drawing/2014/chart" uri="{C3380CC4-5D6E-409C-BE32-E72D297353CC}">
              <c16:uniqueId val="{00000000-0305-457E-AFA6-B31E65301013}"/>
            </c:ext>
          </c:extLst>
        </c:ser>
        <c:dLbls>
          <c:showLegendKey val="0"/>
          <c:showVal val="0"/>
          <c:showCatName val="0"/>
          <c:showSerName val="0"/>
          <c:showPercent val="0"/>
          <c:showBubbleSize val="0"/>
        </c:dLbls>
        <c:gapWidth val="149"/>
        <c:overlap val="-27"/>
        <c:axId val="415351743"/>
        <c:axId val="415354143"/>
      </c:barChart>
      <c:catAx>
        <c:axId val="415351743"/>
        <c:scaling>
          <c:orientation val="minMax"/>
        </c:scaling>
        <c:delete val="0"/>
        <c:axPos val="b"/>
        <c:numFmt formatCode="General" sourceLinked="1"/>
        <c:majorTickMark val="none"/>
        <c:minorTickMark val="none"/>
        <c:tickLblPos val="low"/>
        <c:spPr>
          <a:noFill/>
          <a:ln w="9525" cap="flat" cmpd="sng" algn="ctr">
            <a:solidFill>
              <a:schemeClr val="tx1"/>
            </a:solidFill>
            <a:round/>
          </a:ln>
          <a:effectLst/>
        </c:spPr>
        <c:txPr>
          <a:bodyPr rot="-60000000" spcFirstLastPara="1" vertOverflow="ellipsis" vert="horz" wrap="square" anchor="b" anchorCtr="1"/>
          <a:lstStyle/>
          <a:p>
            <a:pPr>
              <a:defRPr sz="900" b="0" i="0" u="none" strike="noStrike" kern="1200" baseline="0">
                <a:solidFill>
                  <a:schemeClr val="tx1"/>
                </a:solidFill>
                <a:latin typeface="+mn-lt"/>
                <a:ea typeface="+mn-ea"/>
                <a:cs typeface="+mn-cs"/>
              </a:defRPr>
            </a:pPr>
            <a:endParaRPr lang="en-US"/>
          </a:p>
        </c:txPr>
        <c:crossAx val="415354143"/>
        <c:crosses val="autoZero"/>
        <c:auto val="1"/>
        <c:lblAlgn val="ctr"/>
        <c:lblOffset val="100"/>
        <c:noMultiLvlLbl val="0"/>
      </c:catAx>
      <c:valAx>
        <c:axId val="415354143"/>
        <c:scaling>
          <c:orientation val="minMax"/>
        </c:scaling>
        <c:delete val="0"/>
        <c:axPos val="l"/>
        <c:numFmt formatCode="\ \ \ &quot;$&quot;#,##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15351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t>US$B </a:t>
            </a:r>
            <a:r>
              <a:rPr lang="en-US" sz="1100" baseline="0"/>
              <a:t>- total opportunity growing at 14% CAGR </a:t>
            </a:r>
            <a:endParaRPr lang="en-US" sz="1100"/>
          </a:p>
        </c:rich>
      </c:tx>
      <c:layout>
        <c:manualLayout>
          <c:xMode val="edge"/>
          <c:yMode val="edge"/>
          <c:x val="1.3667804151388499E-2"/>
          <c:y val="2.640264026402640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Field2</c:v>
          </c:tx>
          <c:spPr>
            <a:solidFill>
              <a:schemeClr val="accent1"/>
            </a:solidFill>
            <a:ln>
              <a:noFill/>
            </a:ln>
            <a:effectLst/>
          </c:spPr>
          <c:invertIfNegative val="0"/>
          <c:dPt>
            <c:idx val="0"/>
            <c:invertIfNegative val="0"/>
            <c:bubble3D val="0"/>
            <c:spPr>
              <a:solidFill>
                <a:srgbClr val="004AAC"/>
              </a:solidFill>
              <a:ln>
                <a:noFill/>
              </a:ln>
              <a:effectLst/>
            </c:spPr>
            <c:extLst>
              <c:ext xmlns:c16="http://schemas.microsoft.com/office/drawing/2014/chart" uri="{C3380CC4-5D6E-409C-BE32-E72D297353CC}">
                <c16:uniqueId val="{00000001-9EA6-4D72-B910-D715828EDAA3}"/>
              </c:ext>
            </c:extLst>
          </c:dPt>
          <c:dPt>
            <c:idx val="1"/>
            <c:invertIfNegative val="0"/>
            <c:bubble3D val="0"/>
            <c:spPr>
              <a:solidFill>
                <a:srgbClr val="004AAC"/>
              </a:solidFill>
              <a:ln>
                <a:noFill/>
              </a:ln>
              <a:effectLst/>
            </c:spPr>
            <c:extLst>
              <c:ext xmlns:c16="http://schemas.microsoft.com/office/drawing/2014/chart" uri="{C3380CC4-5D6E-409C-BE32-E72D297353CC}">
                <c16:uniqueId val="{00000002-9EA6-4D72-B910-D715828EDAA3}"/>
              </c:ext>
            </c:extLst>
          </c:dPt>
          <c:dPt>
            <c:idx val="2"/>
            <c:invertIfNegative val="0"/>
            <c:bubble3D val="0"/>
            <c:spPr>
              <a:solidFill>
                <a:srgbClr val="0067ED"/>
              </a:solidFill>
              <a:ln>
                <a:noFill/>
              </a:ln>
              <a:effectLst/>
            </c:spPr>
            <c:extLst>
              <c:ext xmlns:c16="http://schemas.microsoft.com/office/drawing/2014/chart" uri="{C3380CC4-5D6E-409C-BE32-E72D297353CC}">
                <c16:uniqueId val="{00000000-9EA6-4D72-B910-D715828EDAA3}"/>
              </c:ext>
            </c:extLst>
          </c:dPt>
          <c:dPt>
            <c:idx val="3"/>
            <c:invertIfNegative val="0"/>
            <c:bubble3D val="0"/>
            <c:spPr>
              <a:solidFill>
                <a:srgbClr val="004AAC"/>
              </a:solidFill>
              <a:ln>
                <a:noFill/>
              </a:ln>
              <a:effectLst/>
            </c:spPr>
            <c:extLst>
              <c:ext xmlns:c16="http://schemas.microsoft.com/office/drawing/2014/chart" uri="{C3380CC4-5D6E-409C-BE32-E72D297353CC}">
                <c16:uniqueId val="{00000003-9EA6-4D72-B910-D715828EDAA3}"/>
              </c:ext>
            </c:extLst>
          </c:dPt>
          <c:dPt>
            <c:idx val="4"/>
            <c:invertIfNegative val="0"/>
            <c:bubble3D val="0"/>
            <c:spPr>
              <a:solidFill>
                <a:srgbClr val="004AAC"/>
              </a:solidFill>
              <a:ln>
                <a:noFill/>
              </a:ln>
              <a:effectLst/>
            </c:spPr>
            <c:extLst>
              <c:ext xmlns:c16="http://schemas.microsoft.com/office/drawing/2014/chart" uri="{C3380CC4-5D6E-409C-BE32-E72D297353CC}">
                <c16:uniqueId val="{00000004-9EA6-4D72-B910-D715828EDAA3}"/>
              </c:ext>
            </c:extLst>
          </c:dPt>
          <c:dPt>
            <c:idx val="5"/>
            <c:invertIfNegative val="0"/>
            <c:bubble3D val="0"/>
            <c:spPr>
              <a:solidFill>
                <a:srgbClr val="004AAC"/>
              </a:solidFill>
              <a:ln>
                <a:noFill/>
              </a:ln>
              <a:effectLst/>
            </c:spPr>
            <c:extLst>
              <c:ext xmlns:c16="http://schemas.microsoft.com/office/drawing/2014/chart" uri="{C3380CC4-5D6E-409C-BE32-E72D297353CC}">
                <c16:uniqueId val="{00000005-9EA6-4D72-B910-D715828EDAA3}"/>
              </c:ext>
            </c:extLst>
          </c:dPt>
          <c:dLbls>
            <c:dLbl>
              <c:idx val="0"/>
              <c:tx>
                <c:rich>
                  <a:bodyPr/>
                  <a:lstStyle/>
                  <a:p>
                    <a:r>
                      <a:rPr lang="en-US"/>
                      <a:t>$</a:t>
                    </a:r>
                    <a:fld id="{47C897F9-E154-4ECE-97D8-95551E2E35C3}" type="VALUE">
                      <a:rPr lang="en-US"/>
                      <a:pPr/>
                      <a:t>[VALUE]</a:t>
                    </a:fld>
                    <a:r>
                      <a:rPr lang="en-US"/>
                      <a:t>B</a:t>
                    </a:r>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9EA6-4D72-B910-D715828EDAA3}"/>
                </c:ext>
              </c:extLst>
            </c:dLbl>
            <c:dLbl>
              <c:idx val="1"/>
              <c:tx>
                <c:rich>
                  <a:bodyPr/>
                  <a:lstStyle/>
                  <a:p>
                    <a:r>
                      <a:rPr lang="en-US"/>
                      <a:t>$</a:t>
                    </a:r>
                    <a:fld id="{453BFB8A-A4F5-49B2-815F-464A1A2E0183}" type="VALUE">
                      <a:rPr lang="en-US"/>
                      <a:pPr/>
                      <a:t>[VALUE]</a:t>
                    </a:fld>
                    <a:r>
                      <a:rPr lang="en-US"/>
                      <a:t>B</a:t>
                    </a:r>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9EA6-4D72-B910-D715828EDAA3}"/>
                </c:ext>
              </c:extLst>
            </c:dLbl>
            <c:dLbl>
              <c:idx val="2"/>
              <c:tx>
                <c:rich>
                  <a:bodyPr/>
                  <a:lstStyle/>
                  <a:p>
                    <a:r>
                      <a:rPr lang="en-US"/>
                      <a:t>$</a:t>
                    </a:r>
                    <a:fld id="{A165969C-5061-4661-90A9-BADC20311A9A}" type="VALUE">
                      <a:rPr lang="en-US"/>
                      <a:pPr/>
                      <a:t>[VALUE]</a:t>
                    </a:fld>
                    <a:r>
                      <a:rPr lang="en-US"/>
                      <a:t>B</a:t>
                    </a:r>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9EA6-4D72-B910-D715828EDAA3}"/>
                </c:ext>
              </c:extLst>
            </c:dLbl>
            <c:dLbl>
              <c:idx val="3"/>
              <c:tx>
                <c:rich>
                  <a:bodyPr/>
                  <a:lstStyle/>
                  <a:p>
                    <a:r>
                      <a:rPr lang="en-US"/>
                      <a:t>$11B</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9EA6-4D72-B910-D715828EDAA3}"/>
                </c:ext>
              </c:extLst>
            </c:dLbl>
            <c:dLbl>
              <c:idx val="4"/>
              <c:tx>
                <c:rich>
                  <a:bodyPr/>
                  <a:lstStyle/>
                  <a:p>
                    <a:r>
                      <a:rPr lang="en-US"/>
                      <a:t>$</a:t>
                    </a:r>
                    <a:fld id="{546F6200-0B7D-4B61-9431-337F2601B68B}" type="VALUE">
                      <a:rPr lang="en-US"/>
                      <a:pPr/>
                      <a:t>[VALUE]</a:t>
                    </a:fld>
                    <a:r>
                      <a:rPr lang="en-US"/>
                      <a:t>B</a:t>
                    </a:r>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9EA6-4D72-B910-D715828EDAA3}"/>
                </c:ext>
              </c:extLst>
            </c:dLbl>
            <c:dLbl>
              <c:idx val="5"/>
              <c:tx>
                <c:rich>
                  <a:bodyPr/>
                  <a:lstStyle/>
                  <a:p>
                    <a:r>
                      <a:rPr lang="en-US"/>
                      <a:t>$</a:t>
                    </a:r>
                    <a:fld id="{4BED7191-FFD0-4976-B446-BA3D0F680A15}" type="VALUE">
                      <a:rPr lang="en-US"/>
                      <a:pPr/>
                      <a:t>[VALUE]</a:t>
                    </a:fld>
                    <a:r>
                      <a:rPr lang="en-US"/>
                      <a:t>B</a:t>
                    </a:r>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9EA6-4D72-B910-D715828EDAA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'Graphs for report '!$A$29:$A$34</c:f>
              <c:strCache>
                <c:ptCount val="6"/>
                <c:pt idx="0">
                  <c:v>Teamwork</c:v>
                </c:pt>
                <c:pt idx="1">
                  <c:v>Service</c:v>
                </c:pt>
                <c:pt idx="2">
                  <c:v>Platform</c:v>
                </c:pt>
                <c:pt idx="3">
                  <c:v>Software</c:v>
                </c:pt>
                <c:pt idx="4">
                  <c:v>Product</c:v>
                </c:pt>
                <c:pt idx="5">
                  <c:v>Strategy</c:v>
                </c:pt>
              </c:strCache>
            </c:strRef>
          </c:cat>
          <c:val>
            <c:numRef>
              <c:f>'Graphs for report '!$B$29:$B$34</c:f>
              <c:numCache>
                <c:formatCode>General</c:formatCode>
                <c:ptCount val="6"/>
                <c:pt idx="0">
                  <c:v>67</c:v>
                </c:pt>
                <c:pt idx="1">
                  <c:v>28</c:v>
                </c:pt>
                <c:pt idx="2">
                  <c:v>22</c:v>
                </c:pt>
                <c:pt idx="3">
                  <c:v>11</c:v>
                </c:pt>
                <c:pt idx="4">
                  <c:v>9</c:v>
                </c:pt>
                <c:pt idx="5">
                  <c:v>3</c:v>
                </c:pt>
              </c:numCache>
            </c:numRef>
          </c:val>
          <c:extLst>
            <c:ext xmlns:c16="http://schemas.microsoft.com/office/drawing/2014/chart" uri="{C3380CC4-5D6E-409C-BE32-E72D297353CC}">
              <c16:uniqueId val="{87A1BE84-E49C-4ED2-A56B-6140F133D3A0}"/>
            </c:ext>
          </c:extLst>
        </c:ser>
        <c:dLbls>
          <c:showLegendKey val="0"/>
          <c:showVal val="0"/>
          <c:showCatName val="0"/>
          <c:showSerName val="0"/>
          <c:showPercent val="0"/>
          <c:showBubbleSize val="0"/>
        </c:dLbls>
        <c:gapWidth val="33"/>
        <c:overlap val="-30"/>
        <c:axId val="1024589832"/>
        <c:axId val="1024594952"/>
      </c:barChart>
      <c:catAx>
        <c:axId val="1024589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4594952"/>
        <c:crosses val="autoZero"/>
        <c:auto val="1"/>
        <c:lblAlgn val="ctr"/>
        <c:lblOffset val="100"/>
        <c:noMultiLvlLbl val="0"/>
      </c:catAx>
      <c:valAx>
        <c:axId val="1024594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45898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9051853671905268E-2"/>
          <c:y val="5.9559479709622311E-2"/>
          <c:w val="0.84240654463208497"/>
          <c:h val="0.8334968802246675"/>
        </c:manualLayout>
      </c:layout>
      <c:barChart>
        <c:barDir val="col"/>
        <c:grouping val="clustered"/>
        <c:varyColors val="0"/>
        <c:ser>
          <c:idx val="0"/>
          <c:order val="0"/>
          <c:tx>
            <c:v>Cloud Sales (US$B)</c:v>
          </c:tx>
          <c:spPr>
            <a:solidFill>
              <a:srgbClr val="0067ED"/>
            </a:solidFill>
            <a:ln>
              <a:noFill/>
            </a:ln>
            <a:effectLst/>
          </c:spPr>
          <c:invertIfNegative val="0"/>
          <c:dPt>
            <c:idx val="0"/>
            <c:invertIfNegative val="0"/>
            <c:bubble3D val="0"/>
            <c:spPr>
              <a:solidFill>
                <a:srgbClr val="B3D1FA"/>
              </a:solidFill>
              <a:ln>
                <a:noFill/>
              </a:ln>
              <a:effectLst/>
            </c:spPr>
            <c:extLst>
              <c:ext xmlns:c16="http://schemas.microsoft.com/office/drawing/2014/chart" uri="{C3380CC4-5D6E-409C-BE32-E72D297353CC}">
                <c16:uniqueId val="{00000006-FA7B-41F6-91CA-C06BB26A323B}"/>
              </c:ext>
            </c:extLst>
          </c:dPt>
          <c:dPt>
            <c:idx val="3"/>
            <c:invertIfNegative val="0"/>
            <c:bubble3D val="0"/>
            <c:spPr>
              <a:solidFill>
                <a:srgbClr val="0067ED"/>
              </a:solidFill>
              <a:ln>
                <a:solidFill>
                  <a:srgbClr val="0067ED"/>
                </a:solidFill>
                <a:prstDash val="solid"/>
              </a:ln>
              <a:effectLst/>
            </c:spPr>
            <c:extLst>
              <c:ext xmlns:c16="http://schemas.microsoft.com/office/drawing/2014/chart" uri="{C3380CC4-5D6E-409C-BE32-E72D297353CC}">
                <c16:uniqueId val="{00000001-4853-45D2-82F1-415068C57965}"/>
              </c:ext>
            </c:extLst>
          </c:dPt>
          <c:cat>
            <c:strRef>
              <c:f>'Graphs for report '!$E$2:$K$2</c:f>
              <c:strCache>
                <c:ptCount val="7"/>
                <c:pt idx="0">
                  <c:v>'26A</c:v>
                </c:pt>
                <c:pt idx="1">
                  <c:v>'27E</c:v>
                </c:pt>
                <c:pt idx="2">
                  <c:v>'28E</c:v>
                </c:pt>
                <c:pt idx="3">
                  <c:v>'29E</c:v>
                </c:pt>
                <c:pt idx="4">
                  <c:v>'30E</c:v>
                </c:pt>
                <c:pt idx="5">
                  <c:v>'31E</c:v>
                </c:pt>
                <c:pt idx="6">
                  <c:v>'32E</c:v>
                </c:pt>
              </c:strCache>
            </c:strRef>
          </c:cat>
          <c:val>
            <c:numRef>
              <c:f>'Graphs for report '!$E$3:$K$3</c:f>
              <c:numCache>
                <c:formatCode>0.0</c:formatCode>
                <c:ptCount val="7"/>
                <c:pt idx="0">
                  <c:v>4.4106270000000007</c:v>
                </c:pt>
                <c:pt idx="1">
                  <c:v>5.9094217500000008</c:v>
                </c:pt>
                <c:pt idx="2">
                  <c:v>7.6343850903600003</c:v>
                </c:pt>
                <c:pt idx="3">
                  <c:v>10.459659292926482</c:v>
                </c:pt>
                <c:pt idx="4">
                  <c:v>12.342397965653246</c:v>
                </c:pt>
                <c:pt idx="5">
                  <c:v>13.946909701188167</c:v>
                </c:pt>
                <c:pt idx="6">
                  <c:v>15.341600671306985</c:v>
                </c:pt>
              </c:numCache>
            </c:numRef>
          </c:val>
          <c:extLst>
            <c:ext xmlns:c16="http://schemas.microsoft.com/office/drawing/2014/chart" uri="{C3380CC4-5D6E-409C-BE32-E72D297353CC}">
              <c16:uniqueId val="{00000000-D531-4304-88C4-668D6562B046}"/>
            </c:ext>
          </c:extLst>
        </c:ser>
        <c:dLbls>
          <c:showLegendKey val="0"/>
          <c:showVal val="0"/>
          <c:showCatName val="0"/>
          <c:showSerName val="0"/>
          <c:showPercent val="0"/>
          <c:showBubbleSize val="0"/>
        </c:dLbls>
        <c:gapWidth val="219"/>
        <c:axId val="878815727"/>
        <c:axId val="878816207"/>
      </c:barChart>
      <c:lineChart>
        <c:grouping val="standard"/>
        <c:varyColors val="0"/>
        <c:ser>
          <c:idx val="1"/>
          <c:order val="1"/>
          <c:tx>
            <c:v>Cloud Growth (%)</c:v>
          </c:tx>
          <c:spPr>
            <a:ln w="28575" cap="rnd">
              <a:solidFill>
                <a:srgbClr val="B3D1FA"/>
              </a:solidFill>
              <a:round/>
            </a:ln>
            <a:effectLst/>
          </c:spPr>
          <c:marker>
            <c:symbol val="circle"/>
            <c:size val="5"/>
            <c:spPr>
              <a:noFill/>
              <a:ln w="9525">
                <a:noFill/>
              </a:ln>
              <a:effectLst/>
            </c:spPr>
          </c:marker>
          <c:cat>
            <c:strRef>
              <c:f>'Graphs for report '!$E$2:$K$2</c:f>
              <c:strCache>
                <c:ptCount val="7"/>
                <c:pt idx="0">
                  <c:v>'26A</c:v>
                </c:pt>
                <c:pt idx="1">
                  <c:v>'27E</c:v>
                </c:pt>
                <c:pt idx="2">
                  <c:v>'28E</c:v>
                </c:pt>
                <c:pt idx="3">
                  <c:v>'29E</c:v>
                </c:pt>
                <c:pt idx="4">
                  <c:v>'30E</c:v>
                </c:pt>
                <c:pt idx="5">
                  <c:v>'31E</c:v>
                </c:pt>
                <c:pt idx="6">
                  <c:v>'32E</c:v>
                </c:pt>
              </c:strCache>
            </c:strRef>
          </c:cat>
          <c:val>
            <c:numRef>
              <c:f>'Graphs for report '!$E$4:$K$4</c:f>
              <c:numCache>
                <c:formatCode>0.00%</c:formatCode>
                <c:ptCount val="7"/>
                <c:pt idx="0" formatCode="0.0%">
                  <c:v>0.27940679932702928</c:v>
                </c:pt>
                <c:pt idx="1">
                  <c:v>0.29000000000000004</c:v>
                </c:pt>
                <c:pt idx="2">
                  <c:v>0.26</c:v>
                </c:pt>
                <c:pt idx="3">
                  <c:v>0.22999999999999998</c:v>
                </c:pt>
                <c:pt idx="4">
                  <c:v>0.18</c:v>
                </c:pt>
                <c:pt idx="5">
                  <c:v>0.13</c:v>
                </c:pt>
                <c:pt idx="6">
                  <c:v>0.1</c:v>
                </c:pt>
              </c:numCache>
            </c:numRef>
          </c:val>
          <c:smooth val="0"/>
          <c:extLst>
            <c:ext xmlns:c16="http://schemas.microsoft.com/office/drawing/2014/chart" uri="{C3380CC4-5D6E-409C-BE32-E72D297353CC}">
              <c16:uniqueId val="{00000001-D531-4304-88C4-668D6562B046}"/>
            </c:ext>
          </c:extLst>
        </c:ser>
        <c:dLbls>
          <c:showLegendKey val="0"/>
          <c:showVal val="0"/>
          <c:showCatName val="0"/>
          <c:showSerName val="0"/>
          <c:showPercent val="0"/>
          <c:showBubbleSize val="0"/>
        </c:dLbls>
        <c:marker val="1"/>
        <c:smooth val="0"/>
        <c:axId val="823741471"/>
        <c:axId val="823747711"/>
      </c:lineChart>
      <c:catAx>
        <c:axId val="878815727"/>
        <c:scaling>
          <c:orientation val="minMax"/>
        </c:scaling>
        <c:delete val="0"/>
        <c:axPos val="b"/>
        <c:numFmt formatCode="General" sourceLinked="1"/>
        <c:majorTickMark val="none"/>
        <c:minorTickMark val="out"/>
        <c:tickLblPos val="nextTo"/>
        <c:spPr>
          <a:noFill/>
          <a:ln w="952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878816207"/>
        <c:crosses val="autoZero"/>
        <c:auto val="1"/>
        <c:lblAlgn val="ctr"/>
        <c:lblOffset val="100"/>
        <c:noMultiLvlLbl val="0"/>
      </c:catAx>
      <c:valAx>
        <c:axId val="878816207"/>
        <c:scaling>
          <c:orientation val="minMax"/>
        </c:scaling>
        <c:delete val="0"/>
        <c:axPos val="l"/>
        <c:numFmt formatCode="\ \ \ &quot;$&quot;#,##0&quot;B&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878815727"/>
        <c:crosses val="autoZero"/>
        <c:crossBetween val="between"/>
      </c:valAx>
      <c:valAx>
        <c:axId val="823747711"/>
        <c:scaling>
          <c:orientation val="minMax"/>
        </c:scaling>
        <c:delete val="0"/>
        <c:axPos val="r"/>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823741471"/>
        <c:crosses val="max"/>
        <c:crossBetween val="between"/>
      </c:valAx>
      <c:catAx>
        <c:axId val="823741471"/>
        <c:scaling>
          <c:orientation val="minMax"/>
        </c:scaling>
        <c:delete val="1"/>
        <c:axPos val="b"/>
        <c:numFmt formatCode="General" sourceLinked="1"/>
        <c:majorTickMark val="out"/>
        <c:minorTickMark val="none"/>
        <c:tickLblPos val="nextTo"/>
        <c:crossAx val="823747711"/>
        <c:crosses val="autoZero"/>
        <c:auto val="1"/>
        <c:lblAlgn val="ctr"/>
        <c:lblOffset val="100"/>
        <c:noMultiLvlLbl val="0"/>
      </c:catAx>
      <c:spPr>
        <a:noFill/>
        <a:ln>
          <a:noFill/>
        </a:ln>
        <a:effectLst/>
      </c:spPr>
    </c:plotArea>
    <c:legend>
      <c:legendPos val="t"/>
      <c:layout>
        <c:manualLayout>
          <c:xMode val="edge"/>
          <c:yMode val="edge"/>
          <c:x val="0.26775239853289695"/>
          <c:y val="5.0885302270351387E-2"/>
          <c:w val="0.57223694746834863"/>
          <c:h val="7.8486909326624124E-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b="1">
          <a:solidFill>
            <a:schemeClr val="tx1"/>
          </a:solidFill>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'Graphs for report '!$A$56</c:f>
              <c:strCache>
                <c:ptCount val="1"/>
                <c:pt idx="0">
                  <c:v>Knowledge workers</c:v>
                </c:pt>
              </c:strCache>
            </c:strRef>
          </c:tx>
          <c:spPr>
            <a:solidFill>
              <a:srgbClr val="B3D1FA"/>
            </a:solidFill>
            <a:ln>
              <a:noFill/>
            </a:ln>
            <a:effectLst/>
          </c:spPr>
          <c:invertIfNegative val="0"/>
          <c:dLbls>
            <c:dLbl>
              <c:idx val="0"/>
              <c:tx>
                <c:rich>
                  <a:bodyPr/>
                  <a:lstStyle/>
                  <a:p>
                    <a:fld id="{AB5E4B3D-BC51-4522-AE3A-053943614959}" type="VALUE">
                      <a:rPr lang="en-US"/>
                      <a:pPr/>
                      <a:t>[VALUE]</a:t>
                    </a:fld>
                    <a:r>
                      <a:rPr lang="en-US"/>
                      <a:t>%</a:t>
                    </a:r>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5B1F-4C1D-884E-F312871B2429}"/>
                </c:ext>
              </c:extLst>
            </c:dLbl>
            <c:dLbl>
              <c:idx val="1"/>
              <c:tx>
                <c:rich>
                  <a:bodyPr/>
                  <a:lstStyle/>
                  <a:p>
                    <a:fld id="{A66C0485-850C-45C1-9940-803C99492365}" type="VALUE">
                      <a:rPr lang="en-US"/>
                      <a:pPr/>
                      <a:t>[VALUE]</a:t>
                    </a:fld>
                    <a:r>
                      <a:rPr lang="en-US"/>
                      <a:t>%</a:t>
                    </a:r>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5B1F-4C1D-884E-F312871B2429}"/>
                </c:ext>
              </c:extLst>
            </c:dLbl>
            <c:dLbl>
              <c:idx val="2"/>
              <c:tx>
                <c:rich>
                  <a:bodyPr/>
                  <a:lstStyle/>
                  <a:p>
                    <a:fld id="{72B2FE48-6C95-41F3-A3F2-D85FF3CF62C5}" type="VALUE">
                      <a:rPr lang="en-US"/>
                      <a:pPr/>
                      <a:t>[VALUE]</a:t>
                    </a:fld>
                    <a:r>
                      <a:rPr lang="en-US"/>
                      <a:t>%</a:t>
                    </a:r>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5B1F-4C1D-884E-F312871B242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'Graphs for report '!$B$55:$D$55</c:f>
              <c:strCache>
                <c:ptCount val="3"/>
                <c:pt idx="0">
                  <c:v>Jira </c:v>
                </c:pt>
                <c:pt idx="1">
                  <c:v>Jira Service Management</c:v>
                </c:pt>
                <c:pt idx="2">
                  <c:v>Confluence</c:v>
                </c:pt>
              </c:strCache>
            </c:strRef>
          </c:cat>
          <c:val>
            <c:numRef>
              <c:f>'Graphs for report '!$B$56:$D$56</c:f>
              <c:numCache>
                <c:formatCode>General</c:formatCode>
                <c:ptCount val="3"/>
                <c:pt idx="0">
                  <c:v>65</c:v>
                </c:pt>
                <c:pt idx="1">
                  <c:v>77</c:v>
                </c:pt>
                <c:pt idx="2">
                  <c:v>68</c:v>
                </c:pt>
              </c:numCache>
            </c:numRef>
          </c:val>
          <c:extLst>
            <c:ext xmlns:c16="http://schemas.microsoft.com/office/drawing/2014/chart" uri="{C3380CC4-5D6E-409C-BE32-E72D297353CC}">
              <c16:uniqueId val="{00000000-5B1F-4C1D-884E-F312871B2429}"/>
            </c:ext>
          </c:extLst>
        </c:ser>
        <c:ser>
          <c:idx val="1"/>
          <c:order val="1"/>
          <c:tx>
            <c:strRef>
              <c:f>'Graphs for report '!$A$57</c:f>
              <c:strCache>
                <c:ptCount val="1"/>
                <c:pt idx="0">
                  <c:v>Developers and engineers</c:v>
                </c:pt>
              </c:strCache>
            </c:strRef>
          </c:tx>
          <c:spPr>
            <a:solidFill>
              <a:srgbClr val="82B536"/>
            </a:solidFill>
            <a:ln>
              <a:noFill/>
            </a:ln>
            <a:effectLst/>
          </c:spPr>
          <c:invertIfNegative val="0"/>
          <c:dLbls>
            <c:dLbl>
              <c:idx val="0"/>
              <c:tx>
                <c:rich>
                  <a:bodyPr/>
                  <a:lstStyle/>
                  <a:p>
                    <a:fld id="{21919BFF-6839-4547-B202-70A4DA0096EE}" type="VALUE">
                      <a:rPr lang="en-US"/>
                      <a:pPr/>
                      <a:t>[VALUE]</a:t>
                    </a:fld>
                    <a:r>
                      <a:rPr lang="en-US"/>
                      <a:t>%</a:t>
                    </a:r>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5B1F-4C1D-884E-F312871B2429}"/>
                </c:ext>
              </c:extLst>
            </c:dLbl>
            <c:dLbl>
              <c:idx val="1"/>
              <c:tx>
                <c:rich>
                  <a:bodyPr/>
                  <a:lstStyle/>
                  <a:p>
                    <a:fld id="{7B7A140E-93AB-4454-8D32-FE07E96F9207}" type="VALUE">
                      <a:rPr lang="en-US"/>
                      <a:pPr/>
                      <a:t>[VALUE]</a:t>
                    </a:fld>
                    <a:r>
                      <a:rPr lang="en-US"/>
                      <a:t>%</a:t>
                    </a:r>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5B1F-4C1D-884E-F312871B2429}"/>
                </c:ext>
              </c:extLst>
            </c:dLbl>
            <c:dLbl>
              <c:idx val="2"/>
              <c:tx>
                <c:rich>
                  <a:bodyPr/>
                  <a:lstStyle/>
                  <a:p>
                    <a:fld id="{E2CEEE3A-61B1-4D92-8B89-85010F0D6F50}" type="VALUE">
                      <a:rPr lang="en-US"/>
                      <a:pPr/>
                      <a:t>[VALUE]</a:t>
                    </a:fld>
                    <a:r>
                      <a:rPr lang="en-US"/>
                      <a:t>%</a:t>
                    </a:r>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5B1F-4C1D-884E-F312871B242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'Graphs for report '!$B$55:$D$55</c:f>
              <c:strCache>
                <c:ptCount val="3"/>
                <c:pt idx="0">
                  <c:v>Jira </c:v>
                </c:pt>
                <c:pt idx="1">
                  <c:v>Jira Service Management</c:v>
                </c:pt>
                <c:pt idx="2">
                  <c:v>Confluence</c:v>
                </c:pt>
              </c:strCache>
            </c:strRef>
          </c:cat>
          <c:val>
            <c:numRef>
              <c:f>'Graphs for report '!$B$57:$D$57</c:f>
              <c:numCache>
                <c:formatCode>General</c:formatCode>
                <c:ptCount val="3"/>
                <c:pt idx="0">
                  <c:v>35</c:v>
                </c:pt>
                <c:pt idx="1">
                  <c:v>23</c:v>
                </c:pt>
                <c:pt idx="2">
                  <c:v>32</c:v>
                </c:pt>
              </c:numCache>
            </c:numRef>
          </c:val>
          <c:extLst>
            <c:ext xmlns:c16="http://schemas.microsoft.com/office/drawing/2014/chart" uri="{C3380CC4-5D6E-409C-BE32-E72D297353CC}">
              <c16:uniqueId val="{00000001-5B1F-4C1D-884E-F312871B2429}"/>
            </c:ext>
          </c:extLst>
        </c:ser>
        <c:dLbls>
          <c:showLegendKey val="0"/>
          <c:showVal val="0"/>
          <c:showCatName val="0"/>
          <c:showSerName val="0"/>
          <c:showPercent val="0"/>
          <c:showBubbleSize val="0"/>
        </c:dLbls>
        <c:gapWidth val="150"/>
        <c:overlap val="100"/>
        <c:axId val="897228432"/>
        <c:axId val="897226992"/>
      </c:barChart>
      <c:catAx>
        <c:axId val="897228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226992"/>
        <c:crosses val="autoZero"/>
        <c:auto val="1"/>
        <c:lblAlgn val="ctr"/>
        <c:lblOffset val="100"/>
        <c:noMultiLvlLbl val="0"/>
      </c:catAx>
      <c:valAx>
        <c:axId val="897226992"/>
        <c:scaling>
          <c:orientation val="minMax"/>
          <c:max val="100"/>
        </c:scaling>
        <c:delete val="1"/>
        <c:axPos val="b"/>
        <c:numFmt formatCode="General" sourceLinked="1"/>
        <c:majorTickMark val="none"/>
        <c:minorTickMark val="none"/>
        <c:tickLblPos val="nextTo"/>
        <c:crossAx val="897228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100"/>
              <a:t>Market size, US$B</a:t>
            </a:r>
          </a:p>
        </c:rich>
      </c:tx>
      <c:layout>
        <c:manualLayout>
          <c:xMode val="edge"/>
          <c:yMode val="edge"/>
          <c:x val="7.4354111986001781E-2"/>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'Graphs for report '!$B$77</c:f>
              <c:strCache>
                <c:ptCount val="1"/>
                <c:pt idx="0">
                  <c:v>2025</c:v>
                </c:pt>
              </c:strCache>
            </c:strRef>
          </c:tx>
          <c:spPr>
            <a:solidFill>
              <a:srgbClr val="B3D1FA"/>
            </a:solidFill>
            <a:ln>
              <a:noFill/>
            </a:ln>
            <a:effectLst/>
          </c:spPr>
          <c:invertIfNegative val="0"/>
          <c:dLbls>
            <c:dLbl>
              <c:idx val="0"/>
              <c:tx>
                <c:rich>
                  <a:bodyPr/>
                  <a:lstStyle/>
                  <a:p>
                    <a:r>
                      <a:rPr lang="en-US"/>
                      <a:t>$</a:t>
                    </a:r>
                    <a:fld id="{7218A640-2D8B-4E9A-AE22-E5D155BBE3E6}" type="VALUE">
                      <a:rPr lang="en-US"/>
                      <a:pPr/>
                      <a:t>[VALUE]</a:t>
                    </a:fld>
                    <a:r>
                      <a:rPr lang="en-US"/>
                      <a:t>B</a:t>
                    </a:r>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E906-4F24-8FB8-365D8FC1E89C}"/>
                </c:ext>
              </c:extLst>
            </c:dLbl>
            <c:dLbl>
              <c:idx val="1"/>
              <c:tx>
                <c:rich>
                  <a:bodyPr/>
                  <a:lstStyle/>
                  <a:p>
                    <a:r>
                      <a:rPr lang="en-US"/>
                      <a:t>$</a:t>
                    </a:r>
                    <a:fld id="{3D860370-44F8-4DE1-B226-7C7E5BEFE01D}" type="VALUE">
                      <a:rPr lang="en-US"/>
                      <a:pPr/>
                      <a:t>[VALUE]</a:t>
                    </a:fld>
                    <a:r>
                      <a:rPr lang="en-US"/>
                      <a:t>B</a:t>
                    </a:r>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E906-4F24-8FB8-365D8FC1E89C}"/>
                </c:ext>
              </c:extLst>
            </c:dLbl>
            <c:dLbl>
              <c:idx val="2"/>
              <c:tx>
                <c:rich>
                  <a:bodyPr/>
                  <a:lstStyle/>
                  <a:p>
                    <a:r>
                      <a:rPr lang="en-US"/>
                      <a:t>$</a:t>
                    </a:r>
                    <a:fld id="{FDD17375-6C00-4D25-BD38-3F9A52E89B04}" type="VALUE">
                      <a:rPr lang="en-US"/>
                      <a:pPr/>
                      <a:t>[VALUE]</a:t>
                    </a:fld>
                    <a:r>
                      <a:rPr lang="en-US"/>
                      <a:t>B</a:t>
                    </a:r>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E906-4F24-8FB8-365D8FC1E89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'Graphs for report '!$A$78:$A$80</c:f>
              <c:strCache>
                <c:ptCount val="3"/>
                <c:pt idx="0">
                  <c:v>North America</c:v>
                </c:pt>
                <c:pt idx="1">
                  <c:v>EMEA</c:v>
                </c:pt>
                <c:pt idx="2">
                  <c:v>Asia Pacific</c:v>
                </c:pt>
              </c:strCache>
            </c:strRef>
          </c:cat>
          <c:val>
            <c:numRef>
              <c:f>'Graphs for report '!$B$78:$B$80</c:f>
              <c:numCache>
                <c:formatCode>0.0</c:formatCode>
                <c:ptCount val="3"/>
                <c:pt idx="0" formatCode="General">
                  <c:v>148.19999999999999</c:v>
                </c:pt>
                <c:pt idx="1">
                  <c:v>60</c:v>
                </c:pt>
                <c:pt idx="2" formatCode="General">
                  <c:v>69.400000000000006</c:v>
                </c:pt>
              </c:numCache>
            </c:numRef>
          </c:val>
          <c:extLst>
            <c:ext xmlns:c16="http://schemas.microsoft.com/office/drawing/2014/chart" uri="{C3380CC4-5D6E-409C-BE32-E72D297353CC}">
              <c16:uniqueId val="{00000000-E906-4F24-8FB8-365D8FC1E89C}"/>
            </c:ext>
          </c:extLst>
        </c:ser>
        <c:ser>
          <c:idx val="1"/>
          <c:order val="1"/>
          <c:tx>
            <c:strRef>
              <c:f>'Graphs for report '!$C$77</c:f>
              <c:strCache>
                <c:ptCount val="1"/>
                <c:pt idx="0">
                  <c:v>2026</c:v>
                </c:pt>
              </c:strCache>
            </c:strRef>
          </c:tx>
          <c:spPr>
            <a:solidFill>
              <a:srgbClr val="0067ED"/>
            </a:solidFill>
            <a:ln>
              <a:noFill/>
            </a:ln>
            <a:effectLst/>
          </c:spPr>
          <c:invertIfNegative val="0"/>
          <c:dLbls>
            <c:dLbl>
              <c:idx val="0"/>
              <c:tx>
                <c:rich>
                  <a:bodyPr/>
                  <a:lstStyle/>
                  <a:p>
                    <a:r>
                      <a:rPr lang="en-US"/>
                      <a:t>$</a:t>
                    </a:r>
                    <a:fld id="{B2C26A60-8406-4183-8CC7-88A102FFC6D2}" type="VALUE">
                      <a:rPr lang="en-US"/>
                      <a:pPr/>
                      <a:t>[VALUE]</a:t>
                    </a:fld>
                    <a:r>
                      <a:rPr lang="en-US"/>
                      <a:t>B</a:t>
                    </a:r>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E906-4F24-8FB8-365D8FC1E89C}"/>
                </c:ext>
              </c:extLst>
            </c:dLbl>
            <c:dLbl>
              <c:idx val="1"/>
              <c:tx>
                <c:rich>
                  <a:bodyPr/>
                  <a:lstStyle/>
                  <a:p>
                    <a:r>
                      <a:rPr lang="en-US"/>
                      <a:t>$</a:t>
                    </a:r>
                    <a:fld id="{90133E4C-F5C8-4F53-8C6D-FEAACCFFE489}" type="VALUE">
                      <a:rPr lang="en-US"/>
                      <a:pPr/>
                      <a:t>[VALUE]</a:t>
                    </a:fld>
                    <a:r>
                      <a:rPr lang="en-US"/>
                      <a:t>B</a:t>
                    </a:r>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E906-4F24-8FB8-365D8FC1E89C}"/>
                </c:ext>
              </c:extLst>
            </c:dLbl>
            <c:dLbl>
              <c:idx val="2"/>
              <c:tx>
                <c:rich>
                  <a:bodyPr/>
                  <a:lstStyle/>
                  <a:p>
                    <a:r>
                      <a:rPr lang="en-US"/>
                      <a:t>$</a:t>
                    </a:r>
                    <a:fld id="{F27BEB5E-018E-4751-8AA8-7D5E5201A8DA}" type="VALUE">
                      <a:rPr lang="en-US"/>
                      <a:pPr/>
                      <a:t>[VALUE]</a:t>
                    </a:fld>
                    <a:r>
                      <a:rPr lang="en-US"/>
                      <a:t>B</a:t>
                    </a:r>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E906-4F24-8FB8-365D8FC1E89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'Graphs for report '!$A$78:$A$80</c:f>
              <c:strCache>
                <c:ptCount val="3"/>
                <c:pt idx="0">
                  <c:v>North America</c:v>
                </c:pt>
                <c:pt idx="1">
                  <c:v>EMEA</c:v>
                </c:pt>
                <c:pt idx="2">
                  <c:v>Asia Pacific</c:v>
                </c:pt>
              </c:strCache>
            </c:strRef>
          </c:cat>
          <c:val>
            <c:numRef>
              <c:f>'Graphs for report '!$C$78:$C$80</c:f>
              <c:numCache>
                <c:formatCode>General</c:formatCode>
                <c:ptCount val="3"/>
                <c:pt idx="0">
                  <c:v>172.7</c:v>
                </c:pt>
                <c:pt idx="1">
                  <c:v>70.8</c:v>
                </c:pt>
                <c:pt idx="2">
                  <c:v>86.1</c:v>
                </c:pt>
              </c:numCache>
            </c:numRef>
          </c:val>
          <c:extLst>
            <c:ext xmlns:c16="http://schemas.microsoft.com/office/drawing/2014/chart" uri="{C3380CC4-5D6E-409C-BE32-E72D297353CC}">
              <c16:uniqueId val="{00000001-E906-4F24-8FB8-365D8FC1E89C}"/>
            </c:ext>
          </c:extLst>
        </c:ser>
        <c:dLbls>
          <c:showLegendKey val="0"/>
          <c:showVal val="0"/>
          <c:showCatName val="0"/>
          <c:showSerName val="0"/>
          <c:showPercent val="0"/>
          <c:showBubbleSize val="0"/>
        </c:dLbls>
        <c:gapWidth val="219"/>
        <c:overlap val="-27"/>
        <c:axId val="994047488"/>
        <c:axId val="994041728"/>
      </c:barChart>
      <c:catAx>
        <c:axId val="994047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4041728"/>
        <c:crosses val="autoZero"/>
        <c:auto val="1"/>
        <c:lblAlgn val="ctr"/>
        <c:lblOffset val="100"/>
        <c:noMultiLvlLbl val="0"/>
      </c:catAx>
      <c:valAx>
        <c:axId val="994041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4047488"/>
        <c:crosses val="autoZero"/>
        <c:crossBetween val="between"/>
      </c:valAx>
      <c:spPr>
        <a:noFill/>
        <a:ln>
          <a:noFill/>
        </a:ln>
        <a:effectLst/>
      </c:spPr>
    </c:plotArea>
    <c:legend>
      <c:legendPos val="b"/>
      <c:layout>
        <c:manualLayout>
          <c:xMode val="edge"/>
          <c:yMode val="edge"/>
          <c:x val="0.71712005977753857"/>
          <c:y val="4.2244823563721161E-2"/>
          <c:w val="0.18730644946329122"/>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Share of total revenue,</a:t>
            </a:r>
            <a:r>
              <a:rPr lang="en-AU" baseline="0"/>
              <a:t> FY25</a:t>
            </a:r>
            <a:endParaRPr lang="en-A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lotArea>
      <c:layout/>
      <c:pieChart>
        <c:varyColors val="1"/>
        <c:ser>
          <c:idx val="0"/>
          <c:order val="0"/>
          <c:dPt>
            <c:idx val="0"/>
            <c:bubble3D val="0"/>
            <c:spPr>
              <a:solidFill>
                <a:srgbClr val="004AAC"/>
              </a:solidFill>
              <a:ln w="19050">
                <a:solidFill>
                  <a:schemeClr val="lt1"/>
                </a:solidFill>
              </a:ln>
              <a:effectLst/>
            </c:spPr>
            <c:extLst>
              <c:ext xmlns:c16="http://schemas.microsoft.com/office/drawing/2014/chart" uri="{C3380CC4-5D6E-409C-BE32-E72D297353CC}">
                <c16:uniqueId val="{00000001-78D4-4405-B5C8-F5974A644AE1}"/>
              </c:ext>
            </c:extLst>
          </c:dPt>
          <c:dPt>
            <c:idx val="1"/>
            <c:bubble3D val="0"/>
            <c:spPr>
              <a:solidFill>
                <a:srgbClr val="0067ED"/>
              </a:solidFill>
              <a:ln w="19050">
                <a:solidFill>
                  <a:schemeClr val="lt1"/>
                </a:solidFill>
              </a:ln>
              <a:effectLst/>
            </c:spPr>
            <c:extLst>
              <c:ext xmlns:c16="http://schemas.microsoft.com/office/drawing/2014/chart" uri="{C3380CC4-5D6E-409C-BE32-E72D297353CC}">
                <c16:uniqueId val="{00000002-78D4-4405-B5C8-F5974A644AE1}"/>
              </c:ext>
            </c:extLst>
          </c:dPt>
          <c:dPt>
            <c:idx val="2"/>
            <c:bubble3D val="0"/>
            <c:spPr>
              <a:solidFill>
                <a:srgbClr val="B3D1FA"/>
              </a:solidFill>
              <a:ln w="19050">
                <a:solidFill>
                  <a:schemeClr val="lt1"/>
                </a:solidFill>
              </a:ln>
              <a:effectLst/>
            </c:spPr>
            <c:extLst>
              <c:ext xmlns:c16="http://schemas.microsoft.com/office/drawing/2014/chart" uri="{C3380CC4-5D6E-409C-BE32-E72D297353CC}">
                <c16:uniqueId val="{00000003-78D4-4405-B5C8-F5974A644AE1}"/>
              </c:ext>
            </c:extLst>
          </c:dPt>
          <c:dLbls>
            <c:dLbl>
              <c:idx val="0"/>
              <c:layout>
                <c:manualLayout>
                  <c:x val="0.25256722899866513"/>
                  <c:y val="-0.1435185185185185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8D4-4405-B5C8-F5974A644AE1}"/>
                </c:ext>
              </c:extLst>
            </c:dLbl>
            <c:dLbl>
              <c:idx val="1"/>
              <c:layout>
                <c:manualLayout>
                  <c:x val="0.59567742688364456"/>
                  <c:y val="-0.1388888888888889"/>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8D4-4405-B5C8-F5974A644AE1}"/>
                </c:ext>
              </c:extLst>
            </c:dLbl>
            <c:dLbl>
              <c:idx val="2"/>
              <c:layout>
                <c:manualLayout>
                  <c:x val="0.50513445799733059"/>
                  <c:y val="0.50462962962962954"/>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8D4-4405-B5C8-F5974A644AE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extLst>
          </c:dLbls>
          <c:cat>
            <c:strRef>
              <c:f>'Graphs for report '!$B$99:$B$101</c:f>
              <c:strCache>
                <c:ptCount val="3"/>
                <c:pt idx="0">
                  <c:v>Americas</c:v>
                </c:pt>
                <c:pt idx="1">
                  <c:v>EMEA</c:v>
                </c:pt>
                <c:pt idx="2">
                  <c:v>Asia Pacific</c:v>
                </c:pt>
              </c:strCache>
            </c:strRef>
          </c:cat>
          <c:val>
            <c:numRef>
              <c:f>'Graphs for report '!$C$99:$C$101</c:f>
              <c:numCache>
                <c:formatCode>0%</c:formatCode>
                <c:ptCount val="3"/>
                <c:pt idx="0">
                  <c:v>0.48</c:v>
                </c:pt>
                <c:pt idx="1">
                  <c:v>0.41</c:v>
                </c:pt>
                <c:pt idx="2">
                  <c:v>0.11</c:v>
                </c:pt>
              </c:numCache>
            </c:numRef>
          </c:val>
          <c:extLst>
            <c:ext xmlns:c16="http://schemas.microsoft.com/office/drawing/2014/chart" uri="{C3380CC4-5D6E-409C-BE32-E72D297353CC}">
              <c16:uniqueId val="{00000000-78D4-4405-B5C8-F5974A644AE1}"/>
            </c:ext>
          </c:extLst>
        </c:ser>
        <c:dLbls>
          <c:showLegendKey val="0"/>
          <c:showVal val="0"/>
          <c:showCatName val="0"/>
          <c:showSerName val="0"/>
          <c:showPercent val="0"/>
          <c:showBubbleSize val="0"/>
          <c:showLeaderLines val="0"/>
        </c:dLbls>
        <c:firstSliceAng val="0"/>
      </c:pieChart>
      <c:spPr>
        <a:noFill/>
        <a:ln>
          <a:noFill/>
        </a:ln>
        <a:effectLst/>
      </c:spPr>
    </c:plotArea>
    <c:legend>
      <c:legendPos val="b"/>
      <c:layout>
        <c:manualLayout>
          <c:xMode val="edge"/>
          <c:yMode val="edge"/>
          <c:x val="0.76429743484281965"/>
          <c:y val="0.28298556430446192"/>
          <c:w val="0.10996175921520578"/>
          <c:h val="0.4762736949547973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100"/>
              <a:t>Market size, US$B</a:t>
            </a:r>
          </a:p>
        </c:rich>
      </c:tx>
      <c:layout>
        <c:manualLayout>
          <c:xMode val="edge"/>
          <c:yMode val="edge"/>
          <c:x val="1.6278640845569965E-2"/>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rgbClr val="B3D1FA"/>
              </a:solidFill>
              <a:ln>
                <a:noFill/>
              </a:ln>
              <a:effectLst/>
            </c:spPr>
            <c:extLst>
              <c:ext xmlns:c16="http://schemas.microsoft.com/office/drawing/2014/chart" uri="{C3380CC4-5D6E-409C-BE32-E72D297353CC}">
                <c16:uniqueId val="{00000002-149B-492F-B2C6-DF48966C83DA}"/>
              </c:ext>
            </c:extLst>
          </c:dPt>
          <c:dPt>
            <c:idx val="1"/>
            <c:invertIfNegative val="0"/>
            <c:bubble3D val="0"/>
            <c:spPr>
              <a:solidFill>
                <a:srgbClr val="004AAC"/>
              </a:solidFill>
              <a:ln>
                <a:noFill/>
              </a:ln>
              <a:effectLst/>
            </c:spPr>
            <c:extLst>
              <c:ext xmlns:c16="http://schemas.microsoft.com/office/drawing/2014/chart" uri="{C3380CC4-5D6E-409C-BE32-E72D297353CC}">
                <c16:uniqueId val="{00000003-149B-492F-B2C6-DF48966C83DA}"/>
              </c:ext>
            </c:extLst>
          </c:dPt>
          <c:dLbls>
            <c:dLbl>
              <c:idx val="0"/>
              <c:layout>
                <c:manualLayout>
                  <c:x val="0"/>
                  <c:y val="1.3888888888888888E-2"/>
                </c:manualLayout>
              </c:layout>
              <c:tx>
                <c:rich>
                  <a:bodyPr/>
                  <a:lstStyle/>
                  <a:p>
                    <a:r>
                      <a:rPr lang="en-US"/>
                      <a:t>$</a:t>
                    </a:r>
                    <a:fld id="{0919B6DA-0BE5-4FF1-9984-8332BB2B7A99}" type="VALUE">
                      <a:rPr lang="en-US"/>
                      <a:pPr/>
                      <a:t>[VALUE]</a:t>
                    </a:fld>
                    <a:r>
                      <a:rPr lang="en-US"/>
                      <a:t>B</a:t>
                    </a:r>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149B-492F-B2C6-DF48966C83DA}"/>
                </c:ext>
              </c:extLst>
            </c:dLbl>
            <c:dLbl>
              <c:idx val="1"/>
              <c:layout>
                <c:manualLayout>
                  <c:x val="0"/>
                  <c:y val="1.3888888888888867E-2"/>
                </c:manualLayout>
              </c:layout>
              <c:tx>
                <c:rich>
                  <a:bodyPr/>
                  <a:lstStyle/>
                  <a:p>
                    <a:r>
                      <a:rPr lang="en-US"/>
                      <a:t>$</a:t>
                    </a:r>
                    <a:fld id="{E2C14E31-59D9-4ABD-A5B4-616792B92839}" type="VALUE">
                      <a:rPr lang="en-US"/>
                      <a:pPr/>
                      <a:t>[VALUE]</a:t>
                    </a:fld>
                    <a:r>
                      <a:rPr lang="en-US"/>
                      <a:t>B</a:t>
                    </a:r>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149B-492F-B2C6-DF48966C83D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'Graphs for report '!$A$121:$B$121</c:f>
              <c:numCache>
                <c:formatCode>General</c:formatCode>
                <c:ptCount val="2"/>
                <c:pt idx="0">
                  <c:v>2025</c:v>
                </c:pt>
                <c:pt idx="1">
                  <c:v>2032</c:v>
                </c:pt>
              </c:numCache>
            </c:numRef>
          </c:cat>
          <c:val>
            <c:numRef>
              <c:f>'Graphs for report '!$A$122:$B$122</c:f>
              <c:numCache>
                <c:formatCode>0.0</c:formatCode>
                <c:ptCount val="2"/>
                <c:pt idx="0" formatCode="General">
                  <c:v>104.2</c:v>
                </c:pt>
                <c:pt idx="1">
                  <c:v>368</c:v>
                </c:pt>
              </c:numCache>
            </c:numRef>
          </c:val>
          <c:extLst>
            <c:ext xmlns:c16="http://schemas.microsoft.com/office/drawing/2014/chart" uri="{C3380CC4-5D6E-409C-BE32-E72D297353CC}">
              <c16:uniqueId val="{00000000-149B-492F-B2C6-DF48966C83DA}"/>
            </c:ext>
          </c:extLst>
        </c:ser>
        <c:dLbls>
          <c:showLegendKey val="0"/>
          <c:showVal val="0"/>
          <c:showCatName val="0"/>
          <c:showSerName val="0"/>
          <c:showPercent val="0"/>
          <c:showBubbleSize val="0"/>
        </c:dLbls>
        <c:gapWidth val="219"/>
        <c:overlap val="-27"/>
        <c:axId val="1090013664"/>
        <c:axId val="1090011264"/>
      </c:barChart>
      <c:catAx>
        <c:axId val="1090013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0011264"/>
        <c:crosses val="autoZero"/>
        <c:auto val="1"/>
        <c:lblAlgn val="ctr"/>
        <c:lblOffset val="100"/>
        <c:noMultiLvlLbl val="0"/>
      </c:catAx>
      <c:valAx>
        <c:axId val="1090011264"/>
        <c:scaling>
          <c:orientation val="minMax"/>
        </c:scaling>
        <c:delete val="0"/>
        <c:axPos val="l"/>
        <c:majorGridlines>
          <c:spPr>
            <a:ln w="9525" cap="flat" cmpd="sng" algn="ctr">
              <a:solidFill>
                <a:schemeClr val="bg2">
                  <a:lumMod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00136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v>Goodwill (US$M)</c:v>
          </c:tx>
          <c:spPr>
            <a:solidFill>
              <a:srgbClr val="0067E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FF"/>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'Additional Assumptions'!$S$7:$V$7</c:f>
              <c:strCache>
                <c:ptCount val="4"/>
                <c:pt idx="0">
                  <c:v>BCNY</c:v>
                </c:pt>
                <c:pt idx="1">
                  <c:v>DX</c:v>
                </c:pt>
                <c:pt idx="2">
                  <c:v>Loom</c:v>
                </c:pt>
                <c:pt idx="3">
                  <c:v>Agile Craft</c:v>
                </c:pt>
              </c:strCache>
            </c:strRef>
          </c:cat>
          <c:val>
            <c:numRef>
              <c:f>'Additional Assumptions'!$S$8:$V$8</c:f>
              <c:numCache>
                <c:formatCode>0.00</c:formatCode>
                <c:ptCount val="4"/>
                <c:pt idx="0">
                  <c:v>367.85500000000002</c:v>
                </c:pt>
                <c:pt idx="1">
                  <c:v>557.43899999999996</c:v>
                </c:pt>
                <c:pt idx="2">
                  <c:v>544.82799999999997</c:v>
                </c:pt>
                <c:pt idx="3">
                  <c:v>101.999</c:v>
                </c:pt>
              </c:numCache>
            </c:numRef>
          </c:val>
          <c:extLst>
            <c:ext xmlns:c16="http://schemas.microsoft.com/office/drawing/2014/chart" uri="{C3380CC4-5D6E-409C-BE32-E72D297353CC}">
              <c16:uniqueId val="{00000000-00F6-4621-89AB-ABF2BF2EC4F2}"/>
            </c:ext>
          </c:extLst>
        </c:ser>
        <c:ser>
          <c:idx val="1"/>
          <c:order val="1"/>
          <c:tx>
            <c:v>Total Other Assets (US$M)</c:v>
          </c:tx>
          <c:spPr>
            <a:solidFill>
              <a:srgbClr val="B3D1FA"/>
            </a:solidFill>
            <a:ln>
              <a:noFill/>
            </a:ln>
            <a:effectLst/>
          </c:spPr>
          <c:invertIfNegative val="0"/>
          <c:dLbls>
            <c:dLbl>
              <c:idx val="3"/>
              <c:layout>
                <c:manualLayout>
                  <c:x val="2.7793565155009386E-3"/>
                  <c:y val="3.1367729570376222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BF5-4FA2-9B22-F6091D79A2D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FF"/>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'Additional Assumptions'!$S$7:$V$7</c:f>
              <c:strCache>
                <c:ptCount val="4"/>
                <c:pt idx="0">
                  <c:v>BCNY</c:v>
                </c:pt>
                <c:pt idx="1">
                  <c:v>DX</c:v>
                </c:pt>
                <c:pt idx="2">
                  <c:v>Loom</c:v>
                </c:pt>
                <c:pt idx="3">
                  <c:v>Agile Craft</c:v>
                </c:pt>
              </c:strCache>
            </c:strRef>
          </c:cat>
          <c:val>
            <c:numRef>
              <c:f>'Additional Assumptions'!$S$9:$V$9</c:f>
              <c:numCache>
                <c:formatCode>0.00</c:formatCode>
                <c:ptCount val="4"/>
                <c:pt idx="0">
                  <c:v>120.49099999999999</c:v>
                </c:pt>
                <c:pt idx="1">
                  <c:v>162.923</c:v>
                </c:pt>
                <c:pt idx="2">
                  <c:v>340.79600000000005</c:v>
                </c:pt>
                <c:pt idx="3">
                  <c:v>54.551000000000016</c:v>
                </c:pt>
              </c:numCache>
            </c:numRef>
          </c:val>
          <c:extLst>
            <c:ext xmlns:c16="http://schemas.microsoft.com/office/drawing/2014/chart" uri="{C3380CC4-5D6E-409C-BE32-E72D297353CC}">
              <c16:uniqueId val="{00000001-00F6-4621-89AB-ABF2BF2EC4F2}"/>
            </c:ext>
          </c:extLst>
        </c:ser>
        <c:dLbls>
          <c:dLblPos val="inEnd"/>
          <c:showLegendKey val="0"/>
          <c:showVal val="1"/>
          <c:showCatName val="0"/>
          <c:showSerName val="0"/>
          <c:showPercent val="0"/>
          <c:showBubbleSize val="0"/>
        </c:dLbls>
        <c:gapWidth val="150"/>
        <c:overlap val="100"/>
        <c:axId val="636236511"/>
        <c:axId val="636238431"/>
      </c:barChart>
      <c:catAx>
        <c:axId val="636236511"/>
        <c:scaling>
          <c:orientation val="minMax"/>
        </c:scaling>
        <c:delete val="0"/>
        <c:axPos val="b"/>
        <c:numFmt formatCode="\ \ \ &quot;$&quot;#,##0&quot;M&quot;" sourceLinked="0"/>
        <c:majorTickMark val="none"/>
        <c:minorTickMark val="out"/>
        <c:tickLblPos val="nextTo"/>
        <c:spPr>
          <a:noFill/>
          <a:ln w="952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36238431"/>
        <c:crosses val="autoZero"/>
        <c:auto val="1"/>
        <c:lblAlgn val="ctr"/>
        <c:lblOffset val="100"/>
        <c:noMultiLvlLbl val="0"/>
      </c:catAx>
      <c:valAx>
        <c:axId val="636238431"/>
        <c:scaling>
          <c:orientation val="minMax"/>
        </c:scaling>
        <c:delete val="0"/>
        <c:axPos val="l"/>
        <c:numFmt formatCode="\ \ \ &quot;$&quot;#,##0&quot;M&quot;" sourceLinked="0"/>
        <c:majorTickMark val="none"/>
        <c:minorTickMark val="none"/>
        <c:tickLblPos val="none"/>
        <c:spPr>
          <a:noFill/>
          <a:ln>
            <a:solidFill>
              <a:schemeClr val="tx1"/>
            </a:solid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3623651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8291192178859054E-2"/>
          <c:y val="4.7649408734577001E-2"/>
          <c:w val="0.95655841857520973"/>
          <c:h val="0.85958757388448181"/>
        </c:manualLayout>
      </c:layout>
      <c:barChart>
        <c:barDir val="col"/>
        <c:grouping val="clustered"/>
        <c:varyColors val="0"/>
        <c:ser>
          <c:idx val="0"/>
          <c:order val="0"/>
          <c:spPr>
            <a:solidFill>
              <a:srgbClr val="0067ED"/>
            </a:solidFill>
            <a:ln>
              <a:noFill/>
            </a:ln>
            <a:effectLst/>
          </c:spPr>
          <c:invertIfNegative val="0"/>
          <c:dLbls>
            <c:dLbl>
              <c:idx val="2"/>
              <c:layout>
                <c:manualLayout>
                  <c:x val="0"/>
                  <c:y val="1.192726808272452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934-491C-88F4-4787BC4FB8C6}"/>
                </c:ext>
              </c:extLst>
            </c:dLbl>
            <c:dLbl>
              <c:idx val="4"/>
              <c:layout>
                <c:manualLayout>
                  <c:x val="0"/>
                  <c:y val="-7.9812848297456836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934-491C-88F4-4787BC4FB8C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'Acquistion Multiples'!$C$9:$G$9</c:f>
              <c:strCache>
                <c:ptCount val="5"/>
                <c:pt idx="0">
                  <c:v>DX</c:v>
                </c:pt>
                <c:pt idx="1">
                  <c:v>Trello</c:v>
                </c:pt>
                <c:pt idx="2">
                  <c:v>OpsGenie</c:v>
                </c:pt>
                <c:pt idx="3">
                  <c:v>Loom</c:v>
                </c:pt>
                <c:pt idx="4">
                  <c:v>Moveworks</c:v>
                </c:pt>
              </c:strCache>
            </c:strRef>
          </c:cat>
          <c:val>
            <c:numRef>
              <c:f>'Acquistion Multiples'!$C$10:$G$10</c:f>
              <c:numCache>
                <c:formatCode>0.00</c:formatCode>
                <c:ptCount val="5"/>
                <c:pt idx="0">
                  <c:v>18.009999999999998</c:v>
                </c:pt>
                <c:pt idx="1">
                  <c:v>42.5</c:v>
                </c:pt>
                <c:pt idx="2">
                  <c:v>21.888888888888889</c:v>
                </c:pt>
                <c:pt idx="3">
                  <c:v>19.5</c:v>
                </c:pt>
                <c:pt idx="4">
                  <c:v>24.07</c:v>
                </c:pt>
              </c:numCache>
            </c:numRef>
          </c:val>
          <c:extLst>
            <c:ext xmlns:c16="http://schemas.microsoft.com/office/drawing/2014/chart" uri="{C3380CC4-5D6E-409C-BE32-E72D297353CC}">
              <c16:uniqueId val="{00000000-7934-491C-88F4-4787BC4FB8C6}"/>
            </c:ext>
          </c:extLst>
        </c:ser>
        <c:dLbls>
          <c:dLblPos val="outEnd"/>
          <c:showLegendKey val="0"/>
          <c:showVal val="1"/>
          <c:showCatName val="0"/>
          <c:showSerName val="0"/>
          <c:showPercent val="0"/>
          <c:showBubbleSize val="0"/>
        </c:dLbls>
        <c:gapWidth val="219"/>
        <c:overlap val="-27"/>
        <c:axId val="444931487"/>
        <c:axId val="2144572495"/>
      </c:barChart>
      <c:lineChart>
        <c:grouping val="standard"/>
        <c:varyColors val="0"/>
        <c:ser>
          <c:idx val="1"/>
          <c:order val="1"/>
          <c:tx>
            <c:v>Average: 25.19x</c:v>
          </c:tx>
          <c:spPr>
            <a:ln w="15875" cap="rnd">
              <a:solidFill>
                <a:srgbClr val="FF0000"/>
              </a:solidFill>
              <a:prstDash val="dash"/>
              <a:round/>
            </a:ln>
            <a:effectLst/>
          </c:spPr>
          <c:marker>
            <c:symbol val="none"/>
          </c:marker>
          <c:dLbls>
            <c:delete val="1"/>
          </c:dLbls>
          <c:cat>
            <c:strRef>
              <c:f>'Acquistion Multiples'!$C$9:$G$9</c:f>
              <c:strCache>
                <c:ptCount val="5"/>
                <c:pt idx="0">
                  <c:v>DX</c:v>
                </c:pt>
                <c:pt idx="1">
                  <c:v>Trello</c:v>
                </c:pt>
                <c:pt idx="2">
                  <c:v>OpsGenie</c:v>
                </c:pt>
                <c:pt idx="3">
                  <c:v>Loom</c:v>
                </c:pt>
                <c:pt idx="4">
                  <c:v>Moveworks</c:v>
                </c:pt>
              </c:strCache>
            </c:strRef>
          </c:cat>
          <c:val>
            <c:numRef>
              <c:f>'Acquistion Multiples'!$C$11:$G$11</c:f>
              <c:numCache>
                <c:formatCode>0.00</c:formatCode>
                <c:ptCount val="5"/>
                <c:pt idx="0">
                  <c:v>25.193777777777779</c:v>
                </c:pt>
                <c:pt idx="1">
                  <c:v>25.193777777777779</c:v>
                </c:pt>
                <c:pt idx="2">
                  <c:v>25.193777777777779</c:v>
                </c:pt>
                <c:pt idx="3">
                  <c:v>25.193777777777779</c:v>
                </c:pt>
                <c:pt idx="4">
                  <c:v>25.193777777777779</c:v>
                </c:pt>
              </c:numCache>
            </c:numRef>
          </c:val>
          <c:smooth val="0"/>
          <c:extLst>
            <c:ext xmlns:c16="http://schemas.microsoft.com/office/drawing/2014/chart" uri="{C3380CC4-5D6E-409C-BE32-E72D297353CC}">
              <c16:uniqueId val="{00000001-7934-491C-88F4-4787BC4FB8C6}"/>
            </c:ext>
          </c:extLst>
        </c:ser>
        <c:dLbls>
          <c:showLegendKey val="0"/>
          <c:showVal val="1"/>
          <c:showCatName val="0"/>
          <c:showSerName val="0"/>
          <c:showPercent val="0"/>
          <c:showBubbleSize val="0"/>
        </c:dLbls>
        <c:marker val="1"/>
        <c:smooth val="0"/>
        <c:axId val="444931487"/>
        <c:axId val="2144572495"/>
      </c:lineChart>
      <c:catAx>
        <c:axId val="444931487"/>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144572495"/>
        <c:crosses val="autoZero"/>
        <c:auto val="1"/>
        <c:lblAlgn val="ctr"/>
        <c:lblOffset val="100"/>
        <c:noMultiLvlLbl val="0"/>
      </c:catAx>
      <c:valAx>
        <c:axId val="2144572495"/>
        <c:scaling>
          <c:orientation val="minMax"/>
        </c:scaling>
        <c:delete val="1"/>
        <c:axPos val="l"/>
        <c:numFmt formatCode="0.00" sourceLinked="1"/>
        <c:majorTickMark val="out"/>
        <c:minorTickMark val="none"/>
        <c:tickLblPos val="nextTo"/>
        <c:crossAx val="444931487"/>
        <c:crosses val="autoZero"/>
        <c:crossBetween val="between"/>
      </c:valAx>
      <c:spPr>
        <a:noFill/>
        <a:ln>
          <a:noFill/>
        </a:ln>
        <a:effectLst/>
      </c:spPr>
    </c:plotArea>
    <c:legend>
      <c:legendPos val="t"/>
      <c:legendEntry>
        <c:idx val="0"/>
        <c:delete val="1"/>
      </c:legendEntry>
      <c:legendEntry>
        <c:idx val="1"/>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Entry>
      <c:layout>
        <c:manualLayout>
          <c:xMode val="edge"/>
          <c:yMode val="edge"/>
          <c:x val="0.4063602579922248"/>
          <c:y val="4.0125418789311855E-2"/>
          <c:w val="0.24751059919902113"/>
          <c:h val="6.596852740346924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4.xml"/><Relationship Id="rId7" Type="http://schemas.openxmlformats.org/officeDocument/2006/relationships/image" Target="../media/image2.png"/><Relationship Id="rId12" Type="http://schemas.openxmlformats.org/officeDocument/2006/relationships/chart" Target="../charts/chart11.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11" Type="http://schemas.openxmlformats.org/officeDocument/2006/relationships/chart" Target="../charts/chart10.xml"/><Relationship Id="rId5" Type="http://schemas.openxmlformats.org/officeDocument/2006/relationships/chart" Target="../charts/chart6.xml"/><Relationship Id="rId10" Type="http://schemas.openxmlformats.org/officeDocument/2006/relationships/chart" Target="../charts/chart9.xml"/><Relationship Id="rId4" Type="http://schemas.openxmlformats.org/officeDocument/2006/relationships/chart" Target="../charts/chart5.xml"/><Relationship Id="rId9" Type="http://schemas.openxmlformats.org/officeDocument/2006/relationships/chart" Target="../charts/chart8.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13.xml"/><Relationship Id="rId1" Type="http://schemas.openxmlformats.org/officeDocument/2006/relationships/chart" Target="../charts/chart12.xml"/></Relationships>
</file>

<file path=xl/drawings/_rels/drawing11.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chart" Target="../charts/chart15.xml"/><Relationship Id="rId1" Type="http://schemas.openxmlformats.org/officeDocument/2006/relationships/chart" Target="../charts/chart14.xml"/><Relationship Id="rId6" Type="http://schemas.openxmlformats.org/officeDocument/2006/relationships/chart" Target="../charts/chart19.xml"/><Relationship Id="rId5" Type="http://schemas.openxmlformats.org/officeDocument/2006/relationships/chart" Target="../charts/chart18.xml"/><Relationship Id="rId4" Type="http://schemas.openxmlformats.org/officeDocument/2006/relationships/chart" Target="../charts/chart17.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18.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19.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28</xdr:col>
      <xdr:colOff>1300898</xdr:colOff>
      <xdr:row>21</xdr:row>
      <xdr:rowOff>125760</xdr:rowOff>
    </xdr:from>
    <xdr:to>
      <xdr:col>32</xdr:col>
      <xdr:colOff>86491</xdr:colOff>
      <xdr:row>38</xdr:row>
      <xdr:rowOff>132986</xdr:rowOff>
    </xdr:to>
    <xdr:graphicFrame macro="">
      <xdr:nvGraphicFramePr>
        <xdr:cNvPr id="2" name="Chart 1">
          <a:extLst>
            <a:ext uri="{FF2B5EF4-FFF2-40B4-BE49-F238E27FC236}">
              <a16:creationId xmlns:a16="http://schemas.microsoft.com/office/drawing/2014/main" id="{9B5EBA03-1667-F3ED-A574-9BAAA57863A7}"/>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62300</xdr:colOff>
      <xdr:row>18</xdr:row>
      <xdr:rowOff>159235</xdr:rowOff>
    </xdr:from>
    <xdr:to>
      <xdr:col>7</xdr:col>
      <xdr:colOff>53666</xdr:colOff>
      <xdr:row>23</xdr:row>
      <xdr:rowOff>102364</xdr:rowOff>
    </xdr:to>
    <xdr:sp macro="" textlink="">
      <xdr:nvSpPr>
        <xdr:cNvPr id="2" name="TextBox 2">
          <a:extLst>
            <a:ext uri="{FF2B5EF4-FFF2-40B4-BE49-F238E27FC236}">
              <a16:creationId xmlns:a16="http://schemas.microsoft.com/office/drawing/2014/main" id="{6531F662-0DD9-4DEB-A24D-F705676223DD}"/>
            </a:ext>
          </a:extLst>
        </xdr:cNvPr>
        <xdr:cNvSpPr txBox="1"/>
      </xdr:nvSpPr>
      <xdr:spPr>
        <a:xfrm>
          <a:off x="542422" y="3806613"/>
          <a:ext cx="6434293" cy="91886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900" b="0" i="1" u="none" strike="noStrike">
              <a:solidFill>
                <a:schemeClr val="dk1"/>
              </a:solidFill>
              <a:effectLst/>
              <a:latin typeface="+mn-lt"/>
              <a:ea typeface="+mn-ea"/>
              <a:cs typeface="+mn-cs"/>
            </a:rPr>
            <a:t>Source: Python Monte Carlo simulation (n=50,000, seed=42), built on Team  Atlassian GGM DCF. Randomised inputs: sales growth (σ =4.1041%), FCF margin (σ = 5.6499%, 2023 - 2025, comparable</a:t>
          </a:r>
          <a:r>
            <a:rPr lang="en-AU" sz="900" b="0" i="1" u="none" strike="noStrike" baseline="0">
              <a:solidFill>
                <a:schemeClr val="dk1"/>
              </a:solidFill>
              <a:effectLst/>
              <a:latin typeface="+mn-lt"/>
              <a:ea typeface="+mn-ea"/>
              <a:cs typeface="+mn-cs"/>
            </a:rPr>
            <a:t> business cycle</a:t>
          </a:r>
          <a:r>
            <a:rPr lang="en-AU" sz="900" b="0" i="1" u="none" strike="noStrike">
              <a:solidFill>
                <a:schemeClr val="dk1"/>
              </a:solidFill>
              <a:effectLst/>
              <a:latin typeface="+mn-lt"/>
              <a:ea typeface="+mn-ea"/>
              <a:cs typeface="+mn-cs"/>
            </a:rPr>
            <a:t>), WACC (σ =</a:t>
          </a:r>
          <a:r>
            <a:rPr lang="en-AU" sz="900" b="0" i="0" u="none" strike="noStrike">
              <a:solidFill>
                <a:schemeClr val="dk1"/>
              </a:solidFill>
              <a:effectLst/>
              <a:latin typeface="+mn-lt"/>
              <a:ea typeface="+mn-ea"/>
              <a:cs typeface="+mn-cs"/>
            </a:rPr>
            <a:t>2.0776</a:t>
          </a:r>
          <a:r>
            <a:rPr lang="en-AU" sz="900" b="0" i="1" u="none" strike="noStrike">
              <a:solidFill>
                <a:schemeClr val="dk1"/>
              </a:solidFill>
              <a:effectLst/>
              <a:latin typeface="+mn-lt"/>
              <a:ea typeface="+mn-ea"/>
              <a:cs typeface="+mn-cs"/>
            </a:rPr>
            <a:t>%, French-Fama</a:t>
          </a:r>
          <a:r>
            <a:rPr lang="en-AU" sz="900" b="0" i="1" u="none" strike="noStrike" baseline="0">
              <a:solidFill>
                <a:schemeClr val="dk1"/>
              </a:solidFill>
              <a:effectLst/>
              <a:latin typeface="+mn-lt"/>
              <a:ea typeface="+mn-ea"/>
              <a:cs typeface="+mn-cs"/>
            </a:rPr>
            <a:t> 3 Factor model regression</a:t>
          </a:r>
          <a:r>
            <a:rPr lang="en-AU" sz="900" b="0" i="1" u="none" strike="noStrike">
              <a:solidFill>
                <a:schemeClr val="dk1"/>
              </a:solidFill>
              <a:effectLst/>
              <a:latin typeface="+mn-lt"/>
              <a:ea typeface="+mn-ea"/>
              <a:cs typeface="+mn-cs"/>
            </a:rPr>
            <a:t>), long-run growth g_L (σ=1.0689%, 40yr nominal GDP growth). Implied share</a:t>
          </a:r>
          <a:r>
            <a:rPr lang="en-AU" sz="900" b="0" i="1" u="none" strike="noStrike" baseline="0">
              <a:solidFill>
                <a:schemeClr val="dk1"/>
              </a:solidFill>
              <a:effectLst/>
              <a:latin typeface="+mn-lt"/>
              <a:ea typeface="+mn-ea"/>
              <a:cs typeface="+mn-cs"/>
            </a:rPr>
            <a:t> prices are simulation outputs, rather than formulas.</a:t>
          </a:r>
          <a:endParaRPr lang="en-AU" sz="900"/>
        </a:p>
      </xdr:txBody>
    </xdr:sp>
    <xdr:clientData/>
  </xdr:twoCellAnchor>
  <xdr:twoCellAnchor>
    <xdr:from>
      <xdr:col>1</xdr:col>
      <xdr:colOff>200810</xdr:colOff>
      <xdr:row>49</xdr:row>
      <xdr:rowOff>38028</xdr:rowOff>
    </xdr:from>
    <xdr:to>
      <xdr:col>7</xdr:col>
      <xdr:colOff>224373</xdr:colOff>
      <xdr:row>75</xdr:row>
      <xdr:rowOff>6479</xdr:rowOff>
    </xdr:to>
    <xdr:sp macro="" textlink="">
      <xdr:nvSpPr>
        <xdr:cNvPr id="706" name="TextBox 7">
          <a:extLst>
            <a:ext uri="{FF2B5EF4-FFF2-40B4-BE49-F238E27FC236}">
              <a16:creationId xmlns:a16="http://schemas.microsoft.com/office/drawing/2014/main" id="{4A8820A5-488D-4245-903A-779EB5440990}"/>
            </a:ext>
          </a:extLst>
        </xdr:cNvPr>
        <xdr:cNvSpPr txBox="1"/>
      </xdr:nvSpPr>
      <xdr:spPr>
        <a:xfrm>
          <a:off x="680300" y="8046804"/>
          <a:ext cx="6470757" cy="401171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AU" sz="900" b="0" i="0">
              <a:solidFill>
                <a:schemeClr val="dk1"/>
              </a:solidFill>
              <a:effectLst/>
              <a:latin typeface="+mn-lt"/>
              <a:ea typeface="+mn-ea"/>
              <a:cs typeface="+mn-cs"/>
            </a:rPr>
            <a:t>The Monte Carlo simulation, built on Atlassian's Gordon-Growth Model DCF, implies  a majority</a:t>
          </a:r>
          <a:r>
            <a:rPr lang="en-AU" sz="900" b="0" i="0" baseline="0">
              <a:solidFill>
                <a:schemeClr val="dk1"/>
              </a:solidFill>
              <a:effectLst/>
              <a:latin typeface="+mn-lt"/>
              <a:ea typeface="+mn-ea"/>
              <a:cs typeface="+mn-cs"/>
            </a:rPr>
            <a:t> probability (80.01%) that Atlassian is currently overvalued in comparison to its current VWAP of $173.72.  There is a 50.71% probability that the stock is overvalued by 10% or more, and a 41.13% probability that the stock is overvalued by 20% or more. </a:t>
          </a:r>
          <a:r>
            <a:rPr lang="en-AU" sz="900" i="0" baseline="0">
              <a:solidFill>
                <a:schemeClr val="dk1"/>
              </a:solidFill>
              <a:effectLst/>
              <a:latin typeface="+mn-lt"/>
              <a:ea typeface="+mn-ea"/>
              <a:cs typeface="+mn-cs"/>
            </a:rPr>
            <a:t>At the 95% confidence level, the models VaR calculation returned $85.90 (56.84% of stock price),  whereas the 99% VaR returned $100.77 (66.68% of stock price). This represents the 95% and 99% likelihood that the losses will not exceed the stated VaR thresholds. The 95% expected shortfall returned a loss of $95.17 (62.98% of stock price), while 99% expected shortfall returned a loss of $106.43 (70.42% of stock price).</a:t>
          </a:r>
          <a:endParaRPr lang="en-AU" sz="900" i="0" baseline="0"/>
        </a:p>
        <a:p>
          <a:pPr marL="0" marR="0" lvl="0" indent="0" defTabSz="914400" eaLnBrk="1" fontAlgn="auto" latinLnBrk="0" hangingPunct="1">
            <a:lnSpc>
              <a:spcPct val="100000"/>
            </a:lnSpc>
            <a:spcBef>
              <a:spcPts val="0"/>
            </a:spcBef>
            <a:spcAft>
              <a:spcPts val="0"/>
            </a:spcAft>
            <a:buClrTx/>
            <a:buSzTx/>
            <a:buFontTx/>
            <a:buNone/>
            <a:tabLst/>
            <a:defRPr/>
          </a:pPr>
          <a:endParaRPr lang="en-AU" sz="900" i="1" baseline="0"/>
        </a:p>
        <a:p>
          <a:pPr marL="0" marR="0" lvl="0" indent="0" defTabSz="914400" eaLnBrk="1" fontAlgn="auto" latinLnBrk="0" hangingPunct="1">
            <a:lnSpc>
              <a:spcPct val="100000"/>
            </a:lnSpc>
            <a:spcBef>
              <a:spcPts val="0"/>
            </a:spcBef>
            <a:spcAft>
              <a:spcPts val="0"/>
            </a:spcAft>
            <a:buClrTx/>
            <a:buSzTx/>
            <a:buFontTx/>
            <a:buNone/>
            <a:tabLst/>
            <a:defRPr/>
          </a:pPr>
          <a:r>
            <a:rPr lang="en-AU" sz="900" i="0" baseline="0"/>
            <a:t>Rather than simulating each forecast year FCFF margin as an individual variable, a correlation (</a:t>
          </a:r>
          <a:r>
            <a:rPr lang="en-AU" sz="900"/>
            <a:t>ρ</a:t>
          </a:r>
          <a:r>
            <a:rPr lang="en-AU" sz="900" i="0" baseline="0"/>
            <a:t>=0.7) was implemented across the forecast period to reflect the real-world persistence of margin drivers, as these factors are not 'reset' annually. Each year's simulated margin is decomposed into a component that is common across the forecast period, and a year-specific component, weighted so that any two years will correlate at 0.7. This ensures that the years now move together, while leaving the orginal mean and standard deviation unchanged.</a:t>
          </a:r>
        </a:p>
        <a:p>
          <a:pPr marL="0" marR="0" lvl="0" indent="0" defTabSz="914400" eaLnBrk="1" fontAlgn="auto" latinLnBrk="0" hangingPunct="1">
            <a:lnSpc>
              <a:spcPct val="100000"/>
            </a:lnSpc>
            <a:spcBef>
              <a:spcPts val="0"/>
            </a:spcBef>
            <a:spcAft>
              <a:spcPts val="0"/>
            </a:spcAft>
            <a:buClrTx/>
            <a:buSzTx/>
            <a:buFontTx/>
            <a:buNone/>
            <a:tabLst/>
            <a:defRPr/>
          </a:pPr>
          <a:r>
            <a:rPr lang="en-AU" sz="900"/>
            <a:t>5th percentile: $35.49 </a:t>
          </a:r>
        </a:p>
        <a:p>
          <a:pPr marL="0" marR="0" lvl="0" indent="0" defTabSz="914400" eaLnBrk="1" fontAlgn="auto" latinLnBrk="0" hangingPunct="1">
            <a:lnSpc>
              <a:spcPct val="100000"/>
            </a:lnSpc>
            <a:spcBef>
              <a:spcPts val="0"/>
            </a:spcBef>
            <a:spcAft>
              <a:spcPts val="0"/>
            </a:spcAft>
            <a:buClrTx/>
            <a:buSzTx/>
            <a:buFontTx/>
            <a:buNone/>
            <a:tabLst/>
            <a:defRPr/>
          </a:pPr>
          <a:r>
            <a:rPr lang="en-AU" sz="900"/>
            <a:t>10th percentile: $44.25</a:t>
          </a:r>
        </a:p>
        <a:p>
          <a:pPr marL="0" marR="0" lvl="0" indent="0" defTabSz="914400" eaLnBrk="1" fontAlgn="auto" latinLnBrk="0" hangingPunct="1">
            <a:lnSpc>
              <a:spcPct val="100000"/>
            </a:lnSpc>
            <a:spcBef>
              <a:spcPts val="0"/>
            </a:spcBef>
            <a:spcAft>
              <a:spcPts val="0"/>
            </a:spcAft>
            <a:buClrTx/>
            <a:buSzTx/>
            <a:buFontTx/>
            <a:buNone/>
            <a:tabLst/>
            <a:defRPr/>
          </a:pPr>
          <a:r>
            <a:rPr lang="en-AU" sz="900"/>
            <a:t> 25th percentile: $64.45 </a:t>
          </a:r>
        </a:p>
        <a:p>
          <a:pPr marL="0" marR="0" lvl="0" indent="0" defTabSz="914400" eaLnBrk="1" fontAlgn="auto" latinLnBrk="0" hangingPunct="1">
            <a:lnSpc>
              <a:spcPct val="100000"/>
            </a:lnSpc>
            <a:spcBef>
              <a:spcPts val="0"/>
            </a:spcBef>
            <a:spcAft>
              <a:spcPts val="0"/>
            </a:spcAft>
            <a:buClrTx/>
            <a:buSzTx/>
            <a:buFontTx/>
            <a:buNone/>
            <a:tabLst/>
            <a:defRPr/>
          </a:pPr>
          <a:r>
            <a:rPr lang="en-AU" sz="900"/>
            <a:t>50th percentile: $99.31 </a:t>
          </a:r>
        </a:p>
        <a:p>
          <a:pPr marL="0" marR="0" lvl="0" indent="0" defTabSz="914400" eaLnBrk="1" fontAlgn="auto" latinLnBrk="0" hangingPunct="1">
            <a:lnSpc>
              <a:spcPct val="100000"/>
            </a:lnSpc>
            <a:spcBef>
              <a:spcPts val="0"/>
            </a:spcBef>
            <a:spcAft>
              <a:spcPts val="0"/>
            </a:spcAft>
            <a:buClrTx/>
            <a:buSzTx/>
            <a:buFontTx/>
            <a:buNone/>
            <a:tabLst/>
            <a:defRPr/>
          </a:pPr>
          <a:r>
            <a:rPr lang="en-AU" sz="900"/>
            <a:t>75th percentile: $155.35 </a:t>
          </a:r>
        </a:p>
        <a:p>
          <a:pPr marL="0" marR="0" lvl="0" indent="0" defTabSz="914400" eaLnBrk="1" fontAlgn="auto" latinLnBrk="0" hangingPunct="1">
            <a:lnSpc>
              <a:spcPct val="100000"/>
            </a:lnSpc>
            <a:spcBef>
              <a:spcPts val="0"/>
            </a:spcBef>
            <a:spcAft>
              <a:spcPts val="0"/>
            </a:spcAft>
            <a:buClrTx/>
            <a:buSzTx/>
            <a:buFontTx/>
            <a:buNone/>
            <a:tabLst/>
            <a:defRPr/>
          </a:pPr>
          <a:r>
            <a:rPr lang="en-AU" sz="900"/>
            <a:t>90th percentile: $233.80 </a:t>
          </a:r>
        </a:p>
        <a:p>
          <a:pPr marL="0" marR="0" lvl="0" indent="0" defTabSz="914400" eaLnBrk="1" fontAlgn="auto" latinLnBrk="0" hangingPunct="1">
            <a:lnSpc>
              <a:spcPct val="100000"/>
            </a:lnSpc>
            <a:spcBef>
              <a:spcPts val="0"/>
            </a:spcBef>
            <a:spcAft>
              <a:spcPts val="0"/>
            </a:spcAft>
            <a:buClrTx/>
            <a:buSzTx/>
            <a:buFontTx/>
            <a:buNone/>
            <a:tabLst/>
            <a:defRPr/>
          </a:pPr>
          <a:r>
            <a:rPr lang="en-AU" sz="900"/>
            <a:t>95th percentile: $302.20</a:t>
          </a:r>
        </a:p>
        <a:p>
          <a:pPr marL="0" marR="0" lvl="0" indent="0" defTabSz="914400" eaLnBrk="1" fontAlgn="auto" latinLnBrk="0" hangingPunct="1">
            <a:lnSpc>
              <a:spcPct val="100000"/>
            </a:lnSpc>
            <a:spcBef>
              <a:spcPts val="0"/>
            </a:spcBef>
            <a:spcAft>
              <a:spcPts val="0"/>
            </a:spcAft>
            <a:buClrTx/>
            <a:buSzTx/>
            <a:buFontTx/>
            <a:buNone/>
            <a:tabLst/>
            <a:defRPr/>
          </a:pPr>
          <a:r>
            <a:rPr lang="en-AU" sz="900"/>
            <a:t>DCF point estimate  : $ 111.14  56.8% percentile</a:t>
          </a:r>
        </a:p>
        <a:p>
          <a:pPr marL="0" marR="0" lvl="0" indent="0" defTabSz="914400" eaLnBrk="1" fontAlgn="auto" latinLnBrk="0" hangingPunct="1">
            <a:lnSpc>
              <a:spcPct val="100000"/>
            </a:lnSpc>
            <a:spcBef>
              <a:spcPts val="0"/>
            </a:spcBef>
            <a:spcAft>
              <a:spcPts val="0"/>
            </a:spcAft>
            <a:buClrTx/>
            <a:buSzTx/>
            <a:buFontTx/>
            <a:buNone/>
            <a:tabLst/>
            <a:defRPr/>
          </a:pPr>
          <a:r>
            <a:rPr lang="en-AU" sz="900"/>
            <a:t>Monte Carlo median   :$  99.31  50.0% percentile</a:t>
          </a:r>
        </a:p>
        <a:p>
          <a:pPr marL="0" marR="0" lvl="0" indent="0" defTabSz="914400" eaLnBrk="1" fontAlgn="auto" latinLnBrk="0" hangingPunct="1">
            <a:lnSpc>
              <a:spcPct val="100000"/>
            </a:lnSpc>
            <a:spcBef>
              <a:spcPts val="0"/>
            </a:spcBef>
            <a:spcAft>
              <a:spcPts val="0"/>
            </a:spcAft>
            <a:buClrTx/>
            <a:buSzTx/>
            <a:buFontTx/>
            <a:buNone/>
            <a:tabLst/>
            <a:defRPr/>
          </a:pPr>
          <a:r>
            <a:rPr lang="en-AU" sz="900"/>
            <a:t>Monte Carlo mean :$ 125.01  63.7% percentile</a:t>
          </a:r>
        </a:p>
        <a:p>
          <a:pPr marL="0" marR="0" lvl="0" indent="0" defTabSz="914400" eaLnBrk="1" fontAlgn="auto" latinLnBrk="0" hangingPunct="1">
            <a:lnSpc>
              <a:spcPct val="100000"/>
            </a:lnSpc>
            <a:spcBef>
              <a:spcPts val="0"/>
            </a:spcBef>
            <a:spcAft>
              <a:spcPts val="0"/>
            </a:spcAft>
            <a:buClrTx/>
            <a:buSzTx/>
            <a:buFontTx/>
            <a:buNone/>
            <a:tabLst/>
            <a:defRPr/>
          </a:pPr>
          <a:r>
            <a:rPr lang="en-AU" sz="900"/>
            <a:t>Current market price   $ 173.72  80.0% percentile</a:t>
          </a:r>
        </a:p>
        <a:p>
          <a:pPr marL="0" marR="0" lvl="0" indent="0" defTabSz="914400" eaLnBrk="1" fontAlgn="auto" latinLnBrk="0" hangingPunct="1">
            <a:lnSpc>
              <a:spcPct val="100000"/>
            </a:lnSpc>
            <a:spcBef>
              <a:spcPts val="0"/>
            </a:spcBef>
            <a:spcAft>
              <a:spcPts val="0"/>
            </a:spcAft>
            <a:buClrTx/>
            <a:buSzTx/>
            <a:buFontTx/>
            <a:buNone/>
            <a:tabLst/>
            <a:defRPr/>
          </a:pPr>
          <a:r>
            <a:rPr lang="en-AU" sz="900"/>
            <a:t>Probability stock is undervalued (implied price &gt; $173.72): 19.99%</a:t>
          </a:r>
        </a:p>
        <a:p>
          <a:pPr marL="0" marR="0" lvl="0" indent="0" defTabSz="914400" eaLnBrk="1" fontAlgn="auto" latinLnBrk="0" hangingPunct="1">
            <a:lnSpc>
              <a:spcPct val="100000"/>
            </a:lnSpc>
            <a:spcBef>
              <a:spcPts val="0"/>
            </a:spcBef>
            <a:spcAft>
              <a:spcPts val="0"/>
            </a:spcAft>
            <a:buClrTx/>
            <a:buSzTx/>
            <a:buFontTx/>
            <a:buNone/>
            <a:tabLst/>
            <a:defRPr/>
          </a:pPr>
          <a:r>
            <a:rPr lang="en-AU" sz="900"/>
            <a:t>Probability stock is overvalued (implied price &lt; $173.72): 80.01%</a:t>
          </a:r>
        </a:p>
        <a:p>
          <a:pPr marL="0" marR="0" lvl="0" indent="0" defTabSz="914400" eaLnBrk="1" fontAlgn="auto" latinLnBrk="0" hangingPunct="1">
            <a:lnSpc>
              <a:spcPct val="100000"/>
            </a:lnSpc>
            <a:spcBef>
              <a:spcPts val="0"/>
            </a:spcBef>
            <a:spcAft>
              <a:spcPts val="0"/>
            </a:spcAft>
            <a:buClrTx/>
            <a:buSzTx/>
            <a:buFontTx/>
            <a:buNone/>
            <a:tabLst/>
            <a:defRPr/>
          </a:pPr>
          <a:r>
            <a:rPr lang="en-AU" sz="900"/>
            <a:t>Probability overvalued by 10%+: 75.34%</a:t>
          </a:r>
        </a:p>
        <a:p>
          <a:pPr marL="0" marR="0" lvl="0" indent="0" defTabSz="914400" eaLnBrk="1" fontAlgn="auto" latinLnBrk="0" hangingPunct="1">
            <a:lnSpc>
              <a:spcPct val="100000"/>
            </a:lnSpc>
            <a:spcBef>
              <a:spcPts val="0"/>
            </a:spcBef>
            <a:spcAft>
              <a:spcPts val="0"/>
            </a:spcAft>
            <a:buClrTx/>
            <a:buSzTx/>
            <a:buFontTx/>
            <a:buNone/>
            <a:tabLst/>
            <a:defRPr/>
          </a:pPr>
          <a:r>
            <a:rPr lang="en-AU" sz="900"/>
            <a:t>Probability overvalued by 20%+: 69.48%</a:t>
          </a:r>
        </a:p>
      </xdr:txBody>
    </xdr:sp>
    <xdr:clientData/>
  </xdr:twoCellAnchor>
  <xdr:twoCellAnchor editAs="oneCell">
    <xdr:from>
      <xdr:col>0</xdr:col>
      <xdr:colOff>0</xdr:colOff>
      <xdr:row>23</xdr:row>
      <xdr:rowOff>127479</xdr:rowOff>
    </xdr:from>
    <xdr:to>
      <xdr:col>5</xdr:col>
      <xdr:colOff>1460499</xdr:colOff>
      <xdr:row>45</xdr:row>
      <xdr:rowOff>72406</xdr:rowOff>
    </xdr:to>
    <xdr:pic>
      <xdr:nvPicPr>
        <xdr:cNvPr id="6" name="Picture 5">
          <a:extLst>
            <a:ext uri="{FF2B5EF4-FFF2-40B4-BE49-F238E27FC236}">
              <a16:creationId xmlns:a16="http://schemas.microsoft.com/office/drawing/2014/main" id="{8F345A39-27D6-E218-D6B4-4BD27246425F}"/>
            </a:ext>
          </a:extLst>
        </xdr:cNvPr>
        <xdr:cNvPicPr>
          <a:picLocks noChangeAspect="1"/>
        </xdr:cNvPicPr>
      </xdr:nvPicPr>
      <xdr:blipFill>
        <a:blip xmlns:r="http://schemas.openxmlformats.org/officeDocument/2006/relationships" r:embed="rId1"/>
        <a:stretch>
          <a:fillRect/>
        </a:stretch>
      </xdr:blipFill>
      <xdr:spPr>
        <a:xfrm>
          <a:off x="0" y="4082622"/>
          <a:ext cx="5510892" cy="333764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13</xdr:col>
      <xdr:colOff>397120</xdr:colOff>
      <xdr:row>6</xdr:row>
      <xdr:rowOff>17829</xdr:rowOff>
    </xdr:from>
    <xdr:to>
      <xdr:col>21</xdr:col>
      <xdr:colOff>319942</xdr:colOff>
      <xdr:row>13</xdr:row>
      <xdr:rowOff>0</xdr:rowOff>
    </xdr:to>
    <xdr:sp macro="" textlink="">
      <xdr:nvSpPr>
        <xdr:cNvPr id="2" name="TextBox 1">
          <a:extLst>
            <a:ext uri="{FF2B5EF4-FFF2-40B4-BE49-F238E27FC236}">
              <a16:creationId xmlns:a16="http://schemas.microsoft.com/office/drawing/2014/main" id="{FC643762-895B-30EF-55F8-FB8AEC1EB1AE}"/>
            </a:ext>
          </a:extLst>
        </xdr:cNvPr>
        <xdr:cNvSpPr txBox="1"/>
      </xdr:nvSpPr>
      <xdr:spPr>
        <a:xfrm>
          <a:off x="8621591" y="933694"/>
          <a:ext cx="4807438" cy="115765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900">
              <a:latin typeface="+mj-lt"/>
            </a:rPr>
            <a:t>Our reverse DCF concludes</a:t>
          </a:r>
          <a:r>
            <a:rPr lang="en-AU" sz="900" baseline="0">
              <a:latin typeface="+mj-lt"/>
            </a:rPr>
            <a:t> that the VWAP share price of $173.72 implies a 25.94% sustained revenue CAGR until FY'32, 9.77 percentage points higher than our forecasted CAGR (16.17%), and 0.43 percentage points lower than the FY'20 to FY'26 historical CAGR (26.37%). This implies that the market is estimating cloud revenue growth to be higher than forecast, or a growth premium that has not been captured by consesus reporting, reinforcing the conclusion formed from our various models that the share price of Atlassian is overvalued and not at its fair value.</a:t>
          </a:r>
        </a:p>
        <a:p>
          <a:endParaRPr lang="en-AU" sz="1100" baseline="0"/>
        </a:p>
        <a:p>
          <a:endParaRPr lang="en-AU"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6350</xdr:colOff>
      <xdr:row>24</xdr:row>
      <xdr:rowOff>88900</xdr:rowOff>
    </xdr:from>
    <xdr:to>
      <xdr:col>16</xdr:col>
      <xdr:colOff>609600</xdr:colOff>
      <xdr:row>30</xdr:row>
      <xdr:rowOff>139700</xdr:rowOff>
    </xdr:to>
    <xdr:sp macro="" textlink="">
      <xdr:nvSpPr>
        <xdr:cNvPr id="2" name="TextBox 1">
          <a:extLst>
            <a:ext uri="{FF2B5EF4-FFF2-40B4-BE49-F238E27FC236}">
              <a16:creationId xmlns:a16="http://schemas.microsoft.com/office/drawing/2014/main" id="{F183D1E8-DBCD-9FD2-9BA4-628A71B44CD9}"/>
            </a:ext>
          </a:extLst>
        </xdr:cNvPr>
        <xdr:cNvSpPr txBox="1"/>
      </xdr:nvSpPr>
      <xdr:spPr>
        <a:xfrm>
          <a:off x="1835150" y="3746500"/>
          <a:ext cx="9594850" cy="965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a:t>Return</a:t>
          </a:r>
          <a:r>
            <a:rPr lang="en-AU" sz="1100" baseline="0"/>
            <a:t> on invested capital was excluded from the graph due to Atlassian's pattern of capital deployment. Atlassian does not invest its capital heavily, as software has  a relatively low reproduction cost, resulting in the firm having large amounts of non-operating cash. This cash historically has exceeded the summation of total debt and shareholders equity, resulting in negative ROIC, which is not an accurate assesment of the firm's financial health. This pattern continues in the forecast, resulting in our decision to remove ROIC from the DuPont analysis. Instead, we opted to include the 'Rule of 40' metric, a SaaS industry standard that measures that states a company's annual revenue growth rate and it's profit margin should sum to 40% or more.</a:t>
          </a:r>
          <a:endParaRPr lang="en-AU"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3</xdr:col>
      <xdr:colOff>450261</xdr:colOff>
      <xdr:row>17</xdr:row>
      <xdr:rowOff>71598</xdr:rowOff>
    </xdr:from>
    <xdr:to>
      <xdr:col>11</xdr:col>
      <xdr:colOff>288233</xdr:colOff>
      <xdr:row>25</xdr:row>
      <xdr:rowOff>61518</xdr:rowOff>
    </xdr:to>
    <xdr:sp macro="" textlink="">
      <xdr:nvSpPr>
        <xdr:cNvPr id="2" name="TextBox 1">
          <a:extLst>
            <a:ext uri="{FF2B5EF4-FFF2-40B4-BE49-F238E27FC236}">
              <a16:creationId xmlns:a16="http://schemas.microsoft.com/office/drawing/2014/main" id="{F7DB3BD3-9FDC-C466-9A58-1305541BEC94}"/>
            </a:ext>
          </a:extLst>
        </xdr:cNvPr>
        <xdr:cNvSpPr txBox="1"/>
      </xdr:nvSpPr>
      <xdr:spPr>
        <a:xfrm>
          <a:off x="3294641" y="2658829"/>
          <a:ext cx="5379790" cy="120744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900"/>
            <a:t>We</a:t>
          </a:r>
          <a:r>
            <a:rPr lang="en-AU" sz="900" baseline="0"/>
            <a:t> estimate the illiquidity discount between Atlassian stock-based compensation compared to the more liquid and fungible cash salary using two option-pricing DLOM models: Chaffe (1993), which prices the foregone downside protection from the vesting period as an European put under the Black-Scholes model, and Finnerty (2012,2023), which prices it as an Asian average-strike put assuming no market timing ability. Each model produces a discount, which we use to derive the cash-equivalent value if stock-based compensation were to be paid out as a cash salary. We assume that employees remain  substitute cash for equity at the discount while employees remain indifferent (risk-aversion).</a:t>
          </a:r>
          <a:endParaRPr lang="en-AU" sz="9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424079</xdr:colOff>
      <xdr:row>8</xdr:row>
      <xdr:rowOff>8971</xdr:rowOff>
    </xdr:from>
    <xdr:to>
      <xdr:col>7</xdr:col>
      <xdr:colOff>382296</xdr:colOff>
      <xdr:row>18</xdr:row>
      <xdr:rowOff>118218</xdr:rowOff>
    </xdr:to>
    <xdr:graphicFrame macro="">
      <xdr:nvGraphicFramePr>
        <xdr:cNvPr id="2" name="Chart 1">
          <a:extLst>
            <a:ext uri="{FF2B5EF4-FFF2-40B4-BE49-F238E27FC236}">
              <a16:creationId xmlns:a16="http://schemas.microsoft.com/office/drawing/2014/main" id="{36A082E8-E81C-84C6-80BD-ED9B14400E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573538</xdr:colOff>
      <xdr:row>7</xdr:row>
      <xdr:rowOff>63377</xdr:rowOff>
    </xdr:from>
    <xdr:to>
      <xdr:col>15</xdr:col>
      <xdr:colOff>62650</xdr:colOff>
      <xdr:row>18</xdr:row>
      <xdr:rowOff>92505</xdr:rowOff>
    </xdr:to>
    <xdr:graphicFrame macro="">
      <xdr:nvGraphicFramePr>
        <xdr:cNvPr id="4" name="Chart 3">
          <a:extLst>
            <a:ext uri="{FF2B5EF4-FFF2-40B4-BE49-F238E27FC236}">
              <a16:creationId xmlns:a16="http://schemas.microsoft.com/office/drawing/2014/main" id="{3F8C4E02-B1D0-C653-AD9F-B5BFA8913AEE}"/>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28</xdr:row>
      <xdr:rowOff>18669</xdr:rowOff>
    </xdr:from>
    <xdr:to>
      <xdr:col>7</xdr:col>
      <xdr:colOff>476250</xdr:colOff>
      <xdr:row>42</xdr:row>
      <xdr:rowOff>114167</xdr:rowOff>
    </xdr:to>
    <xdr:graphicFrame macro="">
      <xdr:nvGraphicFramePr>
        <xdr:cNvPr id="15" name="Chart 14">
          <a:extLst>
            <a:ext uri="{FF2B5EF4-FFF2-40B4-BE49-F238E27FC236}">
              <a16:creationId xmlns:a16="http://schemas.microsoft.com/office/drawing/2014/main" id="{040DF3AC-7DB0-1D81-7677-3C811AE3ED4B}"/>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586209</xdr:colOff>
      <xdr:row>26</xdr:row>
      <xdr:rowOff>32439</xdr:rowOff>
    </xdr:from>
    <xdr:to>
      <xdr:col>25</xdr:col>
      <xdr:colOff>282989</xdr:colOff>
      <xdr:row>42</xdr:row>
      <xdr:rowOff>147053</xdr:rowOff>
    </xdr:to>
    <xdr:graphicFrame macro="">
      <xdr:nvGraphicFramePr>
        <xdr:cNvPr id="16" name="Chart 15">
          <a:extLst>
            <a:ext uri="{FF2B5EF4-FFF2-40B4-BE49-F238E27FC236}">
              <a16:creationId xmlns:a16="http://schemas.microsoft.com/office/drawing/2014/main" id="{565790D4-A1FD-7769-C696-F2C5616B77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63</xdr:row>
      <xdr:rowOff>32922</xdr:rowOff>
    </xdr:from>
    <xdr:to>
      <xdr:col>6</xdr:col>
      <xdr:colOff>571623</xdr:colOff>
      <xdr:row>80</xdr:row>
      <xdr:rowOff>51170</xdr:rowOff>
    </xdr:to>
    <xdr:graphicFrame macro="">
      <xdr:nvGraphicFramePr>
        <xdr:cNvPr id="5" name="Chart 4">
          <a:extLst>
            <a:ext uri="{FF2B5EF4-FFF2-40B4-BE49-F238E27FC236}">
              <a16:creationId xmlns:a16="http://schemas.microsoft.com/office/drawing/2014/main" id="{3FD7D42B-51D8-E712-0215-2D4693A868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25</xdr:col>
      <xdr:colOff>596900</xdr:colOff>
      <xdr:row>6</xdr:row>
      <xdr:rowOff>12700</xdr:rowOff>
    </xdr:from>
    <xdr:to>
      <xdr:col>32</xdr:col>
      <xdr:colOff>543536</xdr:colOff>
      <xdr:row>20</xdr:row>
      <xdr:rowOff>25511</xdr:rowOff>
    </xdr:to>
    <xdr:graphicFrame macro="">
      <xdr:nvGraphicFramePr>
        <xdr:cNvPr id="3" name="Chart 2">
          <a:extLst>
            <a:ext uri="{FF2B5EF4-FFF2-40B4-BE49-F238E27FC236}">
              <a16:creationId xmlns:a16="http://schemas.microsoft.com/office/drawing/2014/main" id="{4B998CA7-EC61-9F0D-61E2-BA336BB64561}"/>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21</xdr:col>
      <xdr:colOff>281936</xdr:colOff>
      <xdr:row>58</xdr:row>
      <xdr:rowOff>25745</xdr:rowOff>
    </xdr:from>
    <xdr:to>
      <xdr:col>32</xdr:col>
      <xdr:colOff>112202</xdr:colOff>
      <xdr:row>84</xdr:row>
      <xdr:rowOff>0</xdr:rowOff>
    </xdr:to>
    <xdr:grpSp>
      <xdr:nvGrpSpPr>
        <xdr:cNvPr id="77" name="Group 76">
          <a:extLst>
            <a:ext uri="{FF2B5EF4-FFF2-40B4-BE49-F238E27FC236}">
              <a16:creationId xmlns:a16="http://schemas.microsoft.com/office/drawing/2014/main" id="{CC984A41-8DFB-D9E1-A8D6-BA00B6FA03EF}"/>
            </a:ext>
          </a:extLst>
        </xdr:cNvPr>
        <xdr:cNvGrpSpPr/>
      </xdr:nvGrpSpPr>
      <xdr:grpSpPr>
        <a:xfrm>
          <a:off x="13422548" y="9045337"/>
          <a:ext cx="7067970" cy="4069357"/>
          <a:chOff x="13442934" y="9046469"/>
          <a:chExt cx="12903086" cy="8155692"/>
        </a:xfrm>
      </xdr:grpSpPr>
      <xdr:grpSp>
        <xdr:nvGrpSpPr>
          <xdr:cNvPr id="75" name="Group 74">
            <a:extLst>
              <a:ext uri="{FF2B5EF4-FFF2-40B4-BE49-F238E27FC236}">
                <a16:creationId xmlns:a16="http://schemas.microsoft.com/office/drawing/2014/main" id="{05E07D3C-6887-18F0-D236-3261E5365375}"/>
              </a:ext>
            </a:extLst>
          </xdr:cNvPr>
          <xdr:cNvGrpSpPr/>
        </xdr:nvGrpSpPr>
        <xdr:grpSpPr>
          <a:xfrm>
            <a:off x="13442934" y="9046469"/>
            <a:ext cx="12903086" cy="8155692"/>
            <a:chOff x="13484518" y="9099408"/>
            <a:chExt cx="13796506" cy="8665189"/>
          </a:xfrm>
        </xdr:grpSpPr>
        <xdr:grpSp>
          <xdr:nvGrpSpPr>
            <xdr:cNvPr id="71" name="Group 70">
              <a:extLst>
                <a:ext uri="{FF2B5EF4-FFF2-40B4-BE49-F238E27FC236}">
                  <a16:creationId xmlns:a16="http://schemas.microsoft.com/office/drawing/2014/main" id="{965F2E16-CC37-36C7-8CB7-0413D9C5B330}"/>
                </a:ext>
              </a:extLst>
            </xdr:cNvPr>
            <xdr:cNvGrpSpPr/>
          </xdr:nvGrpSpPr>
          <xdr:grpSpPr>
            <a:xfrm>
              <a:off x="13484518" y="9099408"/>
              <a:ext cx="13796506" cy="8665189"/>
              <a:chOff x="13043905" y="8594157"/>
              <a:chExt cx="13796506" cy="8738264"/>
            </a:xfrm>
          </xdr:grpSpPr>
          <xdr:grpSp>
            <xdr:nvGrpSpPr>
              <xdr:cNvPr id="64" name="Group 63">
                <a:extLst>
                  <a:ext uri="{FF2B5EF4-FFF2-40B4-BE49-F238E27FC236}">
                    <a16:creationId xmlns:a16="http://schemas.microsoft.com/office/drawing/2014/main" id="{696BC4C0-9963-6D73-D25B-0B4F779A0772}"/>
                  </a:ext>
                </a:extLst>
              </xdr:cNvPr>
              <xdr:cNvGrpSpPr/>
            </xdr:nvGrpSpPr>
            <xdr:grpSpPr>
              <a:xfrm>
                <a:off x="13043905" y="8594157"/>
                <a:ext cx="13796506" cy="8738264"/>
                <a:chOff x="12767428" y="8824236"/>
                <a:chExt cx="13797671" cy="8728889"/>
              </a:xfrm>
            </xdr:grpSpPr>
            <xdr:grpSp>
              <xdr:nvGrpSpPr>
                <xdr:cNvPr id="62" name="Group 61">
                  <a:extLst>
                    <a:ext uri="{FF2B5EF4-FFF2-40B4-BE49-F238E27FC236}">
                      <a16:creationId xmlns:a16="http://schemas.microsoft.com/office/drawing/2014/main" id="{113F3E6C-A7AC-55FC-00DF-6810548C2802}"/>
                    </a:ext>
                  </a:extLst>
                </xdr:cNvPr>
                <xdr:cNvGrpSpPr/>
              </xdr:nvGrpSpPr>
              <xdr:grpSpPr>
                <a:xfrm>
                  <a:off x="12767428" y="8824236"/>
                  <a:ext cx="13797671" cy="8728889"/>
                  <a:chOff x="12767428" y="8824236"/>
                  <a:chExt cx="13797671" cy="8728889"/>
                </a:xfrm>
              </xdr:grpSpPr>
              <xdr:sp macro="" textlink="">
                <xdr:nvSpPr>
                  <xdr:cNvPr id="61" name="Rectangle 60">
                    <a:extLst>
                      <a:ext uri="{FF2B5EF4-FFF2-40B4-BE49-F238E27FC236}">
                        <a16:creationId xmlns:a16="http://schemas.microsoft.com/office/drawing/2014/main" id="{75595807-AD46-A7C2-A460-39EE672BBCF8}"/>
                      </a:ext>
                    </a:extLst>
                  </xdr:cNvPr>
                  <xdr:cNvSpPr/>
                </xdr:nvSpPr>
                <xdr:spPr>
                  <a:xfrm>
                    <a:off x="12767428" y="8894252"/>
                    <a:ext cx="13617222" cy="8658873"/>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pic>
                <xdr:nvPicPr>
                  <xdr:cNvPr id="60" name="Picture 59">
                    <a:extLst>
                      <a:ext uri="{FF2B5EF4-FFF2-40B4-BE49-F238E27FC236}">
                        <a16:creationId xmlns:a16="http://schemas.microsoft.com/office/drawing/2014/main" id="{1B91BC6A-A155-C778-FA4F-D6BBE165D01B}"/>
                      </a:ext>
                    </a:extLst>
                  </xdr:cNvPr>
                  <xdr:cNvPicPr>
                    <a:picLocks noChangeAspect="1"/>
                  </xdr:cNvPicPr>
                </xdr:nvPicPr>
                <xdr:blipFill>
                  <a:blip xmlns:r="http://schemas.openxmlformats.org/officeDocument/2006/relationships" r:embed="rId7"/>
                  <a:stretch>
                    <a:fillRect/>
                  </a:stretch>
                </xdr:blipFill>
                <xdr:spPr>
                  <a:xfrm>
                    <a:off x="13003522" y="8824236"/>
                    <a:ext cx="13561577" cy="8070805"/>
                  </a:xfrm>
                  <a:prstGeom prst="rect">
                    <a:avLst/>
                  </a:prstGeom>
                </xdr:spPr>
              </xdr:pic>
            </xdr:grpSp>
            <xdr:pic>
              <xdr:nvPicPr>
                <xdr:cNvPr id="63" name="Picture 62">
                  <a:extLst>
                    <a:ext uri="{FF2B5EF4-FFF2-40B4-BE49-F238E27FC236}">
                      <a16:creationId xmlns:a16="http://schemas.microsoft.com/office/drawing/2014/main" id="{038AEB6C-45BC-661F-5C87-9C0209A7FF33}"/>
                    </a:ext>
                  </a:extLst>
                </xdr:cNvPr>
                <xdr:cNvPicPr>
                  <a:picLocks noChangeAspect="1"/>
                </xdr:cNvPicPr>
              </xdr:nvPicPr>
              <xdr:blipFill>
                <a:blip xmlns:r="http://schemas.openxmlformats.org/officeDocument/2006/relationships" r:embed="rId8"/>
                <a:stretch>
                  <a:fillRect/>
                </a:stretch>
              </xdr:blipFill>
              <xdr:spPr>
                <a:xfrm>
                  <a:off x="14672104" y="15224778"/>
                  <a:ext cx="1355619" cy="842602"/>
                </a:xfrm>
                <a:prstGeom prst="rect">
                  <a:avLst/>
                </a:prstGeom>
              </xdr:spPr>
            </xdr:pic>
          </xdr:grpSp>
          <xdr:sp macro="" textlink="">
            <xdr:nvSpPr>
              <xdr:cNvPr id="70" name="TextBox 69">
                <a:extLst>
                  <a:ext uri="{FF2B5EF4-FFF2-40B4-BE49-F238E27FC236}">
                    <a16:creationId xmlns:a16="http://schemas.microsoft.com/office/drawing/2014/main" id="{92F48E11-0DE3-402D-8DE8-2CC53F35ED03}"/>
                  </a:ext>
                </a:extLst>
              </xdr:cNvPr>
              <xdr:cNvSpPr txBox="1"/>
            </xdr:nvSpPr>
            <xdr:spPr>
              <a:xfrm>
                <a:off x="15157949" y="15014797"/>
                <a:ext cx="1088624" cy="624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AU" sz="1200" b="1">
                    <a:solidFill>
                      <a:srgbClr val="FBC828"/>
                    </a:solidFill>
                  </a:rPr>
                  <a:t>10%</a:t>
                </a:r>
              </a:p>
              <a:p>
                <a:pPr algn="r"/>
                <a:endParaRPr lang="en-AU" sz="1800" b="1">
                  <a:solidFill>
                    <a:srgbClr val="0067ED"/>
                  </a:solidFill>
                </a:endParaRPr>
              </a:p>
            </xdr:txBody>
          </xdr:sp>
        </xdr:grpSp>
        <xdr:sp macro="" textlink="">
          <xdr:nvSpPr>
            <xdr:cNvPr id="74" name="Arrow: Bent-Up 73">
              <a:extLst>
                <a:ext uri="{FF2B5EF4-FFF2-40B4-BE49-F238E27FC236}">
                  <a16:creationId xmlns:a16="http://schemas.microsoft.com/office/drawing/2014/main" id="{C93BB379-B6EF-E6E8-55A0-28C31E4829AF}"/>
                </a:ext>
              </a:extLst>
            </xdr:cNvPr>
            <xdr:cNvSpPr/>
          </xdr:nvSpPr>
          <xdr:spPr>
            <a:xfrm rot="10800000">
              <a:off x="18700101" y="10030406"/>
              <a:ext cx="1010817" cy="2086429"/>
            </a:xfrm>
            <a:prstGeom prst="bentUpArrow">
              <a:avLst>
                <a:gd name="adj1" fmla="val 25000"/>
                <a:gd name="adj2" fmla="val 23990"/>
                <a:gd name="adj3" fmla="val 25000"/>
              </a:avLst>
            </a:prstGeom>
            <a:solidFill>
              <a:srgbClr val="0067E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U" sz="1100"/>
            </a:p>
          </xdr:txBody>
        </xdr:sp>
      </xdr:grpSp>
      <xdr:sp macro="" textlink="">
        <xdr:nvSpPr>
          <xdr:cNvPr id="76" name="TextBox 75">
            <a:extLst>
              <a:ext uri="{FF2B5EF4-FFF2-40B4-BE49-F238E27FC236}">
                <a16:creationId xmlns:a16="http://schemas.microsoft.com/office/drawing/2014/main" id="{9889F6C7-E391-85BF-596E-495AE639DCE5}"/>
              </a:ext>
            </a:extLst>
          </xdr:cNvPr>
          <xdr:cNvSpPr txBox="1"/>
        </xdr:nvSpPr>
        <xdr:spPr>
          <a:xfrm>
            <a:off x="19405379" y="9803313"/>
            <a:ext cx="4679368" cy="48640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2000" b="1">
                <a:solidFill>
                  <a:srgbClr val="FF0000"/>
                </a:solidFill>
                <a:latin typeface="Helvetica" panose="020B0604020202020204" pitchFamily="34" charset="0"/>
                <a:cs typeface="Helvetica" panose="020B0604020202020204" pitchFamily="34" charset="0"/>
              </a:rPr>
              <a:t>68.24% </a:t>
            </a:r>
            <a:r>
              <a:rPr lang="en-AU" sz="2000" b="1">
                <a:solidFill>
                  <a:sysClr val="windowText" lastClr="000000"/>
                </a:solidFill>
                <a:latin typeface="Helvetica" panose="020B0604020202020204" pitchFamily="34" charset="0"/>
                <a:cs typeface="Helvetica" panose="020B0604020202020204" pitchFamily="34" charset="0"/>
              </a:rPr>
              <a:t>of outcomes yield a share price 10 % </a:t>
            </a:r>
            <a:r>
              <a:rPr lang="en-AU" sz="2000" b="1">
                <a:solidFill>
                  <a:schemeClr val="tx1"/>
                </a:solidFill>
                <a:latin typeface="Helvetica" panose="020B0604020202020204" pitchFamily="34" charset="0"/>
                <a:cs typeface="Helvetica" panose="020B0604020202020204" pitchFamily="34" charset="0"/>
              </a:rPr>
              <a:t>below</a:t>
            </a:r>
            <a:r>
              <a:rPr lang="en-AU" sz="2000" b="1">
                <a:solidFill>
                  <a:srgbClr val="FF0000"/>
                </a:solidFill>
                <a:latin typeface="Helvetica" panose="020B0604020202020204" pitchFamily="34" charset="0"/>
                <a:cs typeface="Helvetica" panose="020B0604020202020204" pitchFamily="34" charset="0"/>
              </a:rPr>
              <a:t> </a:t>
            </a:r>
            <a:r>
              <a:rPr lang="en-AU" sz="2000" b="1">
                <a:solidFill>
                  <a:sysClr val="windowText" lastClr="000000"/>
                </a:solidFill>
                <a:latin typeface="Helvetica" panose="020B0604020202020204" pitchFamily="34" charset="0"/>
                <a:cs typeface="Helvetica" panose="020B0604020202020204" pitchFamily="34" charset="0"/>
              </a:rPr>
              <a:t>the current market price,</a:t>
            </a:r>
            <a:r>
              <a:rPr lang="en-AU" sz="2000" b="1" baseline="0">
                <a:solidFill>
                  <a:sysClr val="windowText" lastClr="000000"/>
                </a:solidFill>
                <a:latin typeface="Helvetica" panose="020B0604020202020204" pitchFamily="34" charset="0"/>
                <a:cs typeface="Helvetica" panose="020B0604020202020204" pitchFamily="34" charset="0"/>
              </a:rPr>
              <a:t> supporting our </a:t>
            </a:r>
            <a:r>
              <a:rPr lang="en-AU" sz="2000" b="1" baseline="0">
                <a:solidFill>
                  <a:srgbClr val="FF0000"/>
                </a:solidFill>
                <a:latin typeface="Helvetica" panose="020B0604020202020204" pitchFamily="34" charset="0"/>
                <a:cs typeface="Helvetica" panose="020B0604020202020204" pitchFamily="34" charset="0"/>
              </a:rPr>
              <a:t>SELL</a:t>
            </a:r>
            <a:r>
              <a:rPr lang="en-AU" sz="2000" b="1" baseline="0">
                <a:solidFill>
                  <a:sysClr val="windowText" lastClr="000000"/>
                </a:solidFill>
                <a:latin typeface="Helvetica" panose="020B0604020202020204" pitchFamily="34" charset="0"/>
                <a:cs typeface="Helvetica" panose="020B0604020202020204" pitchFamily="34" charset="0"/>
              </a:rPr>
              <a:t> outlook</a:t>
            </a:r>
            <a:endParaRPr lang="en-AU" sz="2000" b="1">
              <a:solidFill>
                <a:srgbClr val="FF0000"/>
              </a:solidFill>
              <a:latin typeface="Helvetica" panose="020B0604020202020204" pitchFamily="34" charset="0"/>
              <a:cs typeface="Helvetica" panose="020B0604020202020204" pitchFamily="34" charset="0"/>
            </a:endParaRPr>
          </a:p>
        </xdr:txBody>
      </xdr:sp>
    </xdr:grpSp>
    <xdr:clientData/>
  </xdr:twoCellAnchor>
  <xdr:twoCellAnchor>
    <xdr:from>
      <xdr:col>34</xdr:col>
      <xdr:colOff>573988</xdr:colOff>
      <xdr:row>32</xdr:row>
      <xdr:rowOff>0</xdr:rowOff>
    </xdr:from>
    <xdr:to>
      <xdr:col>41</xdr:col>
      <xdr:colOff>411892</xdr:colOff>
      <xdr:row>49</xdr:row>
      <xdr:rowOff>105832</xdr:rowOff>
    </xdr:to>
    <xdr:graphicFrame macro="">
      <xdr:nvGraphicFramePr>
        <xdr:cNvPr id="9" name="Chart 8">
          <a:extLst>
            <a:ext uri="{FF2B5EF4-FFF2-40B4-BE49-F238E27FC236}">
              <a16:creationId xmlns:a16="http://schemas.microsoft.com/office/drawing/2014/main" id="{7E057495-5D6A-67B3-748D-C2690AA0F2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36</xdr:col>
      <xdr:colOff>76791</xdr:colOff>
      <xdr:row>59</xdr:row>
      <xdr:rowOff>101452</xdr:rowOff>
    </xdr:from>
    <xdr:to>
      <xdr:col>43</xdr:col>
      <xdr:colOff>63500</xdr:colOff>
      <xdr:row>77</xdr:row>
      <xdr:rowOff>24070</xdr:rowOff>
    </xdr:to>
    <xdr:graphicFrame macro="">
      <xdr:nvGraphicFramePr>
        <xdr:cNvPr id="10" name="Chart 5">
          <a:extLst>
            <a:ext uri="{FF2B5EF4-FFF2-40B4-BE49-F238E27FC236}">
              <a16:creationId xmlns:a16="http://schemas.microsoft.com/office/drawing/2014/main" id="{3F29EC65-B4B2-A958-CA81-A4618AD60A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14</xdr:col>
      <xdr:colOff>301744</xdr:colOff>
      <xdr:row>51</xdr:row>
      <xdr:rowOff>58296</xdr:rowOff>
    </xdr:from>
    <xdr:to>
      <xdr:col>21</xdr:col>
      <xdr:colOff>285602</xdr:colOff>
      <xdr:row>67</xdr:row>
      <xdr:rowOff>147563</xdr:rowOff>
    </xdr:to>
    <xdr:graphicFrame macro="">
      <xdr:nvGraphicFramePr>
        <xdr:cNvPr id="50" name="Chart 7">
          <a:extLst>
            <a:ext uri="{FF2B5EF4-FFF2-40B4-BE49-F238E27FC236}">
              <a16:creationId xmlns:a16="http://schemas.microsoft.com/office/drawing/2014/main" id="{CC30DE45-F414-F805-CD39-AF64412578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27</xdr:col>
      <xdr:colOff>349978</xdr:colOff>
      <xdr:row>89</xdr:row>
      <xdr:rowOff>20650</xdr:rowOff>
    </xdr:from>
    <xdr:to>
      <xdr:col>33</xdr:col>
      <xdr:colOff>609186</xdr:colOff>
      <xdr:row>103</xdr:row>
      <xdr:rowOff>114988</xdr:rowOff>
    </xdr:to>
    <xdr:graphicFrame macro="">
      <xdr:nvGraphicFramePr>
        <xdr:cNvPr id="12" name="Chart 11">
          <a:extLst>
            <a:ext uri="{FF2B5EF4-FFF2-40B4-BE49-F238E27FC236}">
              <a16:creationId xmlns:a16="http://schemas.microsoft.com/office/drawing/2014/main" id="{448CD299-7D48-BFC1-E897-1129826CBE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27</xdr:col>
      <xdr:colOff>474959</xdr:colOff>
      <xdr:row>90</xdr:row>
      <xdr:rowOff>108414</xdr:rowOff>
    </xdr:from>
    <xdr:to>
      <xdr:col>27</xdr:col>
      <xdr:colOff>474959</xdr:colOff>
      <xdr:row>92</xdr:row>
      <xdr:rowOff>36137</xdr:rowOff>
    </xdr:to>
    <xdr:cxnSp macro="">
      <xdr:nvCxnSpPr>
        <xdr:cNvPr id="17" name="Straight Arrow Connector 16">
          <a:extLst>
            <a:ext uri="{FF2B5EF4-FFF2-40B4-BE49-F238E27FC236}">
              <a16:creationId xmlns:a16="http://schemas.microsoft.com/office/drawing/2014/main" id="{F20D573D-F3EC-21C0-D092-3CBB42AC6405}"/>
            </a:ext>
          </a:extLst>
        </xdr:cNvPr>
        <xdr:cNvCxnSpPr/>
      </xdr:nvCxnSpPr>
      <xdr:spPr>
        <a:xfrm flipV="1">
          <a:off x="17604471" y="14109390"/>
          <a:ext cx="0" cy="237479"/>
        </a:xfrm>
        <a:prstGeom prst="straightConnector1">
          <a:avLst/>
        </a:prstGeom>
        <a:ln>
          <a:solidFill>
            <a:sysClr val="windowText" lastClr="000000"/>
          </a:solidFill>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drawings/drawing7.xml><?xml version="1.0" encoding="utf-8"?>
<c:userShapes xmlns:c="http://schemas.openxmlformats.org/drawingml/2006/chart">
  <cdr:relSizeAnchor xmlns:cdr="http://schemas.openxmlformats.org/drawingml/2006/chartDrawing">
    <cdr:from>
      <cdr:x>0.44374</cdr:x>
      <cdr:y>0.05369</cdr:y>
    </cdr:from>
    <cdr:to>
      <cdr:x>0.54225</cdr:x>
      <cdr:y>0.58513</cdr:y>
    </cdr:to>
    <cdr:sp macro="" textlink="">
      <cdr:nvSpPr>
        <cdr:cNvPr id="2" name="Rectangle 1">
          <a:extLst xmlns:a="http://schemas.openxmlformats.org/drawingml/2006/main">
            <a:ext uri="{FF2B5EF4-FFF2-40B4-BE49-F238E27FC236}">
              <a16:creationId xmlns:a16="http://schemas.microsoft.com/office/drawing/2014/main" id="{683DA83A-D804-5E0F-7AB2-C382252569B1}"/>
            </a:ext>
          </a:extLst>
        </cdr:cNvPr>
        <cdr:cNvSpPr/>
      </cdr:nvSpPr>
      <cdr:spPr>
        <a:xfrm xmlns:a="http://schemas.openxmlformats.org/drawingml/2006/main">
          <a:off x="1675842" y="91568"/>
          <a:ext cx="372037" cy="906385"/>
        </a:xfrm>
        <a:prstGeom xmlns:a="http://schemas.openxmlformats.org/drawingml/2006/main" prst="rect">
          <a:avLst/>
        </a:prstGeom>
        <a:solidFill xmlns:a="http://schemas.openxmlformats.org/drawingml/2006/main">
          <a:schemeClr val="bg2">
            <a:lumMod val="75000"/>
            <a:alpha val="20000"/>
          </a:schemeClr>
        </a:solidFill>
        <a:ln xmlns:a="http://schemas.openxmlformats.org/drawingml/2006/main" w="12700">
          <a:solidFill>
            <a:schemeClr val="tx1"/>
          </a:solidFill>
          <a:prstDash val="dash"/>
        </a:ln>
      </cdr:spPr>
      <cdr:style>
        <a:lnRef xmlns:a="http://schemas.openxmlformats.org/drawingml/2006/main" idx="2">
          <a:schemeClr val="accent1">
            <a:shade val="15000"/>
          </a:schemeClr>
        </a:lnRef>
        <a:fillRef xmlns:a="http://schemas.openxmlformats.org/drawingml/2006/main" idx="1001">
          <a:schemeClr val="l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AU" b="0" kern="1200">
            <a:solidFill>
              <a:schemeClr val="bg1"/>
            </a:solidFill>
          </a:endParaRPr>
        </a:p>
      </cdr:txBody>
    </cdr:sp>
  </cdr:relSizeAnchor>
  <cdr:relSizeAnchor xmlns:cdr="http://schemas.openxmlformats.org/drawingml/2006/chartDrawing">
    <cdr:from>
      <cdr:x>0.87401</cdr:x>
      <cdr:y>0.18698</cdr:y>
    </cdr:from>
    <cdr:to>
      <cdr:x>0.95888</cdr:x>
      <cdr:y>0.59283</cdr:y>
    </cdr:to>
    <cdr:sp macro="" textlink="">
      <cdr:nvSpPr>
        <cdr:cNvPr id="3" name="Rectangle 2">
          <a:extLst xmlns:a="http://schemas.openxmlformats.org/drawingml/2006/main">
            <a:ext uri="{FF2B5EF4-FFF2-40B4-BE49-F238E27FC236}">
              <a16:creationId xmlns:a16="http://schemas.microsoft.com/office/drawing/2014/main" id="{10DF5328-BF23-78D3-7D56-6514857C1695}"/>
            </a:ext>
          </a:extLst>
        </cdr:cNvPr>
        <cdr:cNvSpPr/>
      </cdr:nvSpPr>
      <cdr:spPr>
        <a:xfrm xmlns:a="http://schemas.openxmlformats.org/drawingml/2006/main">
          <a:off x="3275613" y="318300"/>
          <a:ext cx="318093" cy="690891"/>
        </a:xfrm>
        <a:prstGeom xmlns:a="http://schemas.openxmlformats.org/drawingml/2006/main" prst="rect">
          <a:avLst/>
        </a:prstGeom>
        <a:solidFill xmlns:a="http://schemas.openxmlformats.org/drawingml/2006/main">
          <a:schemeClr val="bg2">
            <a:lumMod val="75000"/>
            <a:alpha val="15000"/>
          </a:schemeClr>
        </a:solidFill>
        <a:ln xmlns:a="http://schemas.openxmlformats.org/drawingml/2006/main" w="12700">
          <a:solidFill>
            <a:schemeClr val="tx1"/>
          </a:solidFill>
          <a:prstDash val="dash"/>
        </a:ln>
      </cdr:spPr>
      <cdr:style>
        <a:lnRef xmlns:a="http://schemas.openxmlformats.org/drawingml/2006/main" idx="2">
          <a:schemeClr val="accent1">
            <a:shade val="15000"/>
          </a:schemeClr>
        </a:lnRef>
        <a:fillRef xmlns:a="http://schemas.openxmlformats.org/drawingml/2006/main" idx="1001">
          <a:schemeClr val="l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AU" b="0" kern="1200">
            <a:solidFill>
              <a:schemeClr val="bg1"/>
            </a:solidFill>
          </a:endParaRPr>
        </a:p>
      </cdr:txBody>
    </cdr:sp>
  </cdr:relSizeAnchor>
  <cdr:relSizeAnchor xmlns:cdr="http://schemas.openxmlformats.org/drawingml/2006/chartDrawing">
    <cdr:from>
      <cdr:x>0.56427</cdr:x>
      <cdr:y>0.14183</cdr:y>
    </cdr:from>
    <cdr:to>
      <cdr:x>0.85546</cdr:x>
      <cdr:y>0.28293</cdr:y>
    </cdr:to>
    <cdr:cxnSp macro="">
      <cdr:nvCxnSpPr>
        <cdr:cNvPr id="6" name="Straight Arrow Connector 5">
          <a:extLst xmlns:a="http://schemas.openxmlformats.org/drawingml/2006/main">
            <a:ext uri="{FF2B5EF4-FFF2-40B4-BE49-F238E27FC236}">
              <a16:creationId xmlns:a16="http://schemas.microsoft.com/office/drawing/2014/main" id="{FC55A0E0-7755-67E0-DCF4-3A36F5DA58CE}"/>
            </a:ext>
          </a:extLst>
        </cdr:cNvPr>
        <cdr:cNvCxnSpPr/>
      </cdr:nvCxnSpPr>
      <cdr:spPr>
        <a:xfrm xmlns:a="http://schemas.openxmlformats.org/drawingml/2006/main">
          <a:off x="2120060" y="238151"/>
          <a:ext cx="1094038" cy="236927"/>
        </a:xfrm>
        <a:prstGeom xmlns:a="http://schemas.openxmlformats.org/drawingml/2006/main" prst="straightConnector1">
          <a:avLst/>
        </a:prstGeom>
        <a:ln xmlns:a="http://schemas.openxmlformats.org/drawingml/2006/main">
          <a:headEnd type="triangle"/>
          <a:tailEnd type="triangle"/>
        </a:ln>
      </cdr:spPr>
      <cdr:style>
        <a:lnRef xmlns:a="http://schemas.openxmlformats.org/drawingml/2006/main" idx="1">
          <a:schemeClr val="dk1"/>
        </a:lnRef>
        <a:fillRef xmlns:a="http://schemas.openxmlformats.org/drawingml/2006/main" idx="0">
          <a:schemeClr val="dk1"/>
        </a:fillRef>
        <a:effectRef xmlns:a="http://schemas.openxmlformats.org/drawingml/2006/main" idx="0">
          <a:schemeClr val="dk1"/>
        </a:effectRef>
        <a:fontRef xmlns:a="http://schemas.openxmlformats.org/drawingml/2006/main" idx="minor">
          <a:schemeClr val="tx1"/>
        </a:fontRef>
      </cdr:style>
    </cdr:cxnSp>
  </cdr:relSizeAnchor>
  <cdr:relSizeAnchor xmlns:cdr="http://schemas.openxmlformats.org/drawingml/2006/chartDrawing">
    <cdr:from>
      <cdr:x>0.58436</cdr:x>
      <cdr:y>0.11164</cdr:y>
    </cdr:from>
    <cdr:to>
      <cdr:x>0.88445</cdr:x>
      <cdr:y>0.2122</cdr:y>
    </cdr:to>
    <cdr:sp macro="" textlink="">
      <cdr:nvSpPr>
        <cdr:cNvPr id="7" name="TextBox 6">
          <a:extLst xmlns:a="http://schemas.openxmlformats.org/drawingml/2006/main">
            <a:ext uri="{FF2B5EF4-FFF2-40B4-BE49-F238E27FC236}">
              <a16:creationId xmlns:a16="http://schemas.microsoft.com/office/drawing/2014/main" id="{4342A21E-E007-F265-ADED-E8036F3A4509}"/>
            </a:ext>
          </a:extLst>
        </cdr:cNvPr>
        <cdr:cNvSpPr txBox="1"/>
      </cdr:nvSpPr>
      <cdr:spPr>
        <a:xfrm xmlns:a="http://schemas.openxmlformats.org/drawingml/2006/main" rot="756675">
          <a:off x="2195539" y="187463"/>
          <a:ext cx="1127501" cy="16884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AU" sz="500" b="0" kern="1200"/>
            <a:t>Gap narrows 26.29pp</a:t>
          </a:r>
          <a:r>
            <a:rPr lang="en-AU" sz="500" b="0" kern="1200" baseline="0"/>
            <a:t> </a:t>
          </a:r>
          <a:r>
            <a:rPr lang="en-AU" sz="500" b="0"/>
            <a:t>→ 11.31pp</a:t>
          </a:r>
          <a:r>
            <a:rPr lang="en-AU" sz="500" b="0" baseline="0"/>
            <a:t> </a:t>
          </a:r>
          <a:endParaRPr lang="en-AU" sz="500" b="0" kern="1200"/>
        </a:p>
      </cdr:txBody>
    </cdr:sp>
  </cdr:relSizeAnchor>
</c:userShapes>
</file>

<file path=xl/drawings/drawing8.xml><?xml version="1.0" encoding="utf-8"?>
<c:userShapes xmlns:c="http://schemas.openxmlformats.org/drawingml/2006/chart">
  <cdr:relSizeAnchor xmlns:cdr="http://schemas.openxmlformats.org/drawingml/2006/chartDrawing">
    <cdr:from>
      <cdr:x>0.7167</cdr:x>
      <cdr:y>0.91835</cdr:y>
    </cdr:from>
    <cdr:to>
      <cdr:x>0.79602</cdr:x>
      <cdr:y>0.91835</cdr:y>
    </cdr:to>
    <cdr:cxnSp macro="">
      <cdr:nvCxnSpPr>
        <cdr:cNvPr id="7" name="Straight Arrow Connector 6">
          <a:extLst xmlns:a="http://schemas.openxmlformats.org/drawingml/2006/main">
            <a:ext uri="{FF2B5EF4-FFF2-40B4-BE49-F238E27FC236}">
              <a16:creationId xmlns:a16="http://schemas.microsoft.com/office/drawing/2014/main" id="{7F3FDF96-EED3-DED1-0A6A-A18EF7C7A6CE}"/>
            </a:ext>
          </a:extLst>
        </cdr:cNvPr>
        <cdr:cNvCxnSpPr/>
      </cdr:nvCxnSpPr>
      <cdr:spPr>
        <a:xfrm xmlns:a="http://schemas.openxmlformats.org/drawingml/2006/main">
          <a:off x="2938599" y="2106341"/>
          <a:ext cx="325244" cy="0"/>
        </a:xfrm>
        <a:prstGeom xmlns:a="http://schemas.openxmlformats.org/drawingml/2006/main" prst="straightConnector1">
          <a:avLst/>
        </a:prstGeom>
        <a:ln xmlns:a="http://schemas.openxmlformats.org/drawingml/2006/main">
          <a:tailEnd type="triangle"/>
        </a:ln>
      </cdr:spPr>
      <cdr:style>
        <a:lnRef xmlns:a="http://schemas.openxmlformats.org/drawingml/2006/main" idx="1">
          <a:schemeClr val="dk1"/>
        </a:lnRef>
        <a:fillRef xmlns:a="http://schemas.openxmlformats.org/drawingml/2006/main" idx="0">
          <a:schemeClr val="dk1"/>
        </a:fillRef>
        <a:effectRef xmlns:a="http://schemas.openxmlformats.org/drawingml/2006/main" idx="0">
          <a:schemeClr val="dk1"/>
        </a:effectRef>
        <a:fontRef xmlns:a="http://schemas.openxmlformats.org/drawingml/2006/main" idx="minor">
          <a:schemeClr val="tx1"/>
        </a:fontRef>
      </cdr:style>
    </cdr:cxnSp>
  </cdr:relSizeAnchor>
</c:userShapes>
</file>

<file path=xl/drawings/drawing9.xml><?xml version="1.0" encoding="utf-8"?>
<xdr:wsDr xmlns:xdr="http://schemas.openxmlformats.org/drawingml/2006/spreadsheetDrawing" xmlns:a="http://schemas.openxmlformats.org/drawingml/2006/main">
  <xdr:twoCellAnchor>
    <xdr:from>
      <xdr:col>6</xdr:col>
      <xdr:colOff>885824</xdr:colOff>
      <xdr:row>3</xdr:row>
      <xdr:rowOff>6350</xdr:rowOff>
    </xdr:from>
    <xdr:to>
      <xdr:col>14</xdr:col>
      <xdr:colOff>539750</xdr:colOff>
      <xdr:row>9</xdr:row>
      <xdr:rowOff>117835</xdr:rowOff>
    </xdr:to>
    <xdr:sp macro="" textlink="">
      <xdr:nvSpPr>
        <xdr:cNvPr id="2" name="TextBox 1">
          <a:extLst>
            <a:ext uri="{FF2B5EF4-FFF2-40B4-BE49-F238E27FC236}">
              <a16:creationId xmlns:a16="http://schemas.microsoft.com/office/drawing/2014/main" id="{6706B1EE-F5B7-4280-30CF-524848B7B767}"/>
            </a:ext>
          </a:extLst>
        </xdr:cNvPr>
        <xdr:cNvSpPr txBox="1"/>
      </xdr:nvSpPr>
      <xdr:spPr>
        <a:xfrm>
          <a:off x="8237422" y="634804"/>
          <a:ext cx="5427843" cy="10148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900"/>
            <a:t>The 5-Factor model produced an unusable</a:t>
          </a:r>
          <a:r>
            <a:rPr lang="en-AU" sz="900" baseline="0"/>
            <a:t> negative cost of equity  (-1.91%), which was driven by an extreme profitability  (RMW) coefficent of -2.666 combined with a positve RMW premium. This is likely due collinearality among the profitability and investment factors relative to the sample size (n=149), opposed to a genuine risk relationship. While the 5-Factor model offers a higher explanatory value (R</a:t>
          </a:r>
          <a:r>
            <a:rPr lang="en-AU" sz="900" baseline="30000"/>
            <a:t>2</a:t>
          </a:r>
          <a:r>
            <a:rPr lang="en-AU" sz="900" baseline="0"/>
            <a:t> = 0.325, </a:t>
          </a:r>
          <a:r>
            <a:rPr lang="en-AU" sz="900" baseline="0">
              <a:solidFill>
                <a:schemeClr val="dk1"/>
              </a:solidFill>
              <a:effectLst/>
              <a:latin typeface="+mn-lt"/>
              <a:ea typeface="+mn-ea"/>
              <a:cs typeface="+mn-cs"/>
            </a:rPr>
            <a:t>R</a:t>
          </a:r>
          <a:r>
            <a:rPr lang="en-AU" sz="900" baseline="30000">
              <a:solidFill>
                <a:schemeClr val="dk1"/>
              </a:solidFill>
              <a:effectLst/>
              <a:latin typeface="+mn-lt"/>
              <a:ea typeface="+mn-ea"/>
              <a:cs typeface="+mn-cs"/>
            </a:rPr>
            <a:t>2</a:t>
          </a:r>
          <a:r>
            <a:rPr lang="en-AU" sz="900" baseline="0">
              <a:solidFill>
                <a:schemeClr val="dk1"/>
              </a:solidFill>
              <a:effectLst/>
              <a:latin typeface="+mn-lt"/>
              <a:ea typeface="+mn-ea"/>
              <a:cs typeface="+mn-cs"/>
            </a:rPr>
            <a:t> = 0.175 for 3-Factor model), we do not utilise the cost of equity estimate in our valuation. The CAPM (10.85%) and Fama-French 3-Factor (9.68%) estimates are consistent with each other and support the WACC assumptions used in the primary DCF analysis.</a:t>
          </a:r>
          <a:endParaRPr lang="en-AU" sz="900" baseline="30000"/>
        </a:p>
        <a:p>
          <a:endParaRPr lang="en-AU"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11</xdr:col>
      <xdr:colOff>240803</xdr:colOff>
      <xdr:row>65</xdr:row>
      <xdr:rowOff>141355</xdr:rowOff>
    </xdr:from>
    <xdr:to>
      <xdr:col>18</xdr:col>
      <xdr:colOff>509194</xdr:colOff>
      <xdr:row>83</xdr:row>
      <xdr:rowOff>93509</xdr:rowOff>
    </xdr:to>
    <xdr:graphicFrame macro="">
      <xdr:nvGraphicFramePr>
        <xdr:cNvPr id="6" name="Chart 5">
          <a:extLst>
            <a:ext uri="{FF2B5EF4-FFF2-40B4-BE49-F238E27FC236}">
              <a16:creationId xmlns:a16="http://schemas.microsoft.com/office/drawing/2014/main" id="{3AA65559-4CB8-4EEE-EBAE-F210F61CE5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352273</xdr:colOff>
      <xdr:row>43</xdr:row>
      <xdr:rowOff>143631</xdr:rowOff>
    </xdr:from>
    <xdr:to>
      <xdr:col>27</xdr:col>
      <xdr:colOff>566964</xdr:colOff>
      <xdr:row>72</xdr:row>
      <xdr:rowOff>60476</xdr:rowOff>
    </xdr:to>
    <xdr:graphicFrame macro="">
      <xdr:nvGraphicFramePr>
        <xdr:cNvPr id="7" name="Chart 6">
          <a:extLst>
            <a:ext uri="{FF2B5EF4-FFF2-40B4-BE49-F238E27FC236}">
              <a16:creationId xmlns:a16="http://schemas.microsoft.com/office/drawing/2014/main" id="{0F6CEABF-ECCB-44A6-D80D-729C62793A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219075</xdr:colOff>
      <xdr:row>36</xdr:row>
      <xdr:rowOff>13587</xdr:rowOff>
    </xdr:from>
    <xdr:to>
      <xdr:col>7</xdr:col>
      <xdr:colOff>501464</xdr:colOff>
      <xdr:row>51</xdr:row>
      <xdr:rowOff>42162</xdr:rowOff>
    </xdr:to>
    <xdr:graphicFrame macro="">
      <xdr:nvGraphicFramePr>
        <xdr:cNvPr id="253" name="Chart 1" descr="Chart type: Clustered Column. 'Field2'&#10;&#10;Description automatically generated">
          <a:extLst>
            <a:ext uri="{FF2B5EF4-FFF2-40B4-BE49-F238E27FC236}">
              <a16:creationId xmlns:a16="http://schemas.microsoft.com/office/drawing/2014/main" id="{88CBA89E-C40B-3EB0-4EC2-4F677D98B3A2}"/>
            </a:ext>
            <a:ext uri="{147F2762-F138-4A5C-976F-8EAC2B608ADB}">
              <a16:predDERef xmlns:a16="http://schemas.microsoft.com/office/drawing/2014/main" pred="{EF56DF48-6FB9-BA01-74D4-07D0B6942E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102995</xdr:colOff>
      <xdr:row>7</xdr:row>
      <xdr:rowOff>30047</xdr:rowOff>
    </xdr:from>
    <xdr:to>
      <xdr:col>9</xdr:col>
      <xdr:colOff>214507</xdr:colOff>
      <xdr:row>21</xdr:row>
      <xdr:rowOff>171296</xdr:rowOff>
    </xdr:to>
    <xdr:graphicFrame macro="">
      <xdr:nvGraphicFramePr>
        <xdr:cNvPr id="245" name="Chart 74">
          <a:extLst>
            <a:ext uri="{FF2B5EF4-FFF2-40B4-BE49-F238E27FC236}">
              <a16:creationId xmlns:a16="http://schemas.microsoft.com/office/drawing/2014/main" id="{0D0161C0-68C9-F4A1-D5FD-684A3684F141}"/>
            </a:ext>
            <a:ext uri="{147F2762-F138-4A5C-976F-8EAC2B608ADB}">
              <a16:predDERef xmlns:a16="http://schemas.microsoft.com/office/drawing/2014/main" pred="{88CBA89E-C40B-3EB0-4EC2-4F677D98B3A2}"/>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246199</xdr:colOff>
      <xdr:row>60</xdr:row>
      <xdr:rowOff>17808</xdr:rowOff>
    </xdr:from>
    <xdr:to>
      <xdr:col>7</xdr:col>
      <xdr:colOff>255724</xdr:colOff>
      <xdr:row>74</xdr:row>
      <xdr:rowOff>94008</xdr:rowOff>
    </xdr:to>
    <xdr:graphicFrame macro="">
      <xdr:nvGraphicFramePr>
        <xdr:cNvPr id="340" name="Chart 8">
          <a:extLst>
            <a:ext uri="{FF2B5EF4-FFF2-40B4-BE49-F238E27FC236}">
              <a16:creationId xmlns:a16="http://schemas.microsoft.com/office/drawing/2014/main" id="{093D4385-370B-A037-074C-008BD82E53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222594</xdr:colOff>
      <xdr:row>81</xdr:row>
      <xdr:rowOff>31474</xdr:rowOff>
    </xdr:from>
    <xdr:to>
      <xdr:col>7</xdr:col>
      <xdr:colOff>227564</xdr:colOff>
      <xdr:row>95</xdr:row>
      <xdr:rowOff>107674</xdr:rowOff>
    </xdr:to>
    <xdr:graphicFrame macro="">
      <xdr:nvGraphicFramePr>
        <xdr:cNvPr id="48" name="Chart 10">
          <a:extLst>
            <a:ext uri="{FF2B5EF4-FFF2-40B4-BE49-F238E27FC236}">
              <a16:creationId xmlns:a16="http://schemas.microsoft.com/office/drawing/2014/main" id="{FADD368C-C20C-06B5-49EE-8464EB4518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100011</xdr:colOff>
      <xdr:row>103</xdr:row>
      <xdr:rowOff>9525</xdr:rowOff>
    </xdr:from>
    <xdr:to>
      <xdr:col>8</xdr:col>
      <xdr:colOff>228599</xdr:colOff>
      <xdr:row>117</xdr:row>
      <xdr:rowOff>85725</xdr:rowOff>
    </xdr:to>
    <xdr:graphicFrame macro="">
      <xdr:nvGraphicFramePr>
        <xdr:cNvPr id="98" name="Chart 11">
          <a:extLst>
            <a:ext uri="{FF2B5EF4-FFF2-40B4-BE49-F238E27FC236}">
              <a16:creationId xmlns:a16="http://schemas.microsoft.com/office/drawing/2014/main" id="{AC81A075-C181-7966-3CE3-299C0F3FA0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61912</xdr:colOff>
      <xdr:row>123</xdr:row>
      <xdr:rowOff>57150</xdr:rowOff>
    </xdr:from>
    <xdr:to>
      <xdr:col>7</xdr:col>
      <xdr:colOff>71437</xdr:colOff>
      <xdr:row>137</xdr:row>
      <xdr:rowOff>133350</xdr:rowOff>
    </xdr:to>
    <xdr:graphicFrame macro="">
      <xdr:nvGraphicFramePr>
        <xdr:cNvPr id="241" name="Chart 15">
          <a:extLst>
            <a:ext uri="{FF2B5EF4-FFF2-40B4-BE49-F238E27FC236}">
              <a16:creationId xmlns:a16="http://schemas.microsoft.com/office/drawing/2014/main" id="{262E29D4-A666-6F0B-8D2A-790FBC8A07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418837</xdr:colOff>
      <xdr:row>129</xdr:row>
      <xdr:rowOff>169787</xdr:rowOff>
    </xdr:from>
    <xdr:to>
      <xdr:col>4</xdr:col>
      <xdr:colOff>446172</xdr:colOff>
      <xdr:row>130</xdr:row>
      <xdr:rowOff>120091</xdr:rowOff>
    </xdr:to>
    <xdr:sp macro="" textlink="">
      <xdr:nvSpPr>
        <xdr:cNvPr id="239" name="TextBox 16">
          <a:extLst>
            <a:ext uri="{FF2B5EF4-FFF2-40B4-BE49-F238E27FC236}">
              <a16:creationId xmlns:a16="http://schemas.microsoft.com/office/drawing/2014/main" id="{E688F966-25CF-C0DC-53FF-60D03F2DB7DA}"/>
            </a:ext>
          </a:extLst>
        </xdr:cNvPr>
        <xdr:cNvSpPr txBox="1"/>
      </xdr:nvSpPr>
      <xdr:spPr>
        <a:xfrm>
          <a:off x="2489271" y="24744287"/>
          <a:ext cx="638940" cy="14080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700"/>
            <a:t>19.7% CAGR</a:t>
          </a:r>
        </a:p>
      </xdr:txBody>
    </xdr:sp>
    <xdr:clientData/>
  </xdr:twoCellAnchor>
</xdr:wsDr>
</file>

<file path=xl/drawings/drawing12.xml><?xml version="1.0" encoding="utf-8"?>
<c:userShapes xmlns:c="http://schemas.openxmlformats.org/drawingml/2006/chart">
  <cdr:relSizeAnchor xmlns:cdr="http://schemas.openxmlformats.org/drawingml/2006/chartDrawing">
    <cdr:from>
      <cdr:x>0.73571</cdr:x>
      <cdr:y>0.03489</cdr:y>
    </cdr:from>
    <cdr:to>
      <cdr:x>0.82876</cdr:x>
      <cdr:y>0.08392</cdr:y>
    </cdr:to>
    <cdr:sp macro="" textlink="">
      <cdr:nvSpPr>
        <cdr:cNvPr id="2" name="TextBox 1">
          <a:extLst xmlns:a="http://schemas.openxmlformats.org/drawingml/2006/main">
            <a:ext uri="{FF2B5EF4-FFF2-40B4-BE49-F238E27FC236}">
              <a16:creationId xmlns:a16="http://schemas.microsoft.com/office/drawing/2014/main" id="{F0D7500F-4B81-1B89-8038-96D64B2514C3}"/>
            </a:ext>
          </a:extLst>
        </cdr:cNvPr>
        <cdr:cNvSpPr txBox="1"/>
      </cdr:nvSpPr>
      <cdr:spPr>
        <a:xfrm xmlns:a="http://schemas.openxmlformats.org/drawingml/2006/main">
          <a:off x="3571874" y="100692"/>
          <a:ext cx="451758" cy="14151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AU" sz="1100" kern="1200"/>
        </a:p>
      </cdr:txBody>
    </cdr:sp>
  </cdr:relSizeAnchor>
  <cdr:relSizeAnchor xmlns:cdr="http://schemas.openxmlformats.org/drawingml/2006/chartDrawing">
    <cdr:from>
      <cdr:x>0.64041</cdr:x>
      <cdr:y>0.0462</cdr:y>
    </cdr:from>
    <cdr:to>
      <cdr:x>0.74804</cdr:x>
      <cdr:y>0.09712</cdr:y>
    </cdr:to>
    <cdr:sp macro="" textlink="">
      <cdr:nvSpPr>
        <cdr:cNvPr id="4" name="TextBox 3">
          <a:extLst xmlns:a="http://schemas.openxmlformats.org/drawingml/2006/main">
            <a:ext uri="{FF2B5EF4-FFF2-40B4-BE49-F238E27FC236}">
              <a16:creationId xmlns:a16="http://schemas.microsoft.com/office/drawing/2014/main" id="{7D6E2510-654A-E77C-D602-365EE403C8E0}"/>
            </a:ext>
          </a:extLst>
        </cdr:cNvPr>
        <cdr:cNvSpPr txBox="1"/>
      </cdr:nvSpPr>
      <cdr:spPr>
        <a:xfrm xmlns:a="http://schemas.openxmlformats.org/drawingml/2006/main">
          <a:off x="3109231" y="133349"/>
          <a:ext cx="522515" cy="14695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AU" sz="1100" kern="1200"/>
        </a:p>
      </cdr:txBody>
    </cdr:sp>
  </cdr:relSizeAnchor>
  <cdr:relSizeAnchor xmlns:cdr="http://schemas.openxmlformats.org/drawingml/2006/chartDrawing">
    <cdr:from>
      <cdr:x>0.62178</cdr:x>
      <cdr:y>0.0541</cdr:y>
    </cdr:from>
    <cdr:to>
      <cdr:x>0.64622</cdr:x>
      <cdr:y>0.09231</cdr:y>
    </cdr:to>
    <cdr:sp macro="" textlink="">
      <cdr:nvSpPr>
        <cdr:cNvPr id="5" name="TextBox 4">
          <a:extLst xmlns:a="http://schemas.openxmlformats.org/drawingml/2006/main">
            <a:ext uri="{FF2B5EF4-FFF2-40B4-BE49-F238E27FC236}">
              <a16:creationId xmlns:a16="http://schemas.microsoft.com/office/drawing/2014/main" id="{D85405EB-897E-3044-6A84-C74879201826}"/>
            </a:ext>
          </a:extLst>
        </cdr:cNvPr>
        <cdr:cNvSpPr txBox="1"/>
      </cdr:nvSpPr>
      <cdr:spPr>
        <a:xfrm xmlns:a="http://schemas.openxmlformats.org/drawingml/2006/main">
          <a:off x="3007378" y="156123"/>
          <a:ext cx="118181" cy="110290"/>
        </a:xfrm>
        <a:prstGeom xmlns:a="http://schemas.openxmlformats.org/drawingml/2006/main" prst="rect">
          <a:avLst/>
        </a:prstGeom>
        <a:solidFill xmlns:a="http://schemas.openxmlformats.org/drawingml/2006/main">
          <a:srgbClr val="004AAC"/>
        </a:solidFill>
      </cdr:spPr>
      <cdr:txBody>
        <a:bodyPr xmlns:a="http://schemas.openxmlformats.org/drawingml/2006/main" vertOverflow="clip" wrap="square" rtlCol="0"/>
        <a:lstStyle xmlns:a="http://schemas.openxmlformats.org/drawingml/2006/main"/>
        <a:p xmlns:a="http://schemas.openxmlformats.org/drawingml/2006/main">
          <a:endParaRPr lang="en-AU" sz="1100" kern="1200">
            <a:solidFill>
              <a:sysClr val="windowText" lastClr="000000"/>
            </a:solidFill>
          </a:endParaRPr>
        </a:p>
      </cdr:txBody>
    </cdr:sp>
  </cdr:relSizeAnchor>
  <cdr:relSizeAnchor xmlns:cdr="http://schemas.openxmlformats.org/drawingml/2006/chartDrawing">
    <cdr:from>
      <cdr:x>0.63182</cdr:x>
      <cdr:y>0.03121</cdr:y>
    </cdr:from>
    <cdr:to>
      <cdr:x>0.78008</cdr:x>
      <cdr:y>0.10099</cdr:y>
    </cdr:to>
    <cdr:sp macro="" textlink="">
      <cdr:nvSpPr>
        <cdr:cNvPr id="6" name="TextBox 5">
          <a:extLst xmlns:a="http://schemas.openxmlformats.org/drawingml/2006/main">
            <a:ext uri="{FF2B5EF4-FFF2-40B4-BE49-F238E27FC236}">
              <a16:creationId xmlns:a16="http://schemas.microsoft.com/office/drawing/2014/main" id="{CF55FCB3-FDB6-2758-4529-B43543B0EDFC}"/>
            </a:ext>
          </a:extLst>
        </cdr:cNvPr>
        <cdr:cNvSpPr txBox="1"/>
      </cdr:nvSpPr>
      <cdr:spPr>
        <a:xfrm xmlns:a="http://schemas.openxmlformats.org/drawingml/2006/main">
          <a:off x="3055937" y="90073"/>
          <a:ext cx="717066" cy="20138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AU" sz="900" kern="1200"/>
            <a:t>Collections</a:t>
          </a:r>
        </a:p>
      </cdr:txBody>
    </cdr:sp>
  </cdr:relSizeAnchor>
  <cdr:relSizeAnchor xmlns:cdr="http://schemas.openxmlformats.org/drawingml/2006/chartDrawing">
    <cdr:from>
      <cdr:x>0.78579</cdr:x>
      <cdr:y>0.03497</cdr:y>
    </cdr:from>
    <cdr:to>
      <cdr:x>1</cdr:x>
      <cdr:y>0.10475</cdr:y>
    </cdr:to>
    <cdr:sp macro="" textlink="">
      <cdr:nvSpPr>
        <cdr:cNvPr id="8" name="TextBox 1">
          <a:extLst xmlns:a="http://schemas.openxmlformats.org/drawingml/2006/main">
            <a:ext uri="{FF2B5EF4-FFF2-40B4-BE49-F238E27FC236}">
              <a16:creationId xmlns:a16="http://schemas.microsoft.com/office/drawing/2014/main" id="{E4C338C2-46FB-3320-51BC-55633891F650}"/>
            </a:ext>
          </a:extLst>
        </cdr:cNvPr>
        <cdr:cNvSpPr txBox="1"/>
      </cdr:nvSpPr>
      <cdr:spPr>
        <a:xfrm xmlns:a="http://schemas.openxmlformats.org/drawingml/2006/main">
          <a:off x="3800641" y="100933"/>
          <a:ext cx="1036054" cy="201386"/>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AU" sz="900" kern="1200"/>
            <a:t>Atlassian Platform</a:t>
          </a:r>
        </a:p>
      </cdr:txBody>
    </cdr:sp>
  </cdr:relSizeAnchor>
  <cdr:relSizeAnchor xmlns:cdr="http://schemas.openxmlformats.org/drawingml/2006/chartDrawing">
    <cdr:from>
      <cdr:x>0.77336</cdr:x>
      <cdr:y>0.05408</cdr:y>
    </cdr:from>
    <cdr:to>
      <cdr:x>0.79779</cdr:x>
      <cdr:y>0.09229</cdr:y>
    </cdr:to>
    <cdr:sp macro="" textlink="">
      <cdr:nvSpPr>
        <cdr:cNvPr id="10" name="TextBox 1">
          <a:extLst xmlns:a="http://schemas.openxmlformats.org/drawingml/2006/main">
            <a:ext uri="{FF2B5EF4-FFF2-40B4-BE49-F238E27FC236}">
              <a16:creationId xmlns:a16="http://schemas.microsoft.com/office/drawing/2014/main" id="{54FBAC5E-AC6C-8252-D697-E73F885C57C8}"/>
            </a:ext>
          </a:extLst>
        </cdr:cNvPr>
        <cdr:cNvSpPr txBox="1"/>
      </cdr:nvSpPr>
      <cdr:spPr>
        <a:xfrm xmlns:a="http://schemas.openxmlformats.org/drawingml/2006/main">
          <a:off x="3740484" y="156076"/>
          <a:ext cx="118181" cy="110290"/>
        </a:xfrm>
        <a:prstGeom xmlns:a="http://schemas.openxmlformats.org/drawingml/2006/main" prst="rect">
          <a:avLst/>
        </a:prstGeom>
        <a:solidFill xmlns:a="http://schemas.openxmlformats.org/drawingml/2006/main">
          <a:srgbClr val="0067ED"/>
        </a:solidFill>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endParaRPr lang="en-AU" sz="1100" kern="1200">
            <a:solidFill>
              <a:sysClr val="windowText" lastClr="000000"/>
            </a:solidFill>
          </a:endParaRPr>
        </a:p>
      </cdr:txBody>
    </cdr:sp>
  </cdr:relSizeAnchor>
</c:userShapes>
</file>

<file path=xl/drawings/drawing13.xml><?xml version="1.0" encoding="utf-8"?>
<c:userShapes xmlns:c="http://schemas.openxmlformats.org/drawingml/2006/chart">
  <cdr:relSizeAnchor xmlns:cdr="http://schemas.openxmlformats.org/drawingml/2006/chartDrawing">
    <cdr:from>
      <cdr:x>0.0599</cdr:x>
      <cdr:y>0.22685</cdr:y>
    </cdr:from>
    <cdr:to>
      <cdr:x>0.26961</cdr:x>
      <cdr:y>0.32045</cdr:y>
    </cdr:to>
    <cdr:sp macro="" textlink="">
      <cdr:nvSpPr>
        <cdr:cNvPr id="2" name="TextBox 9">
          <a:extLst xmlns:a="http://schemas.openxmlformats.org/drawingml/2006/main">
            <a:ext uri="{FF2B5EF4-FFF2-40B4-BE49-F238E27FC236}">
              <a16:creationId xmlns:a16="http://schemas.microsoft.com/office/drawing/2014/main" id="{0493DE9C-9F41-0092-8E02-ABA76170BEA6}"/>
            </a:ext>
          </a:extLst>
        </cdr:cNvPr>
        <cdr:cNvSpPr txBox="1"/>
      </cdr:nvSpPr>
      <cdr:spPr>
        <a:xfrm xmlns:a="http://schemas.openxmlformats.org/drawingml/2006/main">
          <a:off x="274430" y="622300"/>
          <a:ext cx="960783" cy="256761"/>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AU" sz="900"/>
            <a:t>150K</a:t>
          </a:r>
          <a:r>
            <a:rPr lang="en-AU" sz="900" baseline="0"/>
            <a:t> customers</a:t>
          </a:r>
          <a:endParaRPr lang="en-AU" sz="900"/>
        </a:p>
      </cdr:txBody>
    </cdr:sp>
  </cdr:relSizeAnchor>
  <cdr:relSizeAnchor xmlns:cdr="http://schemas.openxmlformats.org/drawingml/2006/chartDrawing">
    <cdr:from>
      <cdr:x>0.05809</cdr:x>
      <cdr:y>0.51671</cdr:y>
    </cdr:from>
    <cdr:to>
      <cdr:x>0.2678</cdr:x>
      <cdr:y>0.61031</cdr:y>
    </cdr:to>
    <cdr:sp macro="" textlink="">
      <cdr:nvSpPr>
        <cdr:cNvPr id="3" name="TextBox 9">
          <a:extLst xmlns:a="http://schemas.openxmlformats.org/drawingml/2006/main">
            <a:ext uri="{FF2B5EF4-FFF2-40B4-BE49-F238E27FC236}">
              <a16:creationId xmlns:a16="http://schemas.microsoft.com/office/drawing/2014/main" id="{EA62A657-D2F2-5EA8-9BF7-EDDF8A246BA3}"/>
            </a:ext>
          </a:extLst>
        </cdr:cNvPr>
        <cdr:cNvSpPr txBox="1"/>
      </cdr:nvSpPr>
      <cdr:spPr>
        <a:xfrm xmlns:a="http://schemas.openxmlformats.org/drawingml/2006/main">
          <a:off x="266147" y="1417430"/>
          <a:ext cx="960783" cy="256761"/>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AU" sz="900"/>
            <a:t>&gt;65K</a:t>
          </a:r>
          <a:r>
            <a:rPr lang="en-AU" sz="900" baseline="0"/>
            <a:t> customers</a:t>
          </a:r>
          <a:endParaRPr lang="en-AU" sz="900"/>
        </a:p>
      </cdr:txBody>
    </cdr:sp>
  </cdr:relSizeAnchor>
  <cdr:relSizeAnchor xmlns:cdr="http://schemas.openxmlformats.org/drawingml/2006/chartDrawing">
    <cdr:from>
      <cdr:x>0.05654</cdr:x>
      <cdr:y>0.75523</cdr:y>
    </cdr:from>
    <cdr:to>
      <cdr:x>0.27503</cdr:x>
      <cdr:y>0.84883</cdr:y>
    </cdr:to>
    <cdr:sp macro="" textlink="">
      <cdr:nvSpPr>
        <cdr:cNvPr id="4" name="TextBox 9">
          <a:extLst xmlns:a="http://schemas.openxmlformats.org/drawingml/2006/main">
            <a:ext uri="{FF2B5EF4-FFF2-40B4-BE49-F238E27FC236}">
              <a16:creationId xmlns:a16="http://schemas.microsoft.com/office/drawing/2014/main" id="{A18D355D-0B2A-B04B-7273-56B047B98D97}"/>
            </a:ext>
          </a:extLst>
        </cdr:cNvPr>
        <cdr:cNvSpPr txBox="1"/>
      </cdr:nvSpPr>
      <cdr:spPr>
        <a:xfrm xmlns:a="http://schemas.openxmlformats.org/drawingml/2006/main">
          <a:off x="259040" y="2071756"/>
          <a:ext cx="1001021" cy="256761"/>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AU" sz="900"/>
            <a:t>&gt;100K</a:t>
          </a:r>
          <a:r>
            <a:rPr lang="en-AU" sz="900" baseline="0"/>
            <a:t> customers</a:t>
          </a:r>
          <a:endParaRPr lang="en-AU" sz="900"/>
        </a:p>
      </cdr:txBody>
    </cdr:sp>
  </cdr:relSizeAnchor>
</c:userShapes>
</file>

<file path=xl/drawings/drawing14.xml><?xml version="1.0" encoding="utf-8"?>
<c:userShapes xmlns:c="http://schemas.openxmlformats.org/drawingml/2006/chart">
  <cdr:relSizeAnchor xmlns:cdr="http://schemas.openxmlformats.org/drawingml/2006/chartDrawing">
    <cdr:from>
      <cdr:x>0.16128</cdr:x>
      <cdr:y>0.86715</cdr:y>
    </cdr:from>
    <cdr:to>
      <cdr:x>0.30786</cdr:x>
      <cdr:y>0.95471</cdr:y>
    </cdr:to>
    <cdr:sp macro="" textlink="">
      <cdr:nvSpPr>
        <cdr:cNvPr id="2" name="TextBox 1">
          <a:extLst xmlns:a="http://schemas.openxmlformats.org/drawingml/2006/main">
            <a:ext uri="{FF2B5EF4-FFF2-40B4-BE49-F238E27FC236}">
              <a16:creationId xmlns:a16="http://schemas.microsoft.com/office/drawing/2014/main" id="{717F9CE9-017E-DE74-6D16-9996C6046312}"/>
            </a:ext>
          </a:extLst>
        </cdr:cNvPr>
        <cdr:cNvSpPr txBox="1"/>
      </cdr:nvSpPr>
      <cdr:spPr>
        <a:xfrm xmlns:a="http://schemas.openxmlformats.org/drawingml/2006/main">
          <a:off x="738188" y="2378766"/>
          <a:ext cx="670891" cy="24019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AU" sz="1100" kern="1200"/>
            <a:t>+16.5%</a:t>
          </a:r>
        </a:p>
      </cdr:txBody>
    </cdr:sp>
  </cdr:relSizeAnchor>
  <cdr:relSizeAnchor xmlns:cdr="http://schemas.openxmlformats.org/drawingml/2006/chartDrawing">
    <cdr:from>
      <cdr:x>0.45446</cdr:x>
      <cdr:y>0.86393</cdr:y>
    </cdr:from>
    <cdr:to>
      <cdr:x>0.60104</cdr:x>
      <cdr:y>0.95149</cdr:y>
    </cdr:to>
    <cdr:sp macro="" textlink="">
      <cdr:nvSpPr>
        <cdr:cNvPr id="3" name="TextBox 1">
          <a:extLst xmlns:a="http://schemas.openxmlformats.org/drawingml/2006/main">
            <a:ext uri="{FF2B5EF4-FFF2-40B4-BE49-F238E27FC236}">
              <a16:creationId xmlns:a16="http://schemas.microsoft.com/office/drawing/2014/main" id="{7EC359EF-F989-2641-FB59-712914A75C47}"/>
            </a:ext>
          </a:extLst>
        </cdr:cNvPr>
        <cdr:cNvSpPr txBox="1"/>
      </cdr:nvSpPr>
      <cdr:spPr>
        <a:xfrm xmlns:a="http://schemas.openxmlformats.org/drawingml/2006/main">
          <a:off x="2080039" y="2369930"/>
          <a:ext cx="670891" cy="240196"/>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AU" sz="1100" kern="1200"/>
            <a:t>+17.9%</a:t>
          </a:r>
        </a:p>
      </cdr:txBody>
    </cdr:sp>
  </cdr:relSizeAnchor>
  <cdr:relSizeAnchor xmlns:cdr="http://schemas.openxmlformats.org/drawingml/2006/chartDrawing">
    <cdr:from>
      <cdr:x>0.75124</cdr:x>
      <cdr:y>0.86695</cdr:y>
    </cdr:from>
    <cdr:to>
      <cdr:x>0.89782</cdr:x>
      <cdr:y>0.95451</cdr:y>
    </cdr:to>
    <cdr:sp macro="" textlink="">
      <cdr:nvSpPr>
        <cdr:cNvPr id="4" name="TextBox 1">
          <a:extLst xmlns:a="http://schemas.openxmlformats.org/drawingml/2006/main">
            <a:ext uri="{FF2B5EF4-FFF2-40B4-BE49-F238E27FC236}">
              <a16:creationId xmlns:a16="http://schemas.microsoft.com/office/drawing/2014/main" id="{EEE15FF4-44F5-77E0-9F0F-EA9B6ED1828F}"/>
            </a:ext>
          </a:extLst>
        </cdr:cNvPr>
        <cdr:cNvSpPr txBox="1"/>
      </cdr:nvSpPr>
      <cdr:spPr>
        <a:xfrm xmlns:a="http://schemas.openxmlformats.org/drawingml/2006/main">
          <a:off x="3438387" y="2378213"/>
          <a:ext cx="670891" cy="240196"/>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AU" sz="1100" kern="1200"/>
            <a:t>+24.0%</a:t>
          </a:r>
        </a:p>
      </cdr:txBody>
    </cdr:sp>
  </cdr:relSizeAnchor>
</c:userShapes>
</file>

<file path=xl/drawings/drawing15.xml><?xml version="1.0" encoding="utf-8"?>
<c:userShapes xmlns:c="http://schemas.openxmlformats.org/drawingml/2006/chart">
  <cdr:relSizeAnchor xmlns:cdr="http://schemas.openxmlformats.org/drawingml/2006/chartDrawing">
    <cdr:from>
      <cdr:x>0.52751</cdr:x>
      <cdr:y>0.52092</cdr:y>
    </cdr:from>
    <cdr:to>
      <cdr:x>0.67575</cdr:x>
      <cdr:y>0.52092</cdr:y>
    </cdr:to>
    <cdr:cxnSp macro="">
      <cdr:nvCxnSpPr>
        <cdr:cNvPr id="3" name="Straight Connector 2">
          <a:extLst xmlns:a="http://schemas.openxmlformats.org/drawingml/2006/main">
            <a:ext uri="{FF2B5EF4-FFF2-40B4-BE49-F238E27FC236}">
              <a16:creationId xmlns:a16="http://schemas.microsoft.com/office/drawing/2014/main" id="{2095429B-D043-9222-5F0E-CF0416904D19}"/>
            </a:ext>
          </a:extLst>
        </cdr:cNvPr>
        <cdr:cNvCxnSpPr/>
      </cdr:nvCxnSpPr>
      <cdr:spPr>
        <a:xfrm xmlns:a="http://schemas.openxmlformats.org/drawingml/2006/main">
          <a:off x="2403592" y="1428989"/>
          <a:ext cx="675450" cy="0"/>
        </a:xfrm>
        <a:prstGeom xmlns:a="http://schemas.openxmlformats.org/drawingml/2006/main" prst="line">
          <a:avLst/>
        </a:prstGeom>
        <a:ln xmlns:a="http://schemas.openxmlformats.org/drawingml/2006/main" w="19050" cap="flat" cmpd="sng" algn="ctr">
          <a:solidFill>
            <a:schemeClr val="tx1">
              <a:lumMod val="75000"/>
              <a:lumOff val="25000"/>
            </a:schemeClr>
          </a:solidFill>
          <a:prstDash val="dash"/>
          <a:round/>
          <a:headEnd type="none" w="med" len="med"/>
          <a:tailEnd type="none" w="med" len="med"/>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cxnSp>
  </cdr:relSizeAnchor>
</c:userShapes>
</file>

<file path=xl/drawings/drawing16.xml><?xml version="1.0" encoding="utf-8"?>
<xdr:wsDr xmlns:xdr="http://schemas.openxmlformats.org/drawingml/2006/spreadsheetDrawing" xmlns:a="http://schemas.openxmlformats.org/drawingml/2006/main">
  <xdr:twoCellAnchor>
    <xdr:from>
      <xdr:col>13</xdr:col>
      <xdr:colOff>597202</xdr:colOff>
      <xdr:row>10</xdr:row>
      <xdr:rowOff>84793</xdr:rowOff>
    </xdr:from>
    <xdr:to>
      <xdr:col>24</xdr:col>
      <xdr:colOff>24019</xdr:colOff>
      <xdr:row>24</xdr:row>
      <xdr:rowOff>81569</xdr:rowOff>
    </xdr:to>
    <xdr:sp macro="" textlink="">
      <xdr:nvSpPr>
        <xdr:cNvPr id="5" name="TextBox 1">
          <a:extLst>
            <a:ext uri="{FF2B5EF4-FFF2-40B4-BE49-F238E27FC236}">
              <a16:creationId xmlns:a16="http://schemas.microsoft.com/office/drawing/2014/main" id="{844DDDB0-8F46-4A69-9061-B1A0FBC1CA59}"/>
            </a:ext>
          </a:extLst>
        </xdr:cNvPr>
        <xdr:cNvSpPr txBox="1"/>
      </xdr:nvSpPr>
      <xdr:spPr>
        <a:xfrm>
          <a:off x="10063406" y="1625256"/>
          <a:ext cx="8069872" cy="213696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900" i="0"/>
            <a:t>Revenue depression (FY27): FY'27 growth of 13.60% was depressed due to FY'26 comparison base, which was inflated due to upfront Data Center revenue recognition of $50M with the EOL announcement (Q3 FY'26 Earnings Call). This inflates revenue in FY'26 and subtracts from revenue available in FY'27. The Data Center wind down is roughly revenue neutral (churn of 2.2% is offset by migration and uplift). Cloud organic growth of 20% reflects deceleration from the current implied organic rate of 21% -23% (Q3 FY'26 reported Cloud growth of 29% YoY, less management's expected mid-to-high single digits increase from migration on cloud growth), reflective of the markets general perception of revenue normalisation. Additionally, expansion mid-migration is temporarily suppressed until re-platforming is complete. Growth reaccelerates in FY'28 &amp; FY'29, as organic expansion recovers and the declining Data Center segment loses its weight in revenue growth.</a:t>
          </a:r>
        </a:p>
        <a:p>
          <a:endParaRPr lang="en-AU" sz="900" i="0" baseline="0"/>
        </a:p>
        <a:p>
          <a:r>
            <a:rPr lang="en-AU" sz="900" i="0" baseline="0"/>
            <a:t>FY27 organic cloud growth is temporaily suppressed as Atlassian is currently mid-migration (data center to cloud) resulting in paused seat expansion and/or tier upgrades until replatforming is complete. FY28 cloud growth then recovers as Atlassian pivots to focus on regular expansion behaviour and  increasing NRR. </a:t>
          </a:r>
        </a:p>
        <a:p>
          <a:endParaRPr lang="en-AU" sz="900" i="0" baseline="0"/>
        </a:p>
        <a:p>
          <a:r>
            <a:rPr lang="en-AU" sz="900" i="0" baseline="0"/>
            <a:t>Churn Assumption: Our combined attrition rates (migration + churn) are derived from team consesus Data Center segment estimates spanning from FY'27 to FY'29 ($1565M/$1312M/$1191M). Churn rate is our assumption, based upon Atlassian's NRR of  &gt;120%, which has been sustained for four consecutive quarters, and Server EOL precedent (FY'22 to FY'24), during which the Server segment wound down to zero without interrupting total revenue growth.</a:t>
          </a:r>
        </a:p>
        <a:p>
          <a:r>
            <a:rPr lang="en-AU" sz="900" i="0" baseline="0"/>
            <a:t>Sources: Atlassian Q3 FY'26 Earnings Call ($50M pull-forward; migration contribution guidance); Atlassian Q3 FY'26 10-Q &amp; shareholder letter (NRR, segment history)</a:t>
          </a:r>
          <a:endParaRPr lang="en-AU" sz="900" i="0"/>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18</xdr:col>
      <xdr:colOff>479513</xdr:colOff>
      <xdr:row>11</xdr:row>
      <xdr:rowOff>112046</xdr:rowOff>
    </xdr:from>
    <xdr:to>
      <xdr:col>22</xdr:col>
      <xdr:colOff>802354</xdr:colOff>
      <xdr:row>29</xdr:row>
      <xdr:rowOff>77863</xdr:rowOff>
    </xdr:to>
    <xdr:graphicFrame macro="">
      <xdr:nvGraphicFramePr>
        <xdr:cNvPr id="2" name="Chart 1">
          <a:extLst>
            <a:ext uri="{FF2B5EF4-FFF2-40B4-BE49-F238E27FC236}">
              <a16:creationId xmlns:a16="http://schemas.microsoft.com/office/drawing/2014/main" id="{A4B932AB-1C38-A27D-EB3A-7B30F8B22A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6</xdr:col>
      <xdr:colOff>385380</xdr:colOff>
      <xdr:row>11</xdr:row>
      <xdr:rowOff>135612</xdr:rowOff>
    </xdr:from>
    <xdr:to>
      <xdr:col>15</xdr:col>
      <xdr:colOff>467127</xdr:colOff>
      <xdr:row>29</xdr:row>
      <xdr:rowOff>7298</xdr:rowOff>
    </xdr:to>
    <xdr:graphicFrame macro="">
      <xdr:nvGraphicFramePr>
        <xdr:cNvPr id="2" name="Chart 1">
          <a:extLst>
            <a:ext uri="{FF2B5EF4-FFF2-40B4-BE49-F238E27FC236}">
              <a16:creationId xmlns:a16="http://schemas.microsoft.com/office/drawing/2014/main" id="{D2B5EDF3-CACF-5F5A-574A-309D4646546E}"/>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editAs="oneCell">
    <xdr:from>
      <xdr:col>7</xdr:col>
      <xdr:colOff>0</xdr:colOff>
      <xdr:row>3</xdr:row>
      <xdr:rowOff>10801</xdr:rowOff>
    </xdr:from>
    <xdr:to>
      <xdr:col>13</xdr:col>
      <xdr:colOff>19844</xdr:colOff>
      <xdr:row>10</xdr:row>
      <xdr:rowOff>44049</xdr:rowOff>
    </xdr:to>
    <xdr:pic>
      <xdr:nvPicPr>
        <xdr:cNvPr id="12" name="Picture 1" descr="Overview - Logos - Atlassian Design">
          <a:extLst>
            <a:ext uri="{FF2B5EF4-FFF2-40B4-BE49-F238E27FC236}">
              <a16:creationId xmlns:a16="http://schemas.microsoft.com/office/drawing/2014/main" id="{55F5C259-7FC1-4AEC-B396-8AE73E3A4E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787078" y="621061"/>
          <a:ext cx="5124584" cy="141870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7</xdr:row>
      <xdr:rowOff>9845</xdr:rowOff>
    </xdr:from>
    <xdr:to>
      <xdr:col>6</xdr:col>
      <xdr:colOff>355819</xdr:colOff>
      <xdr:row>22</xdr:row>
      <xdr:rowOff>4922</xdr:rowOff>
    </xdr:to>
    <xdr:sp macro="" textlink="">
      <xdr:nvSpPr>
        <xdr:cNvPr id="1487" name="TextBox 1">
          <a:extLst>
            <a:ext uri="{FF2B5EF4-FFF2-40B4-BE49-F238E27FC236}">
              <a16:creationId xmlns:a16="http://schemas.microsoft.com/office/drawing/2014/main" id="{6D697165-2FEA-B3B4-3BEC-A63679E0B8D1}"/>
            </a:ext>
          </a:extLst>
        </xdr:cNvPr>
        <xdr:cNvSpPr txBox="1"/>
      </xdr:nvSpPr>
      <xdr:spPr>
        <a:xfrm>
          <a:off x="0" y="1304457"/>
          <a:ext cx="5785315" cy="221019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00" i="1"/>
            <a:t>Revenue depression (FY27):</a:t>
          </a:r>
          <a:r>
            <a:rPr lang="en-AU" sz="1000" i="1" baseline="0"/>
            <a:t> FY'27 growth of 13.60% was depressed due to FY'26 comparison base, which was inflated due to upfront Data Center revenue recognition of $50M </a:t>
          </a:r>
          <a:r>
            <a:rPr lang="en-AU" sz="1000" i="1" baseline="0">
              <a:solidFill>
                <a:schemeClr val="dk1"/>
              </a:solidFill>
              <a:effectLst/>
              <a:latin typeface="+mn-lt"/>
              <a:ea typeface="+mn-ea"/>
              <a:cs typeface="+mn-cs"/>
            </a:rPr>
            <a:t>with the EOL announcement </a:t>
          </a:r>
          <a:r>
            <a:rPr lang="en-AU" sz="1000" i="1" baseline="0"/>
            <a:t>(Q3 FY'26 Earnings Call). This inflates revenue in FY'26 and subtracts from revenue available in FY'27. The Data Center wind down is roughly revenue neutral (churn of 2.2% is offset by migration and uplift). Cloud organic growth of 20% reflects deacceleration from the current implied organic rate of 21% -23% (Q3 FY'26 reported Cloud growth of 29% YoY, less management's </a:t>
          </a:r>
          <a:r>
            <a:rPr lang="en-AU" sz="1000" i="1" baseline="0">
              <a:solidFill>
                <a:schemeClr val="dk1"/>
              </a:solidFill>
              <a:effectLst/>
              <a:latin typeface="+mn-lt"/>
              <a:ea typeface="+mn-ea"/>
              <a:cs typeface="+mn-cs"/>
            </a:rPr>
            <a:t>expected mid-to-high single digits increase from migration on cloud growth),</a:t>
          </a:r>
          <a:r>
            <a:rPr lang="en-AU" sz="1000" i="1" baseline="0"/>
            <a:t> reflective of the markets general perception of revenue normalisation. Additionally, expansion mid-migration is temporarily supressed until re-platforming is complete. Growth reaccelerates in FY'28 &amp; FY'29, as organic expansion recovers and the declining Data Center segment loses its weight in revenue growth</a:t>
          </a:r>
        </a:p>
        <a:p>
          <a:endParaRPr lang="en-AU" sz="1000" i="1" baseline="0"/>
        </a:p>
        <a:p>
          <a:r>
            <a:rPr lang="en-AU" sz="1000" i="1" baseline="0"/>
            <a:t>Churn Assumption: Our combined attrition rates (migration + churn) are dervied to reproduce FactSet consesus Data Center segment estimates spanning from FY'27 to FY'29 ($1565M/$1312M/$1191M). Churn rate is our assumption, based upon Atlassian's NRR of  &gt;120%, which has been sustained for four consecutive quarters, and Server EOL precedent (FY'22 to FY'24), during which the Server segment wound down to zero without interrupting total revenue growth.</a:t>
          </a:r>
        </a:p>
        <a:p>
          <a:r>
            <a:rPr lang="en-AU" sz="1000" i="1" baseline="0"/>
            <a:t>Sources: FactSet consesus estimates (segment data); Atlassian Q3 FY'26 Earnings Call ($50M pull-forward; migration contribution guidance); Atlassian Q3 FY'26 10-Q &amp; shareholder letter (NRR, segment history)</a:t>
          </a:r>
          <a:endParaRPr lang="en-AU" sz="1000" i="1"/>
        </a:p>
      </xdr:txBody>
    </xdr:sp>
    <xdr:clientData/>
  </xdr:twoCellAnchor>
  <xdr:oneCellAnchor>
    <xdr:from>
      <xdr:col>41</xdr:col>
      <xdr:colOff>20963</xdr:colOff>
      <xdr:row>19</xdr:row>
      <xdr:rowOff>177799</xdr:rowOff>
    </xdr:from>
    <xdr:ext cx="65" cy="172227"/>
    <xdr:sp macro="" textlink="">
      <xdr:nvSpPr>
        <xdr:cNvPr id="635" name="TextBox 2">
          <a:extLst>
            <a:ext uri="{FF2B5EF4-FFF2-40B4-BE49-F238E27FC236}">
              <a16:creationId xmlns:a16="http://schemas.microsoft.com/office/drawing/2014/main" id="{597024E7-63B4-01E7-3DC2-5BF5BEB9DCB3}"/>
            </a:ext>
          </a:extLst>
        </xdr:cNvPr>
        <xdr:cNvSpPr txBox="1"/>
      </xdr:nvSpPr>
      <xdr:spPr>
        <a:xfrm>
          <a:off x="33637710" y="3207438"/>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AU" sz="1100"/>
        </a:p>
      </xdr:txBody>
    </xdr:sp>
    <xdr:clientData/>
  </xdr:oneCellAnchor>
  <xdr:twoCellAnchor>
    <xdr:from>
      <xdr:col>14</xdr:col>
      <xdr:colOff>938695</xdr:colOff>
      <xdr:row>50</xdr:row>
      <xdr:rowOff>0</xdr:rowOff>
    </xdr:from>
    <xdr:to>
      <xdr:col>18</xdr:col>
      <xdr:colOff>41412</xdr:colOff>
      <xdr:row>53</xdr:row>
      <xdr:rowOff>41413</xdr:rowOff>
    </xdr:to>
    <xdr:sp macro="" textlink="">
      <xdr:nvSpPr>
        <xdr:cNvPr id="1467" name="Text Box 443">
          <a:extLst>
            <a:ext uri="{FF2B5EF4-FFF2-40B4-BE49-F238E27FC236}">
              <a16:creationId xmlns:a16="http://schemas.microsoft.com/office/drawing/2014/main" id="{045ECC6F-07AA-B0A1-520B-6B9F2D5380E5}"/>
            </a:ext>
          </a:extLst>
        </xdr:cNvPr>
        <xdr:cNvSpPr txBox="1">
          <a:spLocks noChangeArrowheads="1"/>
        </xdr:cNvSpPr>
      </xdr:nvSpPr>
      <xdr:spPr bwMode="auto">
        <a:xfrm>
          <a:off x="15005325" y="9221304"/>
          <a:ext cx="2505489" cy="579783"/>
        </a:xfrm>
        <a:prstGeom prst="rect">
          <a:avLst/>
        </a:prstGeom>
        <a:solidFill>
          <a:srgbClr val="FFFFFF"/>
        </a:solidFill>
        <a:ln w="9525">
          <a:solidFill>
            <a:srgbClr val="000000"/>
          </a:solidFill>
          <a:miter lim="800000"/>
          <a:headEnd/>
          <a:tailEnd/>
        </a:ln>
      </xdr:spPr>
      <xdr:txBody>
        <a:bodyPr vertOverflow="clip" wrap="square" lIns="36576" tIns="32004" rIns="0" bIns="0" anchor="t" upright="1"/>
        <a:lstStyle/>
        <a:p>
          <a:pPr algn="l" rtl="0">
            <a:defRPr sz="1000"/>
          </a:pPr>
          <a:r>
            <a:rPr lang="en-AU" sz="1100" b="0" i="0" u="none" strike="noStrike" baseline="0">
              <a:solidFill>
                <a:srgbClr val="000000"/>
              </a:solidFill>
              <a:latin typeface="Aptos Narrow"/>
            </a:rPr>
            <a:t>Restructuring charge is excluded for FY'26 as it is already baked into Atlassian's GAAP operating margin prediction of -2%</a:t>
          </a:r>
        </a:p>
      </xdr:txBody>
    </xdr:sp>
    <xdr:clientData/>
  </xdr:twoCellAnchor>
  <xdr:twoCellAnchor>
    <xdr:from>
      <xdr:col>15</xdr:col>
      <xdr:colOff>17445</xdr:colOff>
      <xdr:row>107</xdr:row>
      <xdr:rowOff>57080</xdr:rowOff>
    </xdr:from>
    <xdr:to>
      <xdr:col>17</xdr:col>
      <xdr:colOff>987782</xdr:colOff>
      <xdr:row>112</xdr:row>
      <xdr:rowOff>31716</xdr:rowOff>
    </xdr:to>
    <xdr:sp macro="" textlink="">
      <xdr:nvSpPr>
        <xdr:cNvPr id="639" name="TextBox 1">
          <a:extLst>
            <a:ext uri="{FF2B5EF4-FFF2-40B4-BE49-F238E27FC236}">
              <a16:creationId xmlns:a16="http://schemas.microsoft.com/office/drawing/2014/main" id="{9691F32D-B7E2-698D-6275-37440546C173}"/>
            </a:ext>
          </a:extLst>
        </xdr:cNvPr>
        <xdr:cNvSpPr txBox="1"/>
      </xdr:nvSpPr>
      <xdr:spPr>
        <a:xfrm>
          <a:off x="12881546" y="20840844"/>
          <a:ext cx="2161854" cy="93783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a:t>PPE components</a:t>
          </a:r>
          <a:r>
            <a:rPr lang="en-AU" sz="1100" baseline="0"/>
            <a:t> forecasted as a historical % of gross PPE excluding operating lease ROU assets (G84-G86)</a:t>
          </a:r>
        </a:p>
        <a:p>
          <a:endParaRPr lang="en-AU" sz="1100"/>
        </a:p>
      </xdr:txBody>
    </xdr:sp>
    <xdr:clientData/>
  </xdr:twoCellAnchor>
  <xdr:twoCellAnchor>
    <xdr:from>
      <xdr:col>15</xdr:col>
      <xdr:colOff>20293</xdr:colOff>
      <xdr:row>201</xdr:row>
      <xdr:rowOff>175869</xdr:rowOff>
    </xdr:from>
    <xdr:to>
      <xdr:col>19</xdr:col>
      <xdr:colOff>172997</xdr:colOff>
      <xdr:row>206</xdr:row>
      <xdr:rowOff>51519</xdr:rowOff>
    </xdr:to>
    <xdr:sp macro="" textlink="">
      <xdr:nvSpPr>
        <xdr:cNvPr id="613" name="TextBox 2">
          <a:extLst>
            <a:ext uri="{FF2B5EF4-FFF2-40B4-BE49-F238E27FC236}">
              <a16:creationId xmlns:a16="http://schemas.microsoft.com/office/drawing/2014/main" id="{AE7177C2-8E3E-BBCD-4079-A78ADAD9969E}"/>
            </a:ext>
          </a:extLst>
        </xdr:cNvPr>
        <xdr:cNvSpPr txBox="1"/>
      </xdr:nvSpPr>
      <xdr:spPr>
        <a:xfrm>
          <a:off x="13478994" y="36659505"/>
          <a:ext cx="3055561" cy="78279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a:t>Forecasted SBC, % of revenue declining from 21.5% to 15.5%, in line with mature software peers who run lower SBC ratios than Atlassian's current % </a:t>
          </a:r>
        </a:p>
      </xdr:txBody>
    </xdr:sp>
    <xdr:clientData/>
  </xdr:twoCellAnchor>
  <xdr:twoCellAnchor>
    <xdr:from>
      <xdr:col>14</xdr:col>
      <xdr:colOff>643247</xdr:colOff>
      <xdr:row>42</xdr:row>
      <xdr:rowOff>0</xdr:rowOff>
    </xdr:from>
    <xdr:to>
      <xdr:col>19</xdr:col>
      <xdr:colOff>346364</xdr:colOff>
      <xdr:row>45</xdr:row>
      <xdr:rowOff>8247</xdr:rowOff>
    </xdr:to>
    <xdr:sp macro="" textlink="">
      <xdr:nvSpPr>
        <xdr:cNvPr id="2" name="TextBox 1">
          <a:extLst>
            <a:ext uri="{FF2B5EF4-FFF2-40B4-BE49-F238E27FC236}">
              <a16:creationId xmlns:a16="http://schemas.microsoft.com/office/drawing/2014/main" id="{71FCBA31-4D79-0095-AFE9-02EC5C6FCC3D}"/>
            </a:ext>
          </a:extLst>
        </xdr:cNvPr>
        <xdr:cNvSpPr txBox="1"/>
      </xdr:nvSpPr>
      <xdr:spPr>
        <a:xfrm>
          <a:off x="13203052" y="7850909"/>
          <a:ext cx="3273961" cy="55253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a:t>R&amp;D forecasted as historical average in FY'26, then slowly reduces as firm revenue outpaces R&amp;D expense</a:t>
          </a:r>
        </a:p>
      </xdr:txBody>
    </xdr:sp>
    <xdr:clientData/>
  </xdr:two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imageurl">
      <keyFlags>
        <key name="Blip Identifier">
          <flag name="ShowInCardView" value="0"/>
        </key>
      </keyFlags>
    </type>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array.xml><?xml version="1.0" encoding="utf-8"?>
<arrayData xmlns="http://schemas.microsoft.com/office/spreadsheetml/2017/richdata2" count="5">
  <a r="1" c="15">
    <v t="i">2</v>
    <v t="i">3</v>
    <v t="i">4</v>
    <v t="i">5</v>
    <v t="i">6</v>
    <v t="i">9</v>
    <v t="i">10</v>
    <v t="i">11</v>
    <v t="i">12</v>
    <v t="i">13</v>
    <v t="i">16</v>
    <v t="i">17</v>
    <v t="i">18</v>
    <v t="i">19</v>
    <v t="i">20</v>
  </a>
  <a r="1" c="15">
    <v>158.34</v>
    <v>163</v>
    <v>174.23</v>
    <v>174.91</v>
    <v>171.81</v>
    <v>171.33</v>
    <v>166.49</v>
    <v>168.47</v>
    <v>185.62</v>
    <v>190.41499999999999</v>
    <v>194.17</v>
    <v>187.03</v>
    <v>186.44</v>
    <v>194.68</v>
    <v>189.58</v>
  </a>
  <a r="1" c="15">
    <v>161.6</v>
    <v>167.87</v>
    <v>176.15</v>
    <v>177.88</v>
    <v>176</v>
    <v>174.23410000000001</v>
    <v>172.1</v>
    <v>170</v>
    <v>185.73</v>
    <v>194.96</v>
    <v>197.3</v>
    <v>193.64500000000001</v>
    <v>192.87</v>
    <v>198.59989999999999</v>
    <v>193.42500000000001</v>
  </a>
  <a r="1" c="15">
    <v>156.55009999999999</v>
    <v>158.58000000000001</v>
    <v>161.5</v>
    <v>171.22</v>
    <v>168.01</v>
    <v>169.04</v>
    <v>165.1</v>
    <v>160.96199999999999</v>
    <v>168.73</v>
    <v>185</v>
    <v>187.67</v>
    <v>185.45</v>
    <v>184.73</v>
    <v>190.61</v>
    <v>186.54</v>
  </a>
  <a r="1" c="15">
    <v>3048946</v>
    <v>4888443</v>
    <v>6066916</v>
    <v>5458362</v>
    <v>3275677</v>
    <v>2584312</v>
    <v>2909953</v>
    <v>4127538</v>
    <v>6073950</v>
    <v>5224708</v>
    <v>5117290</v>
    <v>3891792</v>
    <v>3546782</v>
    <v>3359288</v>
    <v>2473769</v>
  </a>
</arrayData>
</file>

<file path=xl/richData/rdrichvalue.xml><?xml version="1.0" encoding="utf-8"?>
<rvData xmlns="http://schemas.microsoft.com/office/spreadsheetml/2017/richdata" count="107">
  <rv s="0">
    <v>https://www.bing.com/financeapi/forcetrigger?t=a243h7&amp;q=XNAS%3aTEAM&amp;form=skydnc</v>
    <v>Learn more on Bing</v>
  </rv>
  <rv s="1">
    <v>en-AU</v>
    <v>a243h7</v>
    <v>268435456</v>
    <v>1</v>
    <v>Powered by Refinitiv</v>
    <v>0</v>
    <v>ATLASSIAN CORPORATION (XNAS:TEAM)</v>
    <v>2</v>
    <v>3</v>
    <v>Finance</v>
    <v>4</v>
    <v>198.59989999999999</v>
    <v>56.010100000000001</v>
    <v>1.2272000000000001</v>
    <v>13.07</v>
    <v>-9.1820000000000009E-3</v>
    <v>7.2732000000000005E-2</v>
    <v>-1.77</v>
    <v>USD</v>
    <v>Atlassian Corporation is a provider of team collaboration and productivity software. The Company specializes in software development, work management, and enterprise service management software, which enables enterprises to connect their business and technology teams with an artificial intelligence (AI)-powered system of work. Its interconnected portfolio of apps, AI agents, and Collections, each with discrete value propositions, delivers solutions for software teams, IT operations and support teams, leadership, and business teams. Its apps, agents, and Collections are all built on the Atlassian Cloud Platform and data model: a common technology foundation that connects teams, information, and workflows throughout an organization. The Company's apps include Jira, Confluence, Loom, Jira Service Management, Rovo, Bitbucket, Compass, Jira Product Discovery, Jira Align, Focus and Talent. It operates the Dia and Arc browsers.</v>
    <v>13301</v>
    <v>Nasdaq Stock Market</v>
    <v>XNAS</v>
    <v>XNAS</v>
    <v>Level 6, 341 George Street,, SYDNEY, NEW SOUTH WALES, 2000 AU</v>
    <v>193.17</v>
    <v>Software &amp; IT Services</v>
    <v>Stock</v>
    <v>46279.998714015623</v>
    <v>0</v>
    <v>181.76</v>
    <v>48797566476</v>
    <v>ATLASSIAN CORPORATION</v>
    <v>ATLASSIAN CORPORATION</v>
    <v>186.29</v>
    <v>0</v>
    <v>179.7</v>
    <v>192.77</v>
    <v>191</v>
    <v>253138800</v>
    <v>TEAM</v>
    <v>ATLASSIAN CORPORATION (XNAS:TEAM)</v>
    <v>3737409</v>
    <v>4849628</v>
    <v>2022</v>
  </rv>
  <rv s="2">
    <v>1</v>
  </rv>
  <rv s="0">
    <v>https://www.bing.com/financeapi/forcetrigger?t=a1yoa2&amp;q=XNYS%3aNOW&amp;form=skydnc</v>
    <v>Learn more on Bing</v>
  </rv>
  <rv s="1">
    <v>en-AU</v>
    <v>a1yoa2</v>
    <v>268435456</v>
    <v>1</v>
    <v>Powered by Refinitiv</v>
    <v>0</v>
    <v>SERVICENOW, INC. (XNYS:NOW)</v>
    <v>2</v>
    <v>3</v>
    <v>Finance</v>
    <v>4</v>
    <v>194.726</v>
    <v>81.239999999999995</v>
    <v>0.99560000000000004</v>
    <v>9.82</v>
    <v>-2.7850000000000001E-3</v>
    <v>7.4095999999999995E-2</v>
    <v>-0.39650000000000002</v>
    <v>USD</v>
    <v>ServiceNow, Inc. provides an artificial intelligence (AI) platform for business transformation. The Company’s AI platform connects people, processes, data, and devices to increase productivity and maximize business outcomes. Its intelligent platform, the Now Platform, is a cloud-based solution that helps enterprises and organizations across public and private sectors digitize workflows. The workflow applications built on the Now Platform are organized into four primary areas: Technology, CRM and Industry, Core Business and Creator. Its products include IT Service Management, IT Operations Management, HR Service Delivery, ServiceNow AI Agents, AI Experience, Build Agent, ServiceNow AI Control Tower, AI Agent Fabric, RaptorDB, Workflow Data Fabric, Workplace Service Delivery, ServiceNow Platform Encryption, Telecommunications Service Operations Management, and others. The Company also offers identity security, helping organizations secure access across the enterprise.</v>
    <v>29187</v>
    <v>New York Stock Exchange</v>
    <v>XNYS</v>
    <v>XNYS</v>
    <v>2225 Lawson Lane, SANTA CLARA, CA, 95054 US</v>
    <v>143.18989999999999</v>
    <v>Software &amp; IT Services</v>
    <v>Stock</v>
    <v>46279.999981469533</v>
    <v>3</v>
    <v>137.24</v>
    <v>147170255700</v>
    <v>SERVICENOW, INC.</v>
    <v>SERVICENOW, INC.</v>
    <v>140</v>
    <v>82.746700000000004</v>
    <v>132.53</v>
    <v>142.35</v>
    <v>141.95349999999999</v>
    <v>1033862000</v>
    <v>NOW</v>
    <v>SERVICENOW, INC. (XNYS:NOW)</v>
    <v>17501784</v>
    <v>17092305</v>
    <v>2012</v>
  </rv>
  <rv s="2">
    <v>4</v>
  </rv>
  <rv s="0">
    <v>https://www.bing.com/financeapi/forcetrigger?t=a1uypr&amp;q=XNYS%3aHUBS&amp;form=skydnc</v>
    <v>Learn more on Bing</v>
  </rv>
  <rv s="1">
    <v>en-AU</v>
    <v>a1uypr</v>
    <v>268435456</v>
    <v>1</v>
    <v>Powered by Refinitiv</v>
    <v>0</v>
    <v>HUBSPOT, INC. (XNYS:HUBS)</v>
    <v>2</v>
    <v>3</v>
    <v>Finance</v>
    <v>4</v>
    <v>525.51</v>
    <v>169.63</v>
    <v>1.2312000000000001</v>
    <v>25.28</v>
    <v>-1.436E-3</v>
    <v>0.11219099999999999</v>
    <v>-0.36</v>
    <v>USD</v>
    <v>HubSpot, Inc. provides a customer platform that helps businesses connect and grow better. The Company delivers seamless connections for customer-facing teams with a unified platform that includes artificial intelligence (AI)-powered engagement hubs, a Smart CRM, and a connected ecosystem with applications marketplace integrations, a community network, and educational content. Its AI-powered engagement hubs include Marketing, Sales, Service, Operations, Content, and Commerce, as well as other tools and integrations that enable companies to attract, engage, and delight customers throughout the customer lifecycle. Its customer platform features a central database of lead and customer interactions, and integrated applications designed to help businesses attract visitors to their websites, convert visitors into leads, close leads into customers, transact with those customers, and delight them so they become promoters of those businesses. Breeze is its AI that powers the customer platform.</v>
    <v>9016</v>
    <v>New York Stock Exchange</v>
    <v>XNYS</v>
    <v>XNYS</v>
    <v>2 Canal Park, CAMBRIDGE, MA, 02141 US</v>
    <v>251.02</v>
    <v>Software &amp; IT Services</v>
    <v>Stock</v>
    <v>46279.999506596876</v>
    <v>6</v>
    <v>234</v>
    <v>12496968382</v>
    <v>HUBSPOT, INC.</v>
    <v>HUBSPOT, INC.</v>
    <v>235.81</v>
    <v>90.424000000000007</v>
    <v>225.33</v>
    <v>250.61</v>
    <v>250.25</v>
    <v>49866200</v>
    <v>HUBS</v>
    <v>HUBSPOT, INC. (XNYS:HUBS)</v>
    <v>1475543</v>
    <v>1492036</v>
    <v>2005</v>
  </rv>
  <rv s="2">
    <v>7</v>
  </rv>
  <rv s="0">
    <v>https://www.bing.com/financeapi/forcetrigger?t=c3jojc&amp;q=XNAS%3aGTLB&amp;form=skydnc</v>
    <v>Learn more on Bing</v>
  </rv>
  <rv s="1">
    <v>en-AU</v>
    <v>c3jojc</v>
    <v>268435456</v>
    <v>1</v>
    <v>Powered by Refinitiv</v>
    <v>0</v>
    <v>GITLAB INC. (XNAS:GTLB)</v>
    <v>2</v>
    <v>3</v>
    <v>Finance</v>
    <v>4</v>
    <v>55.55</v>
    <v>18.73</v>
    <v>0.98950000000000005</v>
    <v>2.2599999999999998</v>
    <v>-2.0299999999999997E-4</v>
    <v>4.8094999999999999E-2</v>
    <v>-0.01</v>
    <v>USD</v>
    <v>GitLab Inc. provides DevSecOps Platform, is built on a single codebase, unified data model, and user interface. The Company offers customers flexible deployment options, including a self-managed offering, as well as multi-tenant and single-tenant (GitLab Dedicated) software-as-a-service (SaaS) solutions. It offers the DevSecOps Platform in three different subscription tiers, namely Free, Premium and Ultimate. The DevSecOps Platform enables its customers to move their DevOps workflow across any hybrid or multi-cloud environment. Its subscription plans are available as a self-managed offering that customers download to run in their own on-premises environment or hybrid cloud environments, and also a SaaS offering, which is offered as either multi-tenant or single-tenant (called GitLab Dedicated). The Company also provides related training and professional services. Its SaaS products provide access to hosted software as well as support.</v>
    <v>2580</v>
    <v>Nasdaq Stock Market</v>
    <v>XNAS</v>
    <v>XNAS</v>
    <v>268 BUSH STREET, #350, SAN FRANCISCO, CA, 94104 US</v>
    <v>49.49</v>
    <v>Software &amp; IT Services</v>
    <v>Stock</v>
    <v>46279.993047360935</v>
    <v>9</v>
    <v>47.63</v>
    <v>8205050000</v>
    <v>GITLAB INC.</v>
    <v>GITLAB INC.</v>
    <v>48.335000000000001</v>
    <v>0</v>
    <v>46.99</v>
    <v>49.25</v>
    <v>49.24</v>
    <v>166600000</v>
    <v>GTLB</v>
    <v>GITLAB INC. (XNAS:GTLB)</v>
    <v>3355669</v>
    <v>5934993</v>
    <v>2014</v>
  </rv>
  <rv s="2">
    <v>10</v>
  </rv>
  <rv s="0">
    <v>https://www.bing.com/financeapi/forcetrigger?t=c27jhw&amp;q=XNAS%3aMNDY&amp;form=skydnc</v>
    <v>Learn more on Bing</v>
  </rv>
  <rv s="1">
    <v>en-AU</v>
    <v>c27jhw</v>
    <v>268435456</v>
    <v>1</v>
    <v>Powered by Refinitiv</v>
    <v>0</v>
    <v>MONDAY.COM LTD (XNAS:MNDY)</v>
    <v>2</v>
    <v>3</v>
    <v>Finance</v>
    <v>4</v>
    <v>220.8</v>
    <v>57.5</v>
    <v>1.1272</v>
    <v>9.2650000000000006</v>
    <v>-2.2370000000000003E-3</v>
    <v>0.10669000000000001</v>
    <v>-0.215</v>
    <v>USD</v>
    <v>Monday.Com Ltd is an Israel-based company engaged primarily in the software sector. The Company provides cloud-based platform that enables its users to create custom applications and project management software. The platform offers a Work Operating System (Work OS) that provides modular building blocks to create software applications and work management tools. This system is designed to enhance team collaboration and streamline workflows across various business functions, including project management, CRM, marketing, and more. The Company has teams in Tel Aviv, New York, San Francisco, Miami, Chicago, London, Kiev, and Sydney. The Company customize its platform to suit any business vertical and serves customers worldwide.</v>
    <v>3155</v>
    <v>Nasdaq Stock Market</v>
    <v>XNAS</v>
    <v>XNAS</v>
    <v>6 Yitzhak Sadeh Street, TEL AVIV, TEL AVIV, 67775 IL</v>
    <v>97.04</v>
    <v>Software &amp; IT Services</v>
    <v>Stock</v>
    <v>46279.998119397656</v>
    <v>12</v>
    <v>89.74</v>
    <v>4062754302</v>
    <v>MONDAY.COM LTD</v>
    <v>MONDAY.COM LTD</v>
    <v>90</v>
    <v>36.975499999999997</v>
    <v>86.84</v>
    <v>96.105000000000004</v>
    <v>95.89</v>
    <v>42274120</v>
    <v>MNDY</v>
    <v>MONDAY.COM LTD (XNAS:MNDY)</v>
    <v>1686203</v>
    <v>1444959</v>
    <v>2012</v>
  </rv>
  <rv s="2">
    <v>13</v>
  </rv>
  <rv s="0">
    <v>https://www.bing.com/financeapi/forcetrigger?t=c3bvmw&amp;q=XNAS%3aFRSH&amp;form=skydnc</v>
    <v>Learn more on Bing</v>
  </rv>
  <rv s="1">
    <v>en-AU</v>
    <v>c3bvmw</v>
    <v>268435456</v>
    <v>1</v>
    <v>Powered by Refinitiv</v>
    <v>0</v>
    <v>FRESHWORKS INC. (XNAS:FRSH)</v>
    <v>2</v>
    <v>3</v>
    <v>Finance</v>
    <v>4</v>
    <v>13.99</v>
    <v>6.79</v>
    <v>0.90839999999999999</v>
    <v>0.75</v>
    <v>6.3290000000000004E-3</v>
    <v>6.3078000000000009E-2</v>
    <v>0.08</v>
    <v>USD</v>
    <v>Freshworks Inc. provides people-first AI service software that organizations use to deliver employee and customer experience. The Company's employee experience (EX) products include Freshservice, Freshservice for Business Teams, Device42 and FireHydrant. Its customer experience (CX) products include its Freshdesk suite of products. Its AI offerings include Freddy AI Agents, Freddy AI Copilot, and Freddy AI Insights. Freshservice is its unified IT and enterprise service management platform that brings together IT Service Management, IT Operations Management, and IT Infrastructure Management. Freshservice for Business Teams extends these capabilities to departments such as HR, Facilities, Finance, and Legal and can be used independently by individual business units. Device42 adds advanced discovery, inventory, and dependency mapping across complex IT environments. FireHydrant unifies alerting, on-call coordination, major-incident response, and post-incident analytics in a single system.</v>
    <v>4500</v>
    <v>Nasdaq Stock Market</v>
    <v>XNAS</v>
    <v>XNAS</v>
    <v>2950 S. Delaware St., Suite 201, SAN MATEO, CA, 94403 US</v>
    <v>12.71</v>
    <v>Software &amp; IT Services</v>
    <v>Stock</v>
    <v>46279.982605462501</v>
    <v>15</v>
    <v>12.173999999999999</v>
    <v>3298038912</v>
    <v>FRESHWORKS INC.</v>
    <v>FRESHWORKS INC.</v>
    <v>12.49</v>
    <v>20.031700000000001</v>
    <v>11.89</v>
    <v>12.64</v>
    <v>12.72</v>
    <v>260920800</v>
    <v>FRSH</v>
    <v>FRESHWORKS INC. (XNAS:FRSH)</v>
    <v>4723554</v>
    <v>5242507</v>
    <v>2010</v>
  </rv>
  <rv s="2">
    <v>16</v>
  </rv>
  <rv s="0">
    <v>https://www.bing.com/financeapi/forcetrigger?t=bvt3nm&amp;q=XNYS%3aASAN&amp;form=skydnc</v>
    <v>Learn more on Bing</v>
  </rv>
  <rv s="3">
    <v>en-AU</v>
    <v>bvt3nm</v>
    <v>268435456</v>
    <v>1</v>
    <v>Powered by Refinitiv</v>
    <v>5</v>
    <v>ASANA, INC. (XNYS:ASAN)</v>
    <v>2</v>
    <v>6</v>
    <v>Finance</v>
    <v>4</v>
    <v>15.48</v>
    <v>5.38</v>
    <v>1.1859</v>
    <v>0.89</v>
    <v>-2.0699999999999998E-3</v>
    <v>0.10148199999999999</v>
    <v>-0.02</v>
    <v>USD</v>
    <v>Asana, Inc. is an enterprise work management software platform. It enables organizations to align work to goals, coordinate cross-functional work, gain visibility into progress, automate workflows across departments, and scale work securely. It offers two products within the Asana platform to meet the needs of diverse organizations. The Asana platform maintains an application programming interface that enables developers to build apps on Asana and integrate with hundreds of third-party applications like Microsoft Teams, Slack, Jira, Salesforce, Google Workspace, Adobe Creative Cloud and many more. Its flagship product, Asana Work Graph, provides a map of how all work gets done inside an organization. It is built for scale and captures the relationship between the work that teams undertake, the information about that work, the people doing the work, and the outcomes of that work. It provides interactive dynamic views list, calendar, board, timeline, goals, portfolio, reports and more.</v>
    <v>1767</v>
    <v>New York Stock Exchange</v>
    <v>XNYS</v>
    <v>XNYS</v>
    <v>633 FOLSOM STREET, SUITE 100, SAN FRANCISCO, CA, 94107 US</v>
    <v>9.7949999999999999</v>
    <v>Software &amp; IT Services</v>
    <v>Stock</v>
    <v>46279.998859895313</v>
    <v>18</v>
    <v>9.11</v>
    <v>2211851166</v>
    <v>ASANA, INC.</v>
    <v>ASANA, INC.</v>
    <v>9.18</v>
    <v>8.77</v>
    <v>9.66</v>
    <v>9.64</v>
    <v>228970100</v>
    <v>ASAN</v>
    <v>ASANA, INC. (XNYS:ASAN)</v>
    <v>6932495</v>
    <v>5369721</v>
    <v>2008</v>
  </rv>
  <rv s="2">
    <v>19</v>
  </rv>
  <rv s="0">
    <v>http://en.wikipedia.org/wiki/Public_domain</v>
    <v>Public domain</v>
  </rv>
  <rv s="0">
    <v>https://en.wikipedia.org/wiki/Microsoft</v>
    <v>Wikipedia</v>
  </rv>
  <rv s="4">
    <v>21</v>
    <v>22</v>
  </rv>
  <rv s="5">
    <v>11</v>
    <v>https://www.bing.com/th?id=AMMS_e6e837c7bf3a77408619758b7447855a&amp;qlt=95</v>
    <v>23</v>
    <v>0</v>
    <v>https://www.bing.com/images/search?form=xlimg&amp;q=microsoft</v>
    <v>Image of MICROSOFT CORPORATION</v>
  </rv>
  <rv s="0">
    <v>https://www.bing.com/financeapi/forcetrigger?t=a1xzim&amp;q=XNAS%3aMSFT&amp;form=skydnc</v>
    <v>Learn more on Bing</v>
  </rv>
  <rv s="6">
    <v>en-AU</v>
    <v>a1xzim</v>
    <v>268435456</v>
    <v>1</v>
    <v>Powered by Refinitiv</v>
    <v>7</v>
    <v>MICROSOFT CORPORATION (XNAS:MSFT)</v>
    <v>9</v>
    <v>10</v>
    <v>Finance</v>
    <v>4</v>
    <v>553.72</v>
    <v>349.2</v>
    <v>1.1033999999999999</v>
    <v>9.7799999999999994</v>
    <v>-2.3350000000000003E-3</v>
    <v>1.9732E-2</v>
    <v>-1.18</v>
    <v>USD</v>
    <v>Microsoft Corporation is a technology company. The Company develops and supports software, services, devices, and solutions. The Company’s segments include Productivity and Business Processes, Intelligent Cloud, and More Personal Computing. The Productivity and Business Processes segment consists of products and services in its portfolio of productivity, communication, and information services. This segment primarily comprises: Office Commercial, Office Consumer, LinkedIn, and Dynamics business solutions. The Intelligent Cloud segment consists of server products and cloud services, including Azure and other cloud services, SQL Server, Windows Server, Visual Studio, System Center, and related Client Access Licenses (CALs), and Nuance and GitHub; and Enterprise Services, including enterprise support services, industry solutions and Nuance professional services. The More Personal Computing segment primarily comprises Windows, Devices, Gaming, and search and news advertising.</v>
    <v>223000</v>
    <v>Nasdaq Stock Market</v>
    <v>XNAS</v>
    <v>XNAS</v>
    <v>One Microsoft Way, REDMOND, WA, 98052 US</v>
    <v>509.95</v>
    <v>24</v>
    <v>Software &amp; IT Services</v>
    <v>Stock</v>
    <v>46279.999940219532</v>
    <v>25</v>
    <v>495.34160000000003</v>
    <v>3752944698450</v>
    <v>MICROSOFT CORPORATION</v>
    <v>MICROSOFT CORPORATION</v>
    <v>497.06</v>
    <v>28.1617</v>
    <v>495.63</v>
    <v>505.41</v>
    <v>504.23</v>
    <v>7425545000</v>
    <v>MSFT</v>
    <v>MICROSOFT CORPORATION (XNAS:MSFT)</v>
    <v>23091892</v>
    <v>22045221</v>
    <v>1993</v>
  </rv>
  <rv s="2">
    <v>26</v>
  </rv>
  <rv s="7">
    <fb>46251</fb>
    <v>12</v>
  </rv>
  <rv s="7">
    <fb>161.6</fb>
    <v>13</v>
  </rv>
  <rv s="7">
    <fb>156.55009999999999</fb>
    <v>13</v>
  </rv>
  <rv s="7">
    <fb>158.34</fb>
    <v>13</v>
  </rv>
  <rv s="7">
    <fb>3048946</fb>
    <v>14</v>
  </rv>
  <rv s="7">
    <fb>46252</fb>
    <v>12</v>
  </rv>
  <rv s="7">
    <fb>167.87</fb>
    <v>13</v>
  </rv>
  <rv s="7">
    <fb>158.58000000000001</fb>
    <v>13</v>
  </rv>
  <rv s="7">
    <fb>163</fb>
    <v>13</v>
  </rv>
  <rv s="7">
    <fb>4888443</fb>
    <v>14</v>
  </rv>
  <rv s="7">
    <fb>46253</fb>
    <v>12</v>
  </rv>
  <rv s="7">
    <fb>176.15</fb>
    <v>13</v>
  </rv>
  <rv s="7">
    <fb>161.5</fb>
    <v>13</v>
  </rv>
  <rv s="7">
    <fb>174.23</fb>
    <v>13</v>
  </rv>
  <rv s="7">
    <fb>6066916</fb>
    <v>14</v>
  </rv>
  <rv s="7">
    <fb>46254</fb>
    <v>12</v>
  </rv>
  <rv s="7">
    <fb>177.88</fb>
    <v>13</v>
  </rv>
  <rv s="7">
    <fb>171.22</fb>
    <v>13</v>
  </rv>
  <rv s="7">
    <fb>174.91</fb>
    <v>13</v>
  </rv>
  <rv s="7">
    <fb>5458362</fb>
    <v>14</v>
  </rv>
  <rv s="7">
    <fb>46255</fb>
    <v>12</v>
  </rv>
  <rv s="7">
    <fb>176</fb>
    <v>13</v>
  </rv>
  <rv s="7">
    <fb>168.01</fb>
    <v>13</v>
  </rv>
  <rv s="7">
    <fb>171.81</fb>
    <v>13</v>
  </rv>
  <rv s="7">
    <fb>3275677</fb>
    <v>14</v>
  </rv>
  <rv s="7">
    <fb>46258</fb>
    <v>12</v>
  </rv>
  <rv s="7">
    <fb>174.23410000000001</fb>
    <v>13</v>
  </rv>
  <rv s="7">
    <fb>169.04</fb>
    <v>13</v>
  </rv>
  <rv s="7">
    <fb>171.33</fb>
    <v>13</v>
  </rv>
  <rv s="7">
    <fb>2584312</fb>
    <v>14</v>
  </rv>
  <rv s="7">
    <fb>46259</fb>
    <v>12</v>
  </rv>
  <rv s="7">
    <fb>172.1</fb>
    <v>13</v>
  </rv>
  <rv s="7">
    <fb>165.1</fb>
    <v>13</v>
  </rv>
  <rv s="7">
    <fb>166.49</fb>
    <v>13</v>
  </rv>
  <rv s="7">
    <fb>2909953</fb>
    <v>14</v>
  </rv>
  <rv s="7">
    <fb>46260</fb>
    <v>12</v>
  </rv>
  <rv s="7">
    <fb>170</fb>
    <v>13</v>
  </rv>
  <rv s="7">
    <fb>160.96199999999999</fb>
    <v>13</v>
  </rv>
  <rv s="7">
    <fb>168.47</fb>
    <v>13</v>
  </rv>
  <rv s="7">
    <fb>4127538</fb>
    <v>14</v>
  </rv>
  <rv s="7">
    <fb>46261</fb>
    <v>12</v>
  </rv>
  <rv s="7">
    <fb>185.73</fb>
    <v>13</v>
  </rv>
  <rv s="7">
    <fb>168.73</fb>
    <v>13</v>
  </rv>
  <rv s="7">
    <fb>185.62</fb>
    <v>13</v>
  </rv>
  <rv s="7">
    <fb>6073950</fb>
    <v>14</v>
  </rv>
  <rv s="7">
    <fb>46262</fb>
    <v>12</v>
  </rv>
  <rv s="7">
    <fb>194.96</fb>
    <v>13</v>
  </rv>
  <rv s="7">
    <fb>185</fb>
    <v>13</v>
  </rv>
  <rv s="7">
    <fb>190.41499999999999</fb>
    <v>13</v>
  </rv>
  <rv s="7">
    <fb>5224708</fb>
    <v>14</v>
  </rv>
  <rv s="7">
    <fb>46265</fb>
    <v>12</v>
  </rv>
  <rv s="7">
    <fb>197.3</fb>
    <v>13</v>
  </rv>
  <rv s="7">
    <fb>187.67</fb>
    <v>13</v>
  </rv>
  <rv s="7">
    <fb>194.17</fb>
    <v>13</v>
  </rv>
  <rv s="7">
    <fb>5117290</fb>
    <v>14</v>
  </rv>
  <rv s="7">
    <fb>46266</fb>
    <v>12</v>
  </rv>
  <rv s="7">
    <fb>193.64500000000001</fb>
    <v>13</v>
  </rv>
  <rv s="7">
    <fb>185.45</fb>
    <v>13</v>
  </rv>
  <rv s="7">
    <fb>187.03</fb>
    <v>13</v>
  </rv>
  <rv s="7">
    <fb>3891792</fb>
    <v>14</v>
  </rv>
  <rv s="7">
    <fb>46267</fb>
    <v>12</v>
  </rv>
  <rv s="7">
    <fb>192.87</fb>
    <v>13</v>
  </rv>
  <rv s="7">
    <fb>184.73</fb>
    <v>13</v>
  </rv>
  <rv s="7">
    <fb>186.44</fb>
    <v>13</v>
  </rv>
  <rv s="7">
    <fb>3546782</fb>
    <v>14</v>
  </rv>
  <rv s="7">
    <fb>46268</fb>
    <v>12</v>
  </rv>
  <rv s="7">
    <fb>198.59989999999999</fb>
    <v>13</v>
  </rv>
  <rv s="7">
    <fb>190.61</fb>
    <v>13</v>
  </rv>
  <rv s="7">
    <fb>194.68</fb>
    <v>13</v>
  </rv>
  <rv s="7">
    <fb>3359288</fb>
    <v>14</v>
  </rv>
  <rv s="7">
    <fb>46269</fb>
    <v>12</v>
  </rv>
  <rv s="7">
    <fb>193.42500000000001</fb>
    <v>13</v>
  </rv>
  <rv s="7">
    <fb>186.54</fb>
    <v>13</v>
  </rv>
  <rv s="7">
    <fb>189.58</fb>
    <v>13</v>
  </rv>
  <rv s="7">
    <fb>2473769</fb>
    <v>14</v>
  </rv>
  <rv s="0">
    <v>https://www.bing.com/financeapi/forcetrigger?t=r6dwra&amp;q=US10Y&amp;form=skydnc</v>
    <v>Learn more on Bing</v>
  </rv>
  <rv s="8">
    <v>en-AU</v>
    <v>r6dwra</v>
    <v>268435456</v>
    <v>1</v>
    <v>Powered by Refinitiv</v>
    <v>15</v>
    <v>US Treasury 10Y</v>
    <v>16</v>
    <v>17</v>
    <v>Finance</v>
    <v>18</v>
    <v>5.5300000000000002E-2</v>
    <v>1.1147000000000001E-2</v>
    <v>US</v>
    <v>USD</v>
    <v>Bond</v>
    <v>46280.180474537039</v>
    <v>103</v>
    <v>49902</v>
    <v>US Treasury 10Y</v>
    <v>4.9610000000000003</v>
    <v>5.0163000000000002</v>
    <v>US10Y</v>
    <v>US Treasury 10Y</v>
    <v>4.6921999999999998E-2</v>
    <v>4.8039999999999999E-2</v>
    <v>4.0393999999999999E-2</v>
    <v>4.9749999999999996E-2</v>
  </rv>
  <rv s="2">
    <v>104</v>
  </rv>
  <rv s="9">
    <v>19</v>
    <v>a243h7</v>
    <v>Daily</v>
    <v>46249</v>
    <v>46280</v>
    <v>0</v>
    <v>1</v>
    <v>639240768000000000,639250431488547838,0</v>
    <v>0</v>
    <v>a243h7</v>
    <v/>
    <v>1</v>
    <v>2</v>
    <v>3</v>
    <v>4</v>
  </rv>
</rvData>
</file>

<file path=xl/richData/rdrichvaluestructure.xml><?xml version="1.0" encoding="utf-8"?>
<rvStructures xmlns="http://schemas.microsoft.com/office/spreadsheetml/2017/richdata" count="10">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linkedentity">
    <k n="%cvi" t="r"/>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revious close"/>
    <k n="Price"/>
    <k n="Price (Extended hours)"/>
    <k n="Shares outstanding"/>
    <k n="Ticker symbol" t="s"/>
    <k n="UniqueName" t="s"/>
    <k n="Volume"/>
    <k n="Volume average"/>
    <k n="Year incorporated"/>
  </s>
  <s t="_sourceattribution">
    <k n="License" t="r"/>
    <k n="Source" t="r"/>
  </s>
  <s t="_imageurl">
    <k n="_Provider" t="spb"/>
    <k n="Address" t="s"/>
    <k n="Attribution" t="r"/>
    <k n="ComputedImage" t="b"/>
    <k n="More Images 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formattednumber">
    <k n="_Format" t="spb"/>
  </s>
  <s t="_linkedentitycore">
    <k n="%EntityCulture" t="s"/>
    <k n="%EntityId" t="s"/>
    <k n="%EntityServiceId"/>
    <k n="%IsRefreshable" t="b"/>
    <k n="%ProviderInfo" t="s"/>
    <k n="_Display" t="spb"/>
    <k n="_DisplayString" t="s"/>
    <k n="_Flags" t="spb"/>
    <k n="_Format" t="spb"/>
    <k n="_Icon" t="s"/>
    <k n="_SubLabel" t="spb"/>
    <k n="Change"/>
    <k n="Change (%)"/>
    <k n="Country/region" t="s"/>
    <k n="Currency" t="s"/>
    <k n="Instrument type" t="s"/>
    <k n="Last trade time"/>
    <k n="LearnMoreOnLink" t="r"/>
    <k n="Maturity"/>
    <k n="Name" t="s"/>
    <k n="Previous close"/>
    <k n="Price"/>
    <k n="Ticker symbol" t="s"/>
    <k n="UniqueName" t="s"/>
    <k n="Yield last month"/>
    <k n="Yield last week"/>
    <k n="Yield last year"/>
    <k n="Yield yesterday"/>
  </s>
  <s t="_stockhistorycache">
    <k n="_Format" t="spb"/>
    <k n="Symbol" t="s"/>
    <k n="Interval" t="s"/>
    <k n="StartDate" t="i"/>
    <k n="EndDate" t="i"/>
    <k n="f1904" t="b"/>
    <k n="fdcompat" t="b"/>
    <k n="etag" t="s"/>
    <k n="Date" t="a"/>
    <k n="EntityId" t="s"/>
    <k n="Instrument" t="s"/>
    <k n="Close" t="a"/>
    <k n="High" t="a"/>
    <k n="Low" t="a"/>
    <k n="Volume" t="a"/>
  </s>
</rvStructures>
</file>

<file path=xl/richData/rdsupportingpropertybag.xml><?xml version="1.0" encoding="utf-8"?>
<supportingPropertyBags xmlns="http://schemas.microsoft.com/office/spreadsheetml/2017/richdata2">
  <spbArrays count="4">
    <a count="45">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44">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Shares outstanding</v>
      <v t="s">Description</v>
      <v t="s">Employees</v>
      <v t="s">Headquarters</v>
      <v t="s">Industry</v>
      <v t="s">Instrument type</v>
      <v t="s">Year incorporated</v>
      <v t="s">_Flags</v>
      <v t="s">UniqueName</v>
      <v t="s">_DisplayString</v>
      <v t="s">LearnMoreOnLink</v>
      <v t="s">ExchangeID</v>
      <v t="s">%ProviderInfo</v>
    </a>
    <a count="46">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Image</v>
      <v t="s">ExchangeID</v>
      <v t="s">%ProviderInfo</v>
    </a>
    <a count="28">
      <v t="s">%EntityServiceId</v>
      <v t="s">_Format</v>
      <v t="s">%IsRefreshable</v>
      <v t="s">%EntityCulture</v>
      <v t="s">%EntityId</v>
      <v t="s">_Icon</v>
      <v t="s">_Display</v>
      <v t="s">Name</v>
      <v t="s">Price</v>
      <v t="s">_SubLabel</v>
      <v t="s">Last trade time</v>
      <v t="s">Ticker symbol</v>
      <v t="s">Change</v>
      <v t="s">Change (%)</v>
      <v t="s">Currency</v>
      <v t="s">Previous close</v>
      <v t="s">Yield yesterday</v>
      <v t="s">Yield last week</v>
      <v t="s">Yield last month</v>
      <v t="s">Yield last year</v>
      <v t="s">Maturity</v>
      <v t="s">Country/region</v>
      <v t="s">Instrument type</v>
      <v t="s">_Flags</v>
      <v t="s">UniqueName</v>
      <v t="s">_DisplayString</v>
      <v t="s">LearnMoreOnLink</v>
      <v t="s">%ProviderInfo</v>
    </a>
  </spbArrays>
  <spbData count="20">
    <spb s="0">
      <v>0</v>
      <v>Name</v>
      <v>LearnMoreOnLink</v>
    </spb>
    <spb s="1">
      <v>0</v>
      <v>0</v>
      <v>0</v>
    </spb>
    <spb s="2">
      <v>1</v>
      <v>1</v>
      <v>1</v>
      <v>1</v>
    </spb>
    <spb s="3">
      <v>1</v>
      <v>2</v>
      <v>2</v>
      <v>1</v>
      <v>3</v>
      <v>1</v>
      <v>1</v>
      <v>1</v>
      <v>4</v>
      <v>4</v>
      <v>5</v>
      <v>6</v>
      <v>1</v>
      <v>1</v>
      <v>1</v>
      <v>4</v>
      <v>7</v>
      <v>8</v>
      <v>9</v>
      <v>4</v>
      <v>1</v>
      <v>1</v>
      <v>5</v>
    </spb>
    <spb s="4">
      <v>at close</v>
      <v>from previous close</v>
      <v>from previous close</v>
      <v>Source: Nasdaq</v>
      <v>GMT</v>
      <v>Delayed 15 minutes</v>
      <v>from close</v>
      <v>from close</v>
    </spb>
    <spb s="0">
      <v>1</v>
      <v>Name</v>
      <v>LearnMoreOnLink</v>
    </spb>
    <spb s="5">
      <v>1</v>
      <v>2</v>
      <v>1</v>
      <v>3</v>
      <v>1</v>
      <v>1</v>
      <v>1</v>
      <v>4</v>
      <v>4</v>
      <v>5</v>
      <v>6</v>
      <v>1</v>
      <v>1</v>
      <v>1</v>
      <v>4</v>
      <v>7</v>
      <v>8</v>
      <v>9</v>
      <v>4</v>
      <v>1</v>
      <v>1</v>
      <v>5</v>
    </spb>
    <spb s="0">
      <v>2</v>
      <v>Name</v>
      <v>LearnMoreOnLink</v>
    </spb>
    <spb s="6">
      <v>0</v>
      <v>0</v>
    </spb>
    <spb s="7">
      <v>8</v>
      <v>1</v>
      <v>1</v>
      <v>1</v>
      <v>1</v>
    </spb>
    <spb s="8">
      <v>1</v>
      <v>2</v>
      <v>2</v>
      <v>1</v>
      <v>3</v>
      <v>1</v>
      <v>10</v>
      <v>1</v>
      <v>1</v>
      <v>4</v>
      <v>4</v>
      <v>5</v>
      <v>6</v>
      <v>1</v>
      <v>1</v>
      <v>1</v>
      <v>4</v>
      <v>7</v>
      <v>8</v>
      <v>9</v>
      <v>4</v>
      <v>1</v>
      <v>1</v>
      <v>5</v>
    </spb>
    <spb s="9">
      <v>Powered by Refinitiv</v>
    </spb>
    <spb s="10">
      <v>11</v>
    </spb>
    <spb s="10">
      <v>1</v>
    </spb>
    <spb s="10">
      <v>4</v>
    </spb>
    <spb s="0">
      <v>3</v>
      <v>Name</v>
      <v>LearnMoreOnLink</v>
    </spb>
    <spb s="11">
      <v>1</v>
      <v>1</v>
      <v>1</v>
    </spb>
    <spb s="12">
      <v>3</v>
      <v>1</v>
      <v>1</v>
      <v>11</v>
      <v>5</v>
      <v>1</v>
      <v>7</v>
      <v>5</v>
      <v>5</v>
      <v>5</v>
      <v>5</v>
      <v>9</v>
    </spb>
    <spb s="13">
      <v>GMT</v>
    </spb>
    <spb s="14">
      <v>1</v>
      <v>11</v>
      <v>1</v>
      <v>1</v>
      <v>4</v>
    </spb>
  </spbData>
</supportingPropertyBags>
</file>

<file path=xl/richData/rdsupportingpropertybagstructure.xml><?xml version="1.0" encoding="utf-8"?>
<spbStructures xmlns="http://schemas.microsoft.com/office/spreadsheetml/2017/richdata2" count="15">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Price" t="s"/>
    <k n="Change" t="s"/>
    <k n="Change (%)" t="s"/>
    <k n="ExchangeID" t="s"/>
    <k n="Last trade time" t="s"/>
    <k n="Price (Extended hours)" t="s"/>
    <k n="Change (Extended hours)" t="s"/>
    <k n="Change % (Extended hours)" t="s"/>
  </s>
  <s>
    <k n="Low"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ShowInDotNotation" t="b"/>
    <k n="ShowInAutoComplete" t="b"/>
  </s>
  <s>
    <k n="Image" t="spb"/>
    <k n="ExchangeID" t="spb"/>
    <k n="UniqueName" t="spb"/>
    <k n="`%ProviderInfo" t="spb"/>
    <k n="LearnMoreOnLink" t="spb"/>
  </s>
  <s>
    <k n="Low" t="i"/>
    <k n="P/E" t="i"/>
    <k n="Beta" t="i"/>
    <k n="High" t="i"/>
    <k n="Name" t="i"/>
    <k n="Open" t="i"/>
    <k n="Image"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name" t="s"/>
  </s>
  <s>
    <k n="_Self" t="i"/>
  </s>
  <s>
    <k n="UniqueName" t="spb"/>
    <k n="`%ProviderInfo" t="spb"/>
    <k n="LearnMoreOnLink" t="spb"/>
  </s>
  <s>
    <k n="Name" t="i"/>
    <k n="Price" t="i"/>
    <k n="Change" t="i"/>
    <k n="Maturity" t="i"/>
    <k n="Change (%)" t="i"/>
    <k n="Previous close" t="i"/>
    <k n="Last trade time" t="i"/>
    <k n="Yield last week" t="i"/>
    <k n="Yield last year" t="i"/>
    <k n="Yield yesterday" t="i"/>
    <k n="Yield last month" t="i"/>
    <k n="`%EntityServiceId" t="i"/>
  </s>
  <s>
    <k n="Last trade time" t="s"/>
  </s>
  <s>
    <k n="Low" t="i"/>
    <k n="Date" t="i"/>
    <k n="High" t="i"/>
    <k n="Close" t="i"/>
    <k n="Volume"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8">
    <x:dxf>
      <x:numFmt numFmtId="2" formatCode="0.00"/>
    </x:dxf>
    <x:dxf>
      <x:numFmt numFmtId="0" formatCode="General"/>
    </x:dxf>
    <x:dxf>
      <x:numFmt numFmtId="27" formatCode="d/mm/yyyy\ h:mm"/>
    </x:dxf>
    <x:dxf>
      <x:numFmt numFmtId="14" formatCode="0.00%"/>
    </x:dxf>
    <x:dxf>
      <x:numFmt numFmtId="19" formatCode="d/mm/yyyy"/>
    </x:dxf>
    <x:dxf>
      <x:numFmt numFmtId="3" formatCode="#,##0"/>
    </x:dxf>
    <x:dxf>
      <x:numFmt numFmtId="4" formatCode="#,##0.00"/>
    </x:dxf>
    <x:dxf>
      <x:numFmt numFmtId="1" formatCode="0"/>
    </x:dxf>
  </dxfs>
  <richProperties>
    <rPr n="NumberFormat" t="s"/>
    <rPr n="IsTitleField" t="b"/>
    <rPr n="IsHeroField" t="b"/>
  </richProperties>
  <richStyles>
    <rSty dxfid="1">
      <rpv i="0">_([$$-en-US]* #,##0.00_);_([$$-en-US]* (#,##0.00);_([$$-en-US]* "-"??_);_(@_)</rpv>
    </rSty>
    <rSty dxfid="6">
      <rpv i="0">#,##0.00</rpv>
    </rSty>
    <rSty>
      <rpv i="1">1</rpv>
    </rSty>
    <rSty dxfid="5">
      <rpv i="0">#,##0</rpv>
    </rSty>
    <rSty dxfid="3"/>
    <rSty dxfid="1">
      <rpv i="0">_([$$-en-US]* #,##0_);_([$$-en-US]* (#,##0);_([$$-en-US]* "-"_);_(@_)</rpv>
    </rSty>
    <rSty dxfid="2"/>
    <rSty dxfid="7">
      <rpv i="0">0</rpv>
    </rSty>
    <rSty dxfid="0">
      <rpv i="0">0.00</rpv>
    </rSty>
    <rSty>
      <rpv i="2">1</rpv>
    </rSty>
    <rSty dxfid="4"/>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DDC8730-DEF5-4D03-A3DA-381A09B863C4}" name="Table3" displayName="Table3" ref="N4:P11" totalsRowShown="0" headerRowDxfId="4" dataDxfId="3">
  <autoFilter ref="N4:P11" xr:uid="{0DDC8730-DEF5-4D03-A3DA-381A09B863C4}"/>
  <tableColumns count="3">
    <tableColumn id="1" xr3:uid="{72B4324E-C414-4A07-B1BC-F960213C11B6}" name="Company" dataDxfId="2"/>
    <tableColumn id="2" xr3:uid="{FCEF0416-AD9F-4618-B2C2-AD95EDDA8DEA}" name="MSCI" dataDxfId="1"/>
    <tableColumn id="3" xr3:uid="{84CFED95-4FE2-4614-B773-099B7F906F53}" name="Sustainalytics Scor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Top Shadow">
      <a:fillStyleLst>
        <a:solidFill>
          <a:schemeClr val="phClr"/>
        </a:solidFill>
        <a:gradFill rotWithShape="1">
          <a:gsLst>
            <a:gs pos="0">
              <a:schemeClr val="phClr">
                <a:tint val="10000"/>
                <a:satMod val="300000"/>
              </a:schemeClr>
            </a:gs>
            <a:gs pos="34000">
              <a:schemeClr val="phClr">
                <a:tint val="13500"/>
                <a:satMod val="250000"/>
              </a:schemeClr>
            </a:gs>
            <a:gs pos="100000">
              <a:schemeClr val="phClr">
                <a:tint val="60000"/>
                <a:satMod val="200000"/>
              </a:schemeClr>
            </a:gs>
          </a:gsLst>
          <a:path path="circle">
            <a:fillToRect l="50000" t="155000" r="50000" b="-55000"/>
          </a:path>
        </a:gradFill>
        <a:gradFill rotWithShape="1">
          <a:gsLst>
            <a:gs pos="0">
              <a:schemeClr val="phClr">
                <a:tint val="60000"/>
                <a:satMod val="160000"/>
              </a:schemeClr>
            </a:gs>
            <a:gs pos="46000">
              <a:schemeClr val="phClr">
                <a:tint val="86000"/>
                <a:satMod val="160000"/>
              </a:schemeClr>
            </a:gs>
            <a:gs pos="100000">
              <a:schemeClr val="phClr">
                <a:shade val="40000"/>
                <a:satMod val="160000"/>
              </a:schemeClr>
            </a:gs>
          </a:gsLst>
          <a:path path="circle">
            <a:fillToRect l="50000" t="155000" r="50000" b="-55000"/>
          </a:path>
        </a:gradFill>
      </a:fillStyleLst>
      <a:lnStyleLst>
        <a:ln w="9525" cap="flat" cmpd="sng" algn="ctr">
          <a:solidFill>
            <a:schemeClr val="phClr">
              <a:satMod val="120000"/>
            </a:schemeClr>
          </a:solidFill>
          <a:prstDash val="solid"/>
        </a:ln>
        <a:ln w="12700" cap="flat" cmpd="sng" algn="ctr">
          <a:solidFill>
            <a:schemeClr val="phClr"/>
          </a:solidFill>
          <a:prstDash val="solid"/>
        </a:ln>
        <a:ln w="25400" cap="flat" cmpd="sng" algn="ctr">
          <a:solidFill>
            <a:schemeClr val="phClr"/>
          </a:solidFill>
          <a:prstDash val="solid"/>
        </a:ln>
      </a:lnStyleLst>
      <a:effectStyleLst>
        <a:effectStyle>
          <a:effectLst>
            <a:outerShdw blurRad="63500" dist="25400" dir="14700000" algn="t" rotWithShape="0">
              <a:srgbClr val="000000">
                <a:alpha val="50000"/>
              </a:srgbClr>
            </a:outerShdw>
          </a:effectLst>
        </a:effectStyle>
        <a:effectStyle>
          <a:effectLst>
            <a:outerShdw blurRad="50800" dist="38100" dir="14700000" algn="t" rotWithShape="0">
              <a:srgbClr val="000000">
                <a:alpha val="60000"/>
              </a:srgbClr>
            </a:outerShdw>
          </a:effectLst>
        </a:effectStyle>
        <a:effectStyle>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1">
    <wetp:webextensionref xmlns:r="http://schemas.openxmlformats.org/officeDocument/2006/relationships" r:id="rId1"/>
  </wetp:taskpane>
  <wetp:taskpane dockstate="right" visibility="0" width="350" row="2">
    <wetp:webextensionref xmlns:r="http://schemas.openxmlformats.org/officeDocument/2006/relationships" r:id="rId2"/>
  </wetp:taskpane>
</wetp:taskpanes>
</file>

<file path=xl/webextensions/webextension1.xml><?xml version="1.0" encoding="utf-8"?>
<we:webextension xmlns:we="http://schemas.microsoft.com/office/webextensions/webextension/2010/11" id="{ECC46126-4B19-4DB8-A654-DEB445806C0F}">
  <we:reference id="wa104379220" version="8.0.0.0" store="en-US" storeType="OMEX"/>
  <we:alternateReferences>
    <we:reference id="WA104379220" version="8.0.0.0" store="" storeType="OMEX"/>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ebextensions/webextension2.xml><?xml version="1.0" encoding="utf-8"?>
<we:webextension xmlns:we="http://schemas.microsoft.com/office/webextensions/webextension/2010/11" id="{F5DD48B9-40B9-4D76-89BC-5A53A9614248}">
  <we:reference id="wa200005502" version="1.0.0.12" store="en-GB" storeType="OMEX"/>
  <we:alternateReferences>
    <we:reference id="wa200005502" version="1.0.0.12" store="wa200005502" storeType="OMEX"/>
  </we:alternateReferences>
  <we:properties>
    <we:property name="docId" value="&quot;Xaxw_pMUpvrwfX2hy7aRm&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3" Type="http://schemas.openxmlformats.org/officeDocument/2006/relationships/hyperlink" Target="https://info.stout.com/e3t/Ctc/GC+113/cw-PH04/VVXxCF2zLn_0V-rRGH5skjpMW8mS6hr5T25njN20xtt-5nR3bW5BWr2F6lZ3krW8mNLpx3m4BxcVkgnh05lPtMBVS5MZH4fB5fvW119h9r7TPmqFW3jgfTm5QYnyDW7sTX2L8WMGHZW5fhbn42TtS3rW2Ffqg35vd1HmW5L9hXT1Hjdb0W1ynTlT4T3XkjW8Ns4Jv7ghqWxN33x4DWbvzG7W8G8p5K687-JLN7kjd0WwKtTTW73vQym4s6BvhW2p8VW_3bQTVkW4DgsxS8DPfkBW7_58Hr7SWwvTW9gMnbc3G6C_0W6bclKR1kRCpXW8-P3p14PhDN0W2BFlw61TWnMyW1L0XK-1Hdzy8W4J_3p_6KfJ9ZW7n3PTH5J9x5JW2dPwhF34qz5tW559sz01rK841W5-KGky3f3qlYW33kwvC4JQ3zTN8CHY3bqJqXrW9dKwWf7xyxP8W2J_s_-2X4HrpW5MzgjV4FnL3NVzFZxn3w4zbFf6Nm-9Y04" TargetMode="External"/><Relationship Id="rId2" Type="http://schemas.openxmlformats.org/officeDocument/2006/relationships/hyperlink" Target="https://www.icaew.com/-/media/corporate/files/technical/corporate-finance/valuation/valuation-webinars/683---2746782-models-used-for-calculating-illiquidity.ashx?la=en" TargetMode="External"/><Relationship Id="rId1" Type="http://schemas.openxmlformats.org/officeDocument/2006/relationships/hyperlink" Target="https://download.ssrn.com/2024/11/17/5024021.pdf?response-content-disposition=inline&amp;X-Amz-Security-Token=IQoJb3JpZ2luX2VjEAQaCXVzLWVhc3QtMSJHMEUCIAE3GEvBqTpT0X3rYohBHj17xsm0KlMVXepn5XHNGoPdAiEA1hFPstCexK6AMfWmgJBV5WjUUnCnrHDv4RulrNBBRrIqxgUIzf%2F%2F%2F%2F%2F%2F%2F%2F%2F%2FARAEGgwzMDg0NzUzMDEyNTciDPZg9sciTs95G0O8HSqaBWyUIMncCgThnLpnBDC4Ru4jMXuS4LVnQEdBT%2FinWO5xtrrNYkDE5mgPlmnCukcl%2BB1m6GUhbp%2B1EuDQFTlXYSTp0OxMpUR04vX768Y0T9X%2FYRCDYSIYesTV65ce%2FLOAaIESXiIDmIK906g%2BwG2rGxkg4AsnXMyzeLmBXJ%2FXfmvlJ%2Fx0ViuWmEDJOcORv61PZFAKimn3d10qKBwxWaVD6fJQk7Z62iyzY0p6HCVZkks5toNRbfcAVWSy59Uyynee4m47MY12hwNbsl0TWvQZPglwNtwjZ06Q2ZACSN0IYrbE%2FVEZ6%2FH2%2FdPsmUgiEv5CTkPWx%2Fxo0RFpIn4QcYYkstI%2Bv5qISPtXINxzCOINhEAWv0u85aJVrX7Rt%2FqedIMVoA%2B5nQj9QWv54ML4K3O0%2BXd7VqDa8DxrjB0wIPZzaIeS62b97yRMy0qe1BlRkpvEb%2B3Mcl7ziWZX1y2EC5HK7EDZPdygR6cIDYGHTH2Jv%2Byzu%2BM%2Bj2hSFvGcuwHeFkwtZ1m3gDMkYZn4dbt%2BU%2FZQjzkqrP5UlicoK9LDGuRWxm6Bl0vXL1R3O9hNxjufwwBARcZViIioE3fVf%2F4tg2kSFmoQe4zvXF%2FOas1lD0i2MsjuBxxt7Pl5FquXcSa%2BBLREeCZBc0gvIlMh7JMk4g0UdrR%2BWm69%2BuETaIhfhakt48d4KsRkcCOWZZQIZrrHxwlOhjEl2C8dn0%2FaerS2LQB4cD26st50eTbqANFsYPOsrTrdtne1kN8IRdHvWwjfSKgMuVTGOwPvz7%2FbE6Y95dDq%2B0TTjFtbp9TqtPPa1iIklUsK8kUTzPS%2FT1ja9TWLqditCMfGHlySiplB28L2oPZAUEQx1UlzSk7IejHAQNu5SP6%2B7s5T50FBkinflDCs1qnUBjqxAYw%2BEl%2FdnD5%2BNgiapKyZ%2B3LkUT%2BRw1nC2PPQF4Rj0SzkY%2BwVNrBgw7tLzrqIixTooTMB3rD9jq1alKhl1sGRSTmN8coonWmdSKWmuTXnTfeJavMMVHCuMcAHsQ6kZfK17c3EirqT5Qdz%2BzGyt1%2F43ccKJYbts7TYQ3qhtMEAv%2FSj2JP8%2FVUleO4RbwGUhvP72E1vX2SsjiywlihMBicsPkHnkTqSbm%2B71YvspoB3rHYhsw%3D%3D&amp;X-Amz-Algorithm=AWS4-HMAC-SHA256&amp;X-Amz-Date=20260823T041944Z&amp;X-Amz-SignedHeaders=host&amp;X-Amz-Expires=300&amp;X-Amz-Credential=ASIAUPUUPRWEWU4MOLZA%2F20260823%2Fus-east-1%2Fs3%2Faws4_request&amp;X-Amz-Signature=82b9943dc65a6db9533c96329d3ed2d7817fca076739ad5210c65bb66ee34ae7&amp;abstractId=5024021" TargetMode="External"/><Relationship Id="rId5" Type="http://schemas.openxmlformats.org/officeDocument/2006/relationships/drawing" Target="../drawings/drawing5.xml"/><Relationship Id="rId4" Type="http://schemas.openxmlformats.org/officeDocument/2006/relationships/hyperlink" Target="https://www.bvresources.com/docs/default-source/free-downloads/rss-companion.pdf?sfvrsn=b0ebc8b2_18"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hyperlink" Target="https://www.mckinsey.com/capabilities/quantumblack/our-insights/the-state-of-ai"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3.bin"/></Relationships>
</file>

<file path=xl/worksheets/_rels/sheet1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35.xml.rels><?xml version="1.0" encoding="UTF-8" standalone="yes"?>
<Relationships xmlns="http://schemas.openxmlformats.org/package/2006/relationships"><Relationship Id="rId3" Type="http://schemas.openxmlformats.org/officeDocument/2006/relationships/drawing" Target="../drawings/drawing19.xml"/><Relationship Id="rId2" Type="http://schemas.openxmlformats.org/officeDocument/2006/relationships/printerSettings" Target="../printerSettings/printerSettings4.bin"/><Relationship Id="rId1" Type="http://schemas.openxmlformats.org/officeDocument/2006/relationships/hyperlink" Target="https://www.sec.gov/Archives/edgar/data/1650372/000165037226000024/ex991q3fy26.ht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268CE-8198-4CE8-A4C9-E304CF2F34C2}">
  <sheetPr codeName="Sheet1">
    <tabColor rgb="FF0067ED"/>
  </sheetPr>
  <dimension ref="A1:I34"/>
  <sheetViews>
    <sheetView showGridLines="0" zoomScale="97" workbookViewId="0">
      <selection activeCell="G11" sqref="G11"/>
    </sheetView>
  </sheetViews>
  <sheetFormatPr defaultColWidth="8.7265625" defaultRowHeight="14.5"/>
  <cols>
    <col min="1" max="1" width="10.453125" style="102" bestFit="1" customWidth="1"/>
    <col min="2" max="3" width="8.7265625" style="102"/>
    <col min="4" max="4" width="20.7265625" style="102" bestFit="1" customWidth="1"/>
    <col min="5" max="5" width="22" style="102" customWidth="1"/>
    <col min="6" max="16384" width="8.7265625" style="102"/>
  </cols>
  <sheetData>
    <row r="1" spans="1:9">
      <c r="A1" s="929" t="s">
        <v>0</v>
      </c>
    </row>
    <row r="2" spans="1:9">
      <c r="A2" s="161" t="s">
        <v>1</v>
      </c>
    </row>
    <row r="3" spans="1:9">
      <c r="A3" s="161" t="s">
        <v>2</v>
      </c>
    </row>
    <row r="4" spans="1:9" ht="15" thickBot="1">
      <c r="A4" s="161" t="s">
        <v>3</v>
      </c>
    </row>
    <row r="5" spans="1:9" ht="15" thickBot="1">
      <c r="D5" s="934" t="s">
        <v>4</v>
      </c>
      <c r="E5" s="933" t="s">
        <v>5</v>
      </c>
      <c r="F5" s="930"/>
      <c r="G5" s="931"/>
      <c r="H5" s="931"/>
      <c r="I5" s="932"/>
    </row>
    <row r="6" spans="1:9">
      <c r="D6" s="946"/>
      <c r="E6" s="947"/>
      <c r="F6" s="930"/>
      <c r="G6" s="931"/>
      <c r="H6" s="931"/>
      <c r="I6" s="932"/>
    </row>
    <row r="7" spans="1:9">
      <c r="C7" s="931"/>
      <c r="D7" s="929" t="s">
        <v>6</v>
      </c>
      <c r="E7" s="931"/>
      <c r="F7" s="931"/>
      <c r="G7" s="931"/>
      <c r="H7" s="931"/>
      <c r="I7" s="931"/>
    </row>
    <row r="8" spans="1:9">
      <c r="C8" s="931"/>
      <c r="D8" s="931" t="s">
        <v>7</v>
      </c>
      <c r="E8" s="945">
        <f>IF(E9&lt;=0,1,1-E9)</f>
        <v>1</v>
      </c>
      <c r="F8" s="931"/>
      <c r="G8" s="931"/>
      <c r="H8" s="931"/>
      <c r="I8" s="931"/>
    </row>
    <row r="9" spans="1:9">
      <c r="C9" s="931"/>
      <c r="D9" s="935" t="s">
        <v>8</v>
      </c>
      <c r="E9" s="938">
        <v>0</v>
      </c>
      <c r="F9" s="935"/>
      <c r="G9" s="935"/>
      <c r="H9" s="935"/>
      <c r="I9" s="935"/>
    </row>
    <row r="10" spans="1:9">
      <c r="C10" s="931"/>
      <c r="D10" s="935" t="s">
        <v>9</v>
      </c>
      <c r="E10" s="937">
        <f ca="1">E8*'DCF FINAL'!J61+E9*AVERAGE('Comp. Multi &amp; Imp. Val'!Y48:Z50)</f>
        <v>107.76789341695988</v>
      </c>
      <c r="F10" s="935"/>
      <c r="G10" s="935"/>
      <c r="H10" s="935"/>
      <c r="I10" s="935"/>
    </row>
    <row r="11" spans="1:9">
      <c r="C11" s="931"/>
      <c r="D11" s="935"/>
      <c r="E11" s="937"/>
      <c r="F11" s="935"/>
      <c r="G11" s="935"/>
      <c r="H11" s="935"/>
      <c r="I11" s="935"/>
    </row>
    <row r="12" spans="1:9">
      <c r="C12" s="931"/>
      <c r="D12" s="935" t="s">
        <v>10</v>
      </c>
      <c r="E12" s="939">
        <f ca="1">(E10-E13)/E13</f>
        <v>-0.39497607110059513</v>
      </c>
      <c r="F12" s="935"/>
      <c r="G12" s="940"/>
      <c r="H12" s="935"/>
      <c r="I12" s="935"/>
    </row>
    <row r="13" spans="1:9">
      <c r="C13" s="931"/>
      <c r="D13" s="935" t="s">
        <v>11</v>
      </c>
      <c r="E13" s="937">
        <f ca="1">'VWAP LIVE'!I5</f>
        <v>178.1217043977083</v>
      </c>
      <c r="F13" s="935"/>
      <c r="G13" s="935"/>
      <c r="H13" s="935"/>
      <c r="I13" s="935"/>
    </row>
    <row r="14" spans="1:9">
      <c r="C14" s="931"/>
      <c r="D14" s="935"/>
      <c r="E14" s="935"/>
      <c r="F14" s="935"/>
      <c r="G14" s="935"/>
      <c r="H14" s="935"/>
      <c r="I14" s="935"/>
    </row>
    <row r="15" spans="1:9">
      <c r="C15" s="931"/>
      <c r="D15" s="935"/>
      <c r="E15" s="935"/>
      <c r="F15" s="935"/>
      <c r="G15" s="935"/>
      <c r="H15" s="935"/>
      <c r="I15" s="935"/>
    </row>
    <row r="18" spans="3:6">
      <c r="C18" s="931"/>
      <c r="F18" s="936"/>
    </row>
    <row r="19" spans="3:6">
      <c r="C19" s="931"/>
      <c r="D19" s="931"/>
      <c r="E19" s="931"/>
      <c r="F19" s="931"/>
    </row>
    <row r="20" spans="3:6">
      <c r="C20" s="931"/>
      <c r="D20" s="931"/>
      <c r="E20" s="931"/>
      <c r="F20" s="931"/>
    </row>
    <row r="21" spans="3:6">
      <c r="C21" s="931"/>
      <c r="D21" s="931"/>
      <c r="E21" s="931"/>
      <c r="F21" s="931"/>
    </row>
    <row r="34" spans="6:6">
      <c r="F34" s="161"/>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2BAA1B82-1EB8-4096-B362-039D0C0B0A0C}">
          <x14:formula1>
            <xm:f>'IS Assumption'!$D$12:$D$16</xm:f>
          </x14:formula1>
          <xm:sqref>E5:E6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3FC36-A299-4B66-A019-322A458B039D}">
  <sheetPr codeName="Sheet2">
    <tabColor rgb="FF0067ED"/>
  </sheetPr>
  <dimension ref="B1:W64"/>
  <sheetViews>
    <sheetView showGridLines="0" topLeftCell="B5" zoomScale="131" zoomScaleNormal="120" zoomScaleSheetLayoutView="113" zoomScalePageLayoutView="71" workbookViewId="0">
      <selection activeCell="P23" sqref="P23"/>
    </sheetView>
  </sheetViews>
  <sheetFormatPr defaultColWidth="8.7265625" defaultRowHeight="12"/>
  <cols>
    <col min="1" max="1" width="3" style="332" customWidth="1"/>
    <col min="2" max="2" width="24" style="332" customWidth="1"/>
    <col min="3" max="3" width="14.81640625" style="332" customWidth="1"/>
    <col min="4" max="8" width="7.54296875" style="332" bestFit="1" customWidth="1"/>
    <col min="9" max="9" width="8" style="332" bestFit="1" customWidth="1"/>
    <col min="10" max="10" width="8.08984375" style="332" bestFit="1" customWidth="1"/>
    <col min="11" max="15" width="8.453125" style="332" bestFit="1" customWidth="1"/>
    <col min="16" max="16" width="8.6328125" style="332" bestFit="1" customWidth="1"/>
    <col min="17" max="17" width="13.7265625" style="332" bestFit="1" customWidth="1"/>
    <col min="18" max="18" width="13.453125" style="332" bestFit="1" customWidth="1"/>
    <col min="19" max="19" width="8.7265625" style="332"/>
    <col min="20" max="20" width="43.453125" style="332" bestFit="1" customWidth="1"/>
    <col min="21" max="21" width="9.7265625" style="332" bestFit="1" customWidth="1"/>
    <col min="22" max="22" width="8.7265625" style="332"/>
    <col min="23" max="23" width="10.453125" style="332" bestFit="1" customWidth="1"/>
    <col min="24" max="16384" width="8.7265625" style="332"/>
  </cols>
  <sheetData>
    <row r="1" spans="2:23">
      <c r="B1" s="258" t="s">
        <v>12</v>
      </c>
    </row>
    <row r="2" spans="2:23">
      <c r="B2" s="258" t="s">
        <v>1</v>
      </c>
      <c r="D2" s="364">
        <f>D12/D11</f>
        <v>0.11375980145870361</v>
      </c>
      <c r="E2" s="364">
        <f t="shared" ref="E2:P2" si="0">E12/E11</f>
        <v>0.12151410250764433</v>
      </c>
      <c r="F2" s="364">
        <f t="shared" si="0"/>
        <v>0.1464043081371246</v>
      </c>
      <c r="G2" s="364">
        <f t="shared" si="0"/>
        <v>0.16445348007877447</v>
      </c>
      <c r="H2" s="364">
        <f t="shared" si="0"/>
        <v>0.16628194859683254</v>
      </c>
      <c r="I2" s="364">
        <f t="shared" si="0"/>
        <v>0.15648426247060576</v>
      </c>
      <c r="J2" s="364">
        <f t="shared" si="0"/>
        <v>0.13026808847059512</v>
      </c>
      <c r="K2" s="364">
        <f t="shared" si="0"/>
        <v>0.15840599982083434</v>
      </c>
      <c r="L2" s="364">
        <f t="shared" si="0"/>
        <v>0.16340599982083434</v>
      </c>
      <c r="M2" s="364">
        <f t="shared" si="0"/>
        <v>0.16840599982083435</v>
      </c>
      <c r="N2" s="364">
        <f t="shared" si="0"/>
        <v>0.17340599982083435</v>
      </c>
      <c r="O2" s="364">
        <f t="shared" si="0"/>
        <v>0.17840599982083435</v>
      </c>
      <c r="P2" s="364">
        <f t="shared" si="0"/>
        <v>0.18340599982083436</v>
      </c>
    </row>
    <row r="3" spans="2:23">
      <c r="C3" s="332" t="s">
        <v>13</v>
      </c>
      <c r="D3" s="364">
        <f>D13/D11</f>
        <v>0.88624019854129643</v>
      </c>
      <c r="E3" s="364">
        <f t="shared" ref="E3:P3" si="1">E13/E11</f>
        <v>0.87848589749235573</v>
      </c>
      <c r="F3" s="364">
        <f t="shared" si="1"/>
        <v>0.85359569186287543</v>
      </c>
      <c r="G3" s="364">
        <f t="shared" si="1"/>
        <v>0.83554651992122553</v>
      </c>
      <c r="H3" s="364">
        <f t="shared" si="1"/>
        <v>0.83371805140316746</v>
      </c>
      <c r="I3" s="364">
        <f t="shared" si="1"/>
        <v>0.84351573752939424</v>
      </c>
      <c r="J3" s="364">
        <f t="shared" si="1"/>
        <v>0.86973191152940488</v>
      </c>
      <c r="K3" s="364">
        <f>K13/K11</f>
        <v>0.84159400017916564</v>
      </c>
      <c r="L3" s="364">
        <f t="shared" si="1"/>
        <v>0.83659400017916563</v>
      </c>
      <c r="M3" s="364">
        <f t="shared" si="1"/>
        <v>0.83159400017916563</v>
      </c>
      <c r="N3" s="364">
        <f t="shared" si="1"/>
        <v>0.82659400017916573</v>
      </c>
      <c r="O3" s="364">
        <f t="shared" si="1"/>
        <v>0.82159400017916573</v>
      </c>
      <c r="P3" s="364">
        <f t="shared" si="1"/>
        <v>0.81659400017916561</v>
      </c>
    </row>
    <row r="4" spans="2:23">
      <c r="C4" s="332" t="s">
        <v>14</v>
      </c>
      <c r="D4" s="364">
        <f>SUM(D14:D16)/D11</f>
        <v>0.82474431179309793</v>
      </c>
      <c r="E4" s="364">
        <f t="shared" ref="E4:P4" si="2">SUM(E14:E16)/E11</f>
        <v>0.79050868973334387</v>
      </c>
      <c r="F4" s="364">
        <f t="shared" si="2"/>
        <v>0.87182835381582258</v>
      </c>
      <c r="G4" s="364">
        <f t="shared" si="2"/>
        <v>0.91836723723755165</v>
      </c>
      <c r="H4" s="364">
        <f t="shared" si="2"/>
        <v>0.84251421843191487</v>
      </c>
      <c r="I4" s="364">
        <f t="shared" si="2"/>
        <v>0.85342004991463571</v>
      </c>
      <c r="J4" s="364">
        <f t="shared" si="2"/>
        <v>0.84675322580743329</v>
      </c>
      <c r="K4" s="364">
        <f t="shared" si="2"/>
        <v>0.81654137960044804</v>
      </c>
      <c r="L4" s="364">
        <f t="shared" si="2"/>
        <v>0.79654137960044813</v>
      </c>
      <c r="M4" s="364">
        <f t="shared" si="2"/>
        <v>0.77654137960044811</v>
      </c>
      <c r="N4" s="364">
        <f t="shared" si="2"/>
        <v>0.73654137960044797</v>
      </c>
      <c r="O4" s="364">
        <f t="shared" si="2"/>
        <v>0.69654137960044793</v>
      </c>
      <c r="P4" s="364">
        <f t="shared" si="2"/>
        <v>0.65654137960044801</v>
      </c>
    </row>
    <row r="5" spans="2:23">
      <c r="D5" s="343">
        <v>43983</v>
      </c>
      <c r="E5" s="343">
        <v>44377</v>
      </c>
      <c r="F5" s="343">
        <f t="shared" ref="F5:P5" si="3">EDATE(E5,12)</f>
        <v>44742</v>
      </c>
      <c r="G5" s="343">
        <f t="shared" si="3"/>
        <v>45107</v>
      </c>
      <c r="H5" s="343">
        <f t="shared" si="3"/>
        <v>45473</v>
      </c>
      <c r="I5" s="343">
        <f>EDATE(H5,12)</f>
        <v>45838</v>
      </c>
      <c r="J5" s="343">
        <f t="shared" si="3"/>
        <v>46203</v>
      </c>
      <c r="K5" s="343">
        <f t="shared" si="3"/>
        <v>46568</v>
      </c>
      <c r="L5" s="343">
        <f t="shared" si="3"/>
        <v>46934</v>
      </c>
      <c r="M5" s="343">
        <f t="shared" si="3"/>
        <v>47299</v>
      </c>
      <c r="N5" s="343">
        <f t="shared" si="3"/>
        <v>47664</v>
      </c>
      <c r="O5" s="343">
        <f t="shared" si="3"/>
        <v>48029</v>
      </c>
      <c r="P5" s="343">
        <f t="shared" si="3"/>
        <v>48395</v>
      </c>
    </row>
    <row r="6" spans="2:23" ht="14.5">
      <c r="B6" s="928" t="s">
        <v>15</v>
      </c>
      <c r="C6" s="927" t="str">
        <f>Cover!E5</f>
        <v>Base Case</v>
      </c>
      <c r="D6" s="344" t="s">
        <v>16</v>
      </c>
      <c r="E6" s="344" t="s">
        <v>16</v>
      </c>
      <c r="F6" s="344" t="s">
        <v>16</v>
      </c>
      <c r="G6" s="344" t="s">
        <v>16</v>
      </c>
      <c r="H6" s="344" t="s">
        <v>16</v>
      </c>
      <c r="I6" s="344" t="s">
        <v>16</v>
      </c>
      <c r="J6" s="344" t="s">
        <v>16</v>
      </c>
      <c r="K6" s="345" t="s">
        <v>17</v>
      </c>
      <c r="L6" s="345" t="s">
        <v>17</v>
      </c>
      <c r="M6" s="345" t="s">
        <v>17</v>
      </c>
      <c r="N6" s="345" t="s">
        <v>17</v>
      </c>
      <c r="O6" s="345" t="s">
        <v>17</v>
      </c>
      <c r="P6" s="345" t="s">
        <v>17</v>
      </c>
      <c r="T6" s="1052" t="s">
        <v>18</v>
      </c>
      <c r="U6" s="1052"/>
      <c r="V6" s="1052"/>
      <c r="W6" s="1052"/>
    </row>
    <row r="7" spans="2:23">
      <c r="K7" s="332">
        <v>1</v>
      </c>
      <c r="L7" s="332">
        <v>2</v>
      </c>
      <c r="M7" s="332">
        <v>3</v>
      </c>
      <c r="N7" s="332">
        <v>4</v>
      </c>
      <c r="O7" s="332">
        <v>5</v>
      </c>
      <c r="P7" s="332">
        <v>6</v>
      </c>
      <c r="T7" s="346" t="s">
        <v>19</v>
      </c>
      <c r="U7" s="213"/>
      <c r="V7" s="213"/>
      <c r="W7" s="213"/>
    </row>
    <row r="8" spans="2:23">
      <c r="G8" s="506"/>
      <c r="T8" s="347" t="s">
        <v>20</v>
      </c>
      <c r="U8" s="347"/>
      <c r="V8" s="347"/>
      <c r="W8" s="347"/>
    </row>
    <row r="9" spans="2:23">
      <c r="B9" s="348"/>
      <c r="C9" s="348"/>
      <c r="D9" s="348"/>
      <c r="E9" s="348"/>
      <c r="F9" s="348"/>
      <c r="G9" s="348"/>
      <c r="H9" s="348"/>
      <c r="I9" s="348"/>
      <c r="J9" s="348"/>
      <c r="K9" s="348"/>
      <c r="L9" s="348"/>
      <c r="M9" s="348"/>
      <c r="N9" s="348"/>
      <c r="O9" s="348"/>
      <c r="P9" s="348"/>
      <c r="T9" s="213" t="s">
        <v>21</v>
      </c>
      <c r="U9" s="1053">
        <f>P31</f>
        <v>2422.7726545122505</v>
      </c>
      <c r="V9" s="1054"/>
      <c r="W9" s="1054"/>
    </row>
    <row r="10" spans="2:23">
      <c r="E10" s="364">
        <f t="shared" ref="E10:H10" si="4">E11/D11-1</f>
        <v>0.29424293430753701</v>
      </c>
      <c r="F10" s="364">
        <f t="shared" si="4"/>
        <v>0.34164906765106262</v>
      </c>
      <c r="G10" s="364">
        <f t="shared" si="4"/>
        <v>0.2610759211411684</v>
      </c>
      <c r="H10" s="364">
        <f t="shared" si="4"/>
        <v>0.23310842638600127</v>
      </c>
      <c r="I10" s="364">
        <f>I11/H11-1</f>
        <v>0.19655403348274669</v>
      </c>
      <c r="J10" s="364">
        <f t="shared" ref="J10:P10" si="5">J11/I11-1</f>
        <v>0.26019652929148518</v>
      </c>
      <c r="K10" s="364">
        <f t="shared" si="5"/>
        <v>0.14729193072471292</v>
      </c>
      <c r="L10" s="364">
        <f t="shared" si="5"/>
        <v>0.21108026685692627</v>
      </c>
      <c r="M10" s="364">
        <f t="shared" si="5"/>
        <v>0.20625792674238363</v>
      </c>
      <c r="N10" s="364">
        <f t="shared" si="5"/>
        <v>0.17805129471110792</v>
      </c>
      <c r="O10" s="364">
        <f t="shared" si="5"/>
        <v>0.13031412252097141</v>
      </c>
      <c r="P10" s="364">
        <f t="shared" si="5"/>
        <v>0.10145760739666554</v>
      </c>
      <c r="T10" s="217" t="s">
        <v>22</v>
      </c>
      <c r="U10" s="1055">
        <f ca="1">WACC!H55</f>
        <v>9.8174267939294457E-2</v>
      </c>
      <c r="V10" s="1056"/>
      <c r="W10" s="1056"/>
    </row>
    <row r="11" spans="2:23">
      <c r="B11" s="332" t="s">
        <v>23</v>
      </c>
      <c r="C11" s="333"/>
      <c r="D11" s="333">
        <f>'IS Intergrated'!E10</f>
        <v>1614.173</v>
      </c>
      <c r="E11" s="333">
        <f>'IS Intergrated'!F10</f>
        <v>2089.1320000000001</v>
      </c>
      <c r="F11" s="333">
        <f>'IS Intergrated'!G10</f>
        <v>2802.8819999999996</v>
      </c>
      <c r="G11" s="333">
        <f>'IS Intergrated'!H10</f>
        <v>3534.6469999999999</v>
      </c>
      <c r="H11" s="333">
        <f>'IS Intergrated'!I10</f>
        <v>4358.6030000000001</v>
      </c>
      <c r="I11" s="333">
        <f>'IS Intergrated'!J10</f>
        <v>5215.3040000000001</v>
      </c>
      <c r="J11" s="333">
        <f>'IS Intergrated'!K10</f>
        <v>6572.308</v>
      </c>
      <c r="K11" s="333">
        <f>'IS Intergrated'!L10</f>
        <v>7540.3559346374768</v>
      </c>
      <c r="L11" s="333">
        <f>'IS Intergrated'!M10</f>
        <v>9131.9762775169638</v>
      </c>
      <c r="M11" s="333">
        <f>'IS Intergrated'!N10</f>
        <v>11015.518771578243</v>
      </c>
      <c r="N11" s="333">
        <f>'IS Intergrated'!O10</f>
        <v>12976.846150772262</v>
      </c>
      <c r="O11" s="333">
        <f>'IS Intergrated'!P10</f>
        <v>14667.912469999794</v>
      </c>
      <c r="P11" s="333">
        <f>'IS Intergrated'!Q10</f>
        <v>16156.083774709687</v>
      </c>
      <c r="T11" s="213" t="s">
        <v>24</v>
      </c>
      <c r="U11" s="1057">
        <f>P36</f>
        <v>0.10145760739666554</v>
      </c>
      <c r="V11" s="1051"/>
      <c r="W11" s="1051"/>
    </row>
    <row r="12" spans="2:23">
      <c r="B12" s="332" t="s">
        <v>25</v>
      </c>
      <c r="C12" s="333"/>
      <c r="D12" s="333">
        <f>'IS Intergrated'!E17</f>
        <v>183.62799999999999</v>
      </c>
      <c r="E12" s="333">
        <f>'IS Intergrated'!F17</f>
        <v>253.85900000000001</v>
      </c>
      <c r="F12" s="333">
        <f>'IS Intergrated'!G17</f>
        <v>410.35399999999998</v>
      </c>
      <c r="G12" s="333">
        <f>'IS Intergrated'!H17</f>
        <v>581.28499999999997</v>
      </c>
      <c r="H12" s="333">
        <f>'IS Intergrated'!I17</f>
        <v>724.75700000000006</v>
      </c>
      <c r="I12" s="333">
        <f>'IS Intergrated'!J17</f>
        <v>816.11300000000006</v>
      </c>
      <c r="J12" s="333">
        <f>'IS Intergrated'!K17</f>
        <v>856.16200000000003</v>
      </c>
      <c r="K12" s="333">
        <f>'IS Intergrated'!L17</f>
        <v>1194.4376208312112</v>
      </c>
      <c r="L12" s="333">
        <f>'IS Intergrated'!M17</f>
        <v>1492.2197139678005</v>
      </c>
      <c r="M12" s="333">
        <f>'IS Intergrated'!N17</f>
        <v>1855.0794522728029</v>
      </c>
      <c r="N12" s="333">
        <f>'IS Intergrated'!O17</f>
        <v>2250.2629812958098</v>
      </c>
      <c r="O12" s="333">
        <f>'IS Intergrated'!P17</f>
        <v>2616.843589494797</v>
      </c>
      <c r="P12" s="333">
        <f>'IS Intergrated'!Q17</f>
        <v>2963.1226978897898</v>
      </c>
      <c r="T12" s="213" t="s">
        <v>26</v>
      </c>
      <c r="U12" s="1058">
        <f>J44</f>
        <v>3.5000000000000003E-2</v>
      </c>
      <c r="V12" s="1051"/>
      <c r="W12" s="1051"/>
    </row>
    <row r="13" spans="2:23">
      <c r="B13" s="349" t="s">
        <v>27</v>
      </c>
      <c r="C13" s="333"/>
      <c r="D13" s="350">
        <f t="shared" ref="D13:P13" si="6">D11-D12</f>
        <v>1430.5450000000001</v>
      </c>
      <c r="E13" s="350">
        <f t="shared" si="6"/>
        <v>1835.2730000000001</v>
      </c>
      <c r="F13" s="350">
        <f t="shared" si="6"/>
        <v>2392.5279999999998</v>
      </c>
      <c r="G13" s="350">
        <f t="shared" si="6"/>
        <v>2953.3620000000001</v>
      </c>
      <c r="H13" s="350">
        <f t="shared" si="6"/>
        <v>3633.846</v>
      </c>
      <c r="I13" s="350">
        <f t="shared" si="6"/>
        <v>4399.1909999999998</v>
      </c>
      <c r="J13" s="350">
        <f t="shared" si="6"/>
        <v>5716.1459999999997</v>
      </c>
      <c r="K13" s="350">
        <f t="shared" si="6"/>
        <v>6345.9183138062654</v>
      </c>
      <c r="L13" s="350">
        <f t="shared" si="6"/>
        <v>7639.7565635491628</v>
      </c>
      <c r="M13" s="350">
        <f t="shared" si="6"/>
        <v>9160.4393193054402</v>
      </c>
      <c r="N13" s="350">
        <f t="shared" si="6"/>
        <v>10726.583169476453</v>
      </c>
      <c r="O13" s="350">
        <f t="shared" si="6"/>
        <v>12051.068880504998</v>
      </c>
      <c r="P13" s="350">
        <f t="shared" si="6"/>
        <v>13192.961076819896</v>
      </c>
      <c r="T13" s="213" t="s">
        <v>28</v>
      </c>
      <c r="U13" s="1051">
        <v>8</v>
      </c>
      <c r="V13" s="1051"/>
      <c r="W13" s="1051"/>
    </row>
    <row r="14" spans="2:23">
      <c r="B14" s="332" t="s">
        <v>29</v>
      </c>
      <c r="C14" s="333"/>
      <c r="D14" s="333">
        <f>'IS Intergrated'!E25</f>
        <v>763.18799999999999</v>
      </c>
      <c r="E14" s="333">
        <f>'IS Intergrated'!F25</f>
        <v>963.32600000000002</v>
      </c>
      <c r="F14" s="333">
        <f>'IS Intergrated'!G25</f>
        <v>1397.568</v>
      </c>
      <c r="G14" s="333">
        <f>'IS Intergrated'!H25</f>
        <v>1869.8810000000001</v>
      </c>
      <c r="H14" s="333">
        <f>'IS Intergrated'!I25</f>
        <v>2184.1109999999999</v>
      </c>
      <c r="I14" s="333">
        <f>'IS Intergrated'!J25</f>
        <v>2669.3119999999999</v>
      </c>
      <c r="J14" s="333">
        <f>'IS Intergrated'!K25</f>
        <v>3269.2570000000001</v>
      </c>
      <c r="K14" s="333">
        <f>'IS Intergrated'!L25</f>
        <v>3488.1886683219495</v>
      </c>
      <c r="L14" s="333">
        <f>'IS Intergrated'!M25</f>
        <v>3996.177056340729</v>
      </c>
      <c r="M14" s="333">
        <f>'IS Intergrated'!N25</f>
        <v>4545.0322815875934</v>
      </c>
      <c r="N14" s="333">
        <f>'IS Intergrated'!O25</f>
        <v>5029.8600100587382</v>
      </c>
      <c r="O14" s="333">
        <f>'IS Intergrated'!P25</f>
        <v>5318.623991922871</v>
      </c>
      <c r="P14" s="333">
        <f>'IS Intergrated'!Q25</f>
        <v>5454.3367624181255</v>
      </c>
      <c r="T14" s="213" t="s">
        <v>30</v>
      </c>
      <c r="U14" s="1051">
        <f>U13/2</f>
        <v>4</v>
      </c>
      <c r="V14" s="1051"/>
      <c r="W14" s="1051"/>
    </row>
    <row r="15" spans="2:23">
      <c r="B15" s="332" t="s">
        <v>31</v>
      </c>
      <c r="C15" s="333"/>
      <c r="D15" s="333">
        <f>'IS Intergrated'!E26</f>
        <v>299.68299999999999</v>
      </c>
      <c r="E15" s="333">
        <f>'IS Intergrated'!F26</f>
        <v>372.90899999999999</v>
      </c>
      <c r="F15" s="333">
        <f>'IS Intergrated'!G26</f>
        <v>567.69100000000003</v>
      </c>
      <c r="G15" s="333">
        <f>'IS Intergrated'!H26</f>
        <v>769.86099999999999</v>
      </c>
      <c r="H15" s="333">
        <f>'IS Intergrated'!I26</f>
        <v>877.49699999999996</v>
      </c>
      <c r="I15" s="333">
        <f>'IS Intergrated'!J26</f>
        <v>1134.5350000000001</v>
      </c>
      <c r="J15" s="333">
        <f>'IS Intergrated'!K26</f>
        <v>1541.1780000000001</v>
      </c>
      <c r="K15" s="333">
        <f>'IS Intergrated'!L26</f>
        <v>1768.1810832104518</v>
      </c>
      <c r="L15" s="333">
        <f>'IS Intergrated'!M26</f>
        <v>2232.7289808810528</v>
      </c>
      <c r="M15" s="333">
        <f>'IS Intergrated'!N26</f>
        <v>2803.4022191709964</v>
      </c>
      <c r="N15" s="333">
        <f>'IS Intergrated'!O26</f>
        <v>3172.7831523826626</v>
      </c>
      <c r="O15" s="333">
        <f>'IS Intergrated'!P26</f>
        <v>3439.5624801347326</v>
      </c>
      <c r="P15" s="333">
        <f>'IS Intergrated'!Q26</f>
        <v>3626.9714221134459</v>
      </c>
      <c r="T15" s="213"/>
      <c r="U15" s="213"/>
      <c r="V15" s="213"/>
      <c r="W15" s="213"/>
    </row>
    <row r="16" spans="2:23">
      <c r="B16" s="332" t="s">
        <v>32</v>
      </c>
      <c r="C16" s="333"/>
      <c r="D16" s="333">
        <f>'IS Intergrated'!E27</f>
        <v>268.40899999999999</v>
      </c>
      <c r="E16" s="333">
        <f>'IS Intergrated'!F27</f>
        <v>315.24200000000002</v>
      </c>
      <c r="F16" s="333">
        <f>'IS Intergrated'!G27</f>
        <v>478.37299999999999</v>
      </c>
      <c r="G16" s="333">
        <f>'IS Intergrated'!H27</f>
        <v>606.36199999999997</v>
      </c>
      <c r="H16" s="333">
        <f>'IS Intergrated'!I27</f>
        <v>610.577</v>
      </c>
      <c r="I16" s="333">
        <f>'IS Intergrated'!J27</f>
        <v>646.99800000000005</v>
      </c>
      <c r="J16" s="333">
        <f>'IS Intergrated'!K27</f>
        <v>754.68799999999999</v>
      </c>
      <c r="K16" s="333">
        <f>'IS Intergrated'!L27</f>
        <v>900.64288601491012</v>
      </c>
      <c r="L16" s="333">
        <f>'IS Intergrated'!M27</f>
        <v>1045.0909453501449</v>
      </c>
      <c r="M16" s="333">
        <f>'IS Intergrated'!N27</f>
        <v>1205.5716431374121</v>
      </c>
      <c r="N16" s="333">
        <f>'IS Intergrated'!O27</f>
        <v>1355.3410043111649</v>
      </c>
      <c r="O16" s="333">
        <f>'IS Intergrated'!P27</f>
        <v>1458.6215156546673</v>
      </c>
      <c r="P16" s="333">
        <f>'IS Intergrated'!Q27</f>
        <v>1525.8293458567391</v>
      </c>
      <c r="T16" s="347" t="s">
        <v>33</v>
      </c>
      <c r="U16" s="347"/>
      <c r="V16" s="347"/>
      <c r="W16" s="347"/>
    </row>
    <row r="17" spans="2:23">
      <c r="B17" s="349" t="s">
        <v>34</v>
      </c>
      <c r="C17" s="333"/>
      <c r="D17" s="350">
        <f t="shared" ref="D17:P17" si="7">D13-SUM(D14:D16)</f>
        <v>99.264999999999873</v>
      </c>
      <c r="E17" s="350">
        <f t="shared" si="7"/>
        <v>183.79600000000005</v>
      </c>
      <c r="F17" s="350">
        <f t="shared" si="7"/>
        <v>-51.104000000000269</v>
      </c>
      <c r="G17" s="350">
        <f t="shared" si="7"/>
        <v>-292.74200000000019</v>
      </c>
      <c r="H17" s="350">
        <f t="shared" si="7"/>
        <v>-38.338999999999487</v>
      </c>
      <c r="I17" s="350">
        <f t="shared" si="7"/>
        <v>-51.653999999999542</v>
      </c>
      <c r="J17" s="350">
        <f t="shared" si="7"/>
        <v>151.02299999999923</v>
      </c>
      <c r="K17" s="350">
        <f t="shared" si="7"/>
        <v>188.90567625895437</v>
      </c>
      <c r="L17" s="350">
        <f t="shared" si="7"/>
        <v>365.7595809772356</v>
      </c>
      <c r="M17" s="350">
        <f t="shared" si="7"/>
        <v>606.43317540943826</v>
      </c>
      <c r="N17" s="350">
        <f t="shared" si="7"/>
        <v>1168.5990027238877</v>
      </c>
      <c r="O17" s="350">
        <f t="shared" si="7"/>
        <v>1834.2608927927267</v>
      </c>
      <c r="P17" s="350">
        <f t="shared" si="7"/>
        <v>2585.8235464315858</v>
      </c>
      <c r="T17" s="213" t="s">
        <v>35</v>
      </c>
      <c r="U17" s="836">
        <f ca="1">U9*(1+U12)/(U10-U12)</f>
        <v>39692.896795096356</v>
      </c>
      <c r="V17" s="213"/>
      <c r="W17" s="213"/>
    </row>
    <row r="18" spans="2:23">
      <c r="B18" s="332" t="s">
        <v>36</v>
      </c>
      <c r="C18" s="333"/>
      <c r="D18" s="333">
        <f>'IS Intergrated'!E18</f>
        <v>85.17900000000003</v>
      </c>
      <c r="E18" s="333">
        <f>'IS Intergrated'!F18</f>
        <v>82.162000000000006</v>
      </c>
      <c r="F18" s="333">
        <f>'IS Intergrated'!G18</f>
        <v>55.353000000000009</v>
      </c>
      <c r="G18" s="333">
        <f>'IS Intergrated'!H18</f>
        <v>52.480000000000018</v>
      </c>
      <c r="H18" s="333">
        <f>'IS Intergrated'!I18</f>
        <v>78.738</v>
      </c>
      <c r="I18" s="333">
        <f>'IS Intergrated'!J18</f>
        <v>78.737999999999943</v>
      </c>
      <c r="J18" s="333">
        <f>'IS Intergrated'!K18</f>
        <v>140.66999999999999</v>
      </c>
      <c r="K18" s="333">
        <f>'IS Intergrated'!L18</f>
        <v>139.14995208890153</v>
      </c>
      <c r="L18" s="333">
        <f>'IS Intergrated'!M18</f>
        <v>147.09922482564593</v>
      </c>
      <c r="M18" s="333">
        <f>'IS Intergrated'!N18</f>
        <v>156.5064889785109</v>
      </c>
      <c r="N18" s="333">
        <f>'IS Intergrated'!O18</f>
        <v>166.30224607159414</v>
      </c>
      <c r="O18" s="333">
        <f>'IS Intergrated'!P18</f>
        <v>99.556197047027197</v>
      </c>
      <c r="P18" s="333">
        <f>'IS Intergrated'!Q18</f>
        <v>80.69079844161206</v>
      </c>
      <c r="T18" s="213" t="s">
        <v>37</v>
      </c>
      <c r="U18" s="836">
        <f ca="1">U9*U14*(U11-U12)/(U10-U12)</f>
        <v>10194.763098144453</v>
      </c>
      <c r="V18" s="213"/>
      <c r="W18" s="213"/>
    </row>
    <row r="19" spans="2:23">
      <c r="B19" s="349" t="s">
        <v>38</v>
      </c>
      <c r="C19" s="333"/>
      <c r="D19" s="350">
        <f t="shared" ref="D19:P19" si="8">D17-D18</f>
        <v>14.085999999999842</v>
      </c>
      <c r="E19" s="350">
        <f t="shared" si="8"/>
        <v>101.63400000000004</v>
      </c>
      <c r="F19" s="350">
        <f t="shared" si="8"/>
        <v>-106.45700000000028</v>
      </c>
      <c r="G19" s="350">
        <f t="shared" si="8"/>
        <v>-345.22200000000021</v>
      </c>
      <c r="H19" s="350">
        <f t="shared" si="8"/>
        <v>-117.07699999999949</v>
      </c>
      <c r="I19" s="350">
        <f t="shared" si="8"/>
        <v>-130.39199999999948</v>
      </c>
      <c r="J19" s="350">
        <f t="shared" si="8"/>
        <v>10.352999999999241</v>
      </c>
      <c r="K19" s="350">
        <f t="shared" si="8"/>
        <v>49.755724170052844</v>
      </c>
      <c r="L19" s="350">
        <f t="shared" si="8"/>
        <v>218.66035615158967</v>
      </c>
      <c r="M19" s="350">
        <f t="shared" si="8"/>
        <v>449.92668643092736</v>
      </c>
      <c r="N19" s="350">
        <f t="shared" si="8"/>
        <v>1002.2967566522935</v>
      </c>
      <c r="O19" s="350">
        <f t="shared" si="8"/>
        <v>1734.7046957456996</v>
      </c>
      <c r="P19" s="350">
        <f t="shared" si="8"/>
        <v>2505.1327479899737</v>
      </c>
      <c r="Q19" s="847"/>
      <c r="T19" s="325" t="s">
        <v>39</v>
      </c>
      <c r="U19" s="837">
        <f ca="1">SUM(U17+U18)</f>
        <v>49887.659893240809</v>
      </c>
      <c r="V19" s="837"/>
      <c r="W19" s="837"/>
    </row>
    <row r="20" spans="2:23">
      <c r="B20" s="332" t="s">
        <v>40</v>
      </c>
      <c r="C20" s="333"/>
      <c r="D20" s="333">
        <f>'IS Intergrated'!E31+'IS Intergrated'!E39</f>
        <v>-360.29500000000002</v>
      </c>
      <c r="E20" s="333">
        <f>'IS Intergrated'!F31+'IS Intergrated'!F39</f>
        <v>-736.298</v>
      </c>
      <c r="F20" s="333">
        <f>'IS Intergrated'!G31+'IS Intergrated'!G39</f>
        <v>-458.08499999999998</v>
      </c>
      <c r="G20" s="333">
        <f>'IS Intergrated'!H31+'IS Intergrated'!H39</f>
        <v>34.086000000000006</v>
      </c>
      <c r="H20" s="333">
        <f>'IS Intergrated'!I31+'IS Intergrated'!I39</f>
        <v>31.67</v>
      </c>
      <c r="I20" s="333">
        <f>'IS Intergrated'!J31+'IS Intergrated'!J39</f>
        <v>31.496999999999996</v>
      </c>
      <c r="J20" s="333">
        <f>'IS Intergrated'!K31</f>
        <v>11.694999999999993</v>
      </c>
      <c r="K20" s="333">
        <f>'IS Intergrated'!L31</f>
        <v>12.104538201755481</v>
      </c>
      <c r="L20" s="333">
        <f>'IS Intergrated'!M31</f>
        <v>22.941378335498136</v>
      </c>
      <c r="M20" s="333">
        <f>'IS Intergrated'!N31</f>
        <v>35.760400967062758</v>
      </c>
      <c r="N20" s="333">
        <f>'IS Intergrated'!O31</f>
        <v>57.610477730661167</v>
      </c>
      <c r="O20" s="333">
        <f>'IS Intergrated'!P31</f>
        <v>88.971913604855388</v>
      </c>
      <c r="P20" s="333">
        <f>'IS Intergrated'!Q31</f>
        <v>132.86385630132762</v>
      </c>
      <c r="T20" s="213" t="s">
        <v>41</v>
      </c>
      <c r="U20" s="351">
        <f ca="1">U19/(1+U10)^P7</f>
        <v>28442.355035525179</v>
      </c>
      <c r="V20" s="351"/>
      <c r="W20" s="351"/>
    </row>
    <row r="21" spans="2:23">
      <c r="B21" s="332" t="s">
        <v>42</v>
      </c>
      <c r="C21" s="333"/>
      <c r="D21" s="333">
        <f>'IS Intergrated'!E38</f>
        <v>4.4450000000000003</v>
      </c>
      <c r="E21" s="333">
        <f>'IS Intergrated'!F38</f>
        <v>61.651000000000003</v>
      </c>
      <c r="F21" s="333">
        <f>'IS Intergrated'!G38</f>
        <v>49.582000000000001</v>
      </c>
      <c r="G21" s="333">
        <f>'IS Intergrated'!H38</f>
        <v>175.625</v>
      </c>
      <c r="H21" s="333">
        <f>'IS Intergrated'!I38</f>
        <v>215.11199999999999</v>
      </c>
      <c r="I21" s="333">
        <f>'IS Intergrated'!J38</f>
        <v>157.792</v>
      </c>
      <c r="J21" s="333">
        <f>'IS Intergrated'!K38</f>
        <v>75.878</v>
      </c>
      <c r="K21" s="333">
        <f>'IS Intergrated'!L38</f>
        <v>14.846462969234114</v>
      </c>
      <c r="L21" s="333">
        <f>'IS Intergrated'!M38</f>
        <v>57.984416276901236</v>
      </c>
      <c r="M21" s="333">
        <f>'IS Intergrated'!N38</f>
        <v>116.56490097551743</v>
      </c>
      <c r="N21" s="333">
        <f>'IS Intergrated'!O38</f>
        <v>254.37773625190897</v>
      </c>
      <c r="O21" s="333">
        <f>'IS Intergrated'!P38</f>
        <v>437.682386244133</v>
      </c>
      <c r="P21" s="333">
        <f>'IS Intergrated'!Q38</f>
        <v>633.11918502991239</v>
      </c>
      <c r="T21" s="347" t="s">
        <v>43</v>
      </c>
      <c r="U21" s="347"/>
      <c r="V21" s="347"/>
      <c r="W21" s="347"/>
    </row>
    <row r="22" spans="2:23">
      <c r="B22" s="349" t="s">
        <v>44</v>
      </c>
      <c r="C22" s="333"/>
      <c r="D22" s="350">
        <f>D19+D20-D21</f>
        <v>-350.65400000000017</v>
      </c>
      <c r="E22" s="350">
        <f t="shared" ref="E22:P22" si="9">E19+E20-E21</f>
        <v>-696.31499999999994</v>
      </c>
      <c r="F22" s="350">
        <f t="shared" si="9"/>
        <v>-614.12400000000025</v>
      </c>
      <c r="G22" s="350">
        <f t="shared" si="9"/>
        <v>-486.76100000000019</v>
      </c>
      <c r="H22" s="350">
        <f t="shared" si="9"/>
        <v>-300.51899999999949</v>
      </c>
      <c r="I22" s="350">
        <f t="shared" si="9"/>
        <v>-256.6869999999995</v>
      </c>
      <c r="J22" s="350">
        <f t="shared" si="9"/>
        <v>-53.830000000000766</v>
      </c>
      <c r="K22" s="350">
        <f>K19+K20-K21</f>
        <v>47.013799402574207</v>
      </c>
      <c r="L22" s="350">
        <f t="shared" si="9"/>
        <v>183.61731821018657</v>
      </c>
      <c r="M22" s="350">
        <f t="shared" si="9"/>
        <v>369.12218642247268</v>
      </c>
      <c r="N22" s="350">
        <f t="shared" si="9"/>
        <v>805.52949813104578</v>
      </c>
      <c r="O22" s="350">
        <f t="shared" si="9"/>
        <v>1385.9942231064219</v>
      </c>
      <c r="P22" s="350">
        <f t="shared" si="9"/>
        <v>2004.8774192613892</v>
      </c>
      <c r="T22" s="213" t="s">
        <v>45</v>
      </c>
      <c r="U22" s="351">
        <f ca="1">U9*(1+J44)/(U10-U12)</f>
        <v>39692.896795096356</v>
      </c>
      <c r="V22" s="217"/>
      <c r="W22" s="217"/>
    </row>
    <row r="23" spans="2:23">
      <c r="C23" s="333"/>
      <c r="D23" s="333"/>
      <c r="E23" s="333"/>
      <c r="F23" s="333"/>
      <c r="G23" s="333"/>
      <c r="H23" s="333"/>
      <c r="I23" s="333"/>
      <c r="J23" s="333"/>
      <c r="K23" s="333"/>
      <c r="L23" s="333"/>
      <c r="M23" s="333"/>
      <c r="N23" s="333"/>
      <c r="O23" s="333"/>
      <c r="P23" s="333"/>
      <c r="T23" s="213" t="s">
        <v>46</v>
      </c>
      <c r="U23" s="857">
        <f ca="1">U19/U22-1</f>
        <v>0.25684099476972189</v>
      </c>
      <c r="V23" s="835"/>
      <c r="W23" s="835"/>
    </row>
    <row r="24" spans="2:23">
      <c r="B24" s="332" t="s">
        <v>47</v>
      </c>
      <c r="C24" s="333"/>
      <c r="D24" s="333">
        <f t="shared" ref="D24:H24" si="10">D18</f>
        <v>85.17900000000003</v>
      </c>
      <c r="E24" s="333">
        <f t="shared" si="10"/>
        <v>82.162000000000006</v>
      </c>
      <c r="F24" s="333">
        <f t="shared" si="10"/>
        <v>55.353000000000009</v>
      </c>
      <c r="G24" s="333">
        <f t="shared" si="10"/>
        <v>52.480000000000018</v>
      </c>
      <c r="H24" s="333">
        <f t="shared" si="10"/>
        <v>78.738</v>
      </c>
      <c r="I24" s="333">
        <f t="shared" ref="I24:P24" si="11">I18</f>
        <v>78.737999999999943</v>
      </c>
      <c r="J24" s="333">
        <f t="shared" si="11"/>
        <v>140.66999999999999</v>
      </c>
      <c r="K24" s="333">
        <f t="shared" si="11"/>
        <v>139.14995208890153</v>
      </c>
      <c r="L24" s="333">
        <f t="shared" si="11"/>
        <v>147.09922482564593</v>
      </c>
      <c r="M24" s="333">
        <f t="shared" si="11"/>
        <v>156.5064889785109</v>
      </c>
      <c r="N24" s="333">
        <f t="shared" si="11"/>
        <v>166.30224607159414</v>
      </c>
      <c r="O24" s="333">
        <f t="shared" si="11"/>
        <v>99.556197047027197</v>
      </c>
      <c r="P24" s="333">
        <f t="shared" si="11"/>
        <v>80.69079844161206</v>
      </c>
      <c r="T24" s="213"/>
      <c r="U24" s="213"/>
      <c r="V24" s="213"/>
      <c r="W24" s="213"/>
    </row>
    <row r="25" spans="2:23">
      <c r="B25" s="332" t="s">
        <v>48</v>
      </c>
      <c r="C25" s="333"/>
      <c r="D25" s="333">
        <f>'CF Intergrated'!E30</f>
        <v>-35.709000000000003</v>
      </c>
      <c r="E25" s="333">
        <f>'CF Intergrated'!F30</f>
        <v>-33.32</v>
      </c>
      <c r="F25" s="333">
        <f>'CF Intergrated'!G30</f>
        <v>-74.600999999999999</v>
      </c>
      <c r="G25" s="333">
        <f>'CF Intergrated'!H30</f>
        <v>-25.812000000000001</v>
      </c>
      <c r="H25" s="333">
        <f>'CF Intergrated'!I30</f>
        <v>-33.112000000000002</v>
      </c>
      <c r="I25" s="333">
        <f>'CF Intergrated'!J30</f>
        <v>-44.85</v>
      </c>
      <c r="J25" s="333">
        <f>'CF Intergrated'!K30</f>
        <v>-34.06</v>
      </c>
      <c r="K25" s="333">
        <f>'CF Intergrated'!L30</f>
        <v>-58.709653334215091</v>
      </c>
      <c r="L25" s="333">
        <f>'CF Intergrated'!M30</f>
        <v>-63.621207898506043</v>
      </c>
      <c r="M25" s="333">
        <f>'CF Intergrated'!N30</f>
        <v>-75.290096118994313</v>
      </c>
      <c r="N25" s="333">
        <f>'CF Intergrated'!O30</f>
        <v>-78.399360442318084</v>
      </c>
      <c r="O25" s="333">
        <f>'CF Intergrated'!P30</f>
        <v>-67.596322418883801</v>
      </c>
      <c r="P25" s="333">
        <f>'CF Intergrated'!Q30</f>
        <v>-59.486080577639314</v>
      </c>
    </row>
    <row r="26" spans="2:23">
      <c r="B26" s="332" t="s">
        <v>49</v>
      </c>
      <c r="C26" s="333"/>
      <c r="D26" s="333">
        <f>'CF Intergrated'!E18</f>
        <v>143.01900000000001</v>
      </c>
      <c r="E26" s="333">
        <f>'CF Intergrated'!F18</f>
        <v>233.50199999999998</v>
      </c>
      <c r="F26" s="333">
        <f>'CF Intergrated'!G18</f>
        <v>253.23699999999999</v>
      </c>
      <c r="G26" s="333">
        <f>'CF Intergrated'!H18</f>
        <v>308.55599999999998</v>
      </c>
      <c r="H26" s="333">
        <f>'CF Intergrated'!I18</f>
        <v>576.98900000000003</v>
      </c>
      <c r="I26" s="333">
        <f>'CF Intergrated'!J18</f>
        <v>264.80899999999997</v>
      </c>
      <c r="J26" s="333">
        <f>'CF Intergrated'!K18</f>
        <v>-375.99900000000002</v>
      </c>
      <c r="K26" s="333">
        <f>'CF Intergrated'!L18</f>
        <v>413.03206361353654</v>
      </c>
      <c r="L26" s="333">
        <f>'CF Intergrated'!M18</f>
        <v>513.07419702147115</v>
      </c>
      <c r="M26" s="333">
        <f>'CF Intergrated'!N18</f>
        <v>604.50731221113324</v>
      </c>
      <c r="N26" s="333">
        <f>'CF Intergrated'!O18</f>
        <v>608.47899356606399</v>
      </c>
      <c r="O26" s="333">
        <f>'CF Intergrated'!P18</f>
        <v>511.4331674067933</v>
      </c>
      <c r="P26" s="333">
        <f>'CF Intergrated'!Q18</f>
        <v>437.97891882688862</v>
      </c>
      <c r="T26" s="1050" t="s">
        <v>50</v>
      </c>
      <c r="U26" s="1050"/>
      <c r="V26" s="1050"/>
      <c r="W26" s="1050"/>
    </row>
    <row r="27" spans="2:23">
      <c r="B27" s="332" t="s">
        <v>51</v>
      </c>
      <c r="C27" s="333"/>
      <c r="D27" s="333">
        <f>'IS Intergrated'!E34*(1-'DCS Detail'!$D$57)</f>
        <v>-37.703600000000002</v>
      </c>
      <c r="E27" s="333">
        <f>'IS Intergrated'!F34*(1-'DCS Detail'!$D$57)</f>
        <v>-93.261879999999991</v>
      </c>
      <c r="F27" s="333">
        <f>'IS Intergrated'!G34*(1-'DCS Detail'!$D$57)</f>
        <v>-19.626240000000003</v>
      </c>
      <c r="G27" s="333">
        <f>'IS Intergrated'!H34*(1-'DCS Detail'!$D$57)</f>
        <v>-22.911719999999999</v>
      </c>
      <c r="H27" s="333">
        <f>'IS Intergrated'!I34*(1-'DCS Detail'!$D$57)</f>
        <v>-25.898519999999998</v>
      </c>
      <c r="I27" s="333">
        <f>'IS Intergrated'!J34*(1-'DCS Detail'!$D$57)</f>
        <v>-23.218</v>
      </c>
      <c r="J27" s="333">
        <f>'IS Intergrated'!K34*(1-'DCS Detail'!$D$57)</f>
        <v>-37.582000000000001</v>
      </c>
      <c r="K27" s="333">
        <f>'IS Intergrated'!L34*(1-'DCS Detail'!$D$57)</f>
        <v>-41.288401440000001</v>
      </c>
      <c r="L27" s="333">
        <f>'IS Intergrated'!M34*(1-'DCS Detail'!$D$57)</f>
        <v>-41.288401440000001</v>
      </c>
      <c r="M27" s="333">
        <f>'IS Intergrated'!N34*(1-'DCS Detail'!$D$57)</f>
        <v>-41.288401440000001</v>
      </c>
      <c r="N27" s="333">
        <f>'IS Intergrated'!O34*(1-'DCS Detail'!$D$57)</f>
        <v>-41.288401440000001</v>
      </c>
      <c r="O27" s="333">
        <f>'IS Intergrated'!P34*(1-'DCS Detail'!$D$57)</f>
        <v>-41.288401440000001</v>
      </c>
      <c r="P27" s="333">
        <f>'IS Intergrated'!Q34*(1-'DCS Detail'!$D$57)</f>
        <v>-41.288401440000001</v>
      </c>
      <c r="T27" s="217" t="s">
        <v>52</v>
      </c>
      <c r="U27" s="213"/>
      <c r="V27" s="351"/>
      <c r="W27" s="352">
        <f ca="1">U19</f>
        <v>49887.659893240809</v>
      </c>
    </row>
    <row r="28" spans="2:23">
      <c r="B28" s="332" t="s">
        <v>53</v>
      </c>
      <c r="C28" s="333"/>
      <c r="D28" s="333">
        <f>'SBC Ratios'!E6</f>
        <v>313.39499999999998</v>
      </c>
      <c r="E28" s="333">
        <f>'SBC Ratios'!F6</f>
        <v>385.73200000000003</v>
      </c>
      <c r="F28" s="333">
        <f>'SBC Ratios'!G6</f>
        <v>707.08699999999999</v>
      </c>
      <c r="G28" s="333">
        <f>'SBC Ratios'!H6</f>
        <v>948.08699999999999</v>
      </c>
      <c r="H28" s="333">
        <f>'SBC Ratios'!I6</f>
        <v>1081.433</v>
      </c>
      <c r="I28" s="333">
        <f>'SBC Ratios'!J6</f>
        <v>1362.222</v>
      </c>
      <c r="J28" s="333">
        <f>'SBC Ratios'!K6</f>
        <v>1606.5609999999999</v>
      </c>
      <c r="K28" s="333">
        <f>'CF Intergrated'!L14</f>
        <v>1780.6478305064029</v>
      </c>
      <c r="L28" s="333">
        <f>'CF Intergrated'!M14</f>
        <v>2110.8475683603165</v>
      </c>
      <c r="M28" s="333">
        <f>'CF Intergrated'!N14</f>
        <v>2491.1490176216262</v>
      </c>
      <c r="N28" s="333">
        <f>'CF Intergrated'!O14</f>
        <v>2869.8170947735998</v>
      </c>
      <c r="O28" s="333">
        <f>'CF Intergrated'!P14</f>
        <v>3170.4552289247058</v>
      </c>
      <c r="P28" s="333">
        <f>'CF Intergrated'!Q14</f>
        <v>3411.3416119361054</v>
      </c>
      <c r="Q28" s="839" t="s">
        <v>54</v>
      </c>
      <c r="T28" s="213" t="s">
        <v>55</v>
      </c>
      <c r="U28" s="213"/>
      <c r="V28" s="351"/>
      <c r="W28" s="352">
        <f ca="1">W27/(1+U10)^P7</f>
        <v>28442.355035525179</v>
      </c>
    </row>
    <row r="29" spans="2:23">
      <c r="B29" s="332" t="s">
        <v>56</v>
      </c>
      <c r="C29" s="333"/>
      <c r="D29" s="333">
        <f>-(1-'Chaffe-Finnerty DLOM'!$J$14)*'DCF FINAL'!D28</f>
        <v>-231.29475505180184</v>
      </c>
      <c r="E29" s="333">
        <f>-(1-'Chaffe-Finnerty DLOM'!$J$14)*'DCF FINAL'!E28</f>
        <v>-284.681594970059</v>
      </c>
      <c r="F29" s="333">
        <f>-(1-'Chaffe-Finnerty DLOM'!$J$14)*'DCF FINAL'!F28</f>
        <v>-521.85106483930315</v>
      </c>
      <c r="G29" s="333">
        <f>-(1-'Chaffe-Finnerty DLOM'!$J$14)*'DCF FINAL'!G28</f>
        <v>-699.71617426186651</v>
      </c>
      <c r="H29" s="333">
        <f>-(1-'Chaffe-Finnerty DLOM'!$J$14)*'DCF FINAL'!H28</f>
        <v>-798.12945592602057</v>
      </c>
      <c r="I29" s="333">
        <f>-(1-'Chaffe-Finnerty DLOM'!$J$14)*'DCF FINAL'!I28</f>
        <v>-1005.3600211112991</v>
      </c>
      <c r="J29" s="333">
        <f>-(1-'Chaffe-Finnerty DLOM'!$J$14)*'DCF FINAL'!J28</f>
        <v>-1185.6894110332896</v>
      </c>
      <c r="K29" s="333">
        <f>-(1-'Chaffe-Finnerty DLOM'!$J$14)*'DCF FINAL'!K28</f>
        <v>-1314.1706274525784</v>
      </c>
      <c r="L29" s="333">
        <f>-(1-'Chaffe-Finnerty DLOM'!$J$14)*'DCF FINAL'!L28</f>
        <v>-1557.8677747749357</v>
      </c>
      <c r="M29" s="333">
        <f>-(1-'Chaffe-Finnerty DLOM'!$J$14)*'DCF FINAL'!M28</f>
        <v>-1838.5414631003393</v>
      </c>
      <c r="N29" s="333">
        <f>-(1-'Chaffe-Finnerty DLOM'!$J$14)*'DCF FINAL'!N28</f>
        <v>-2118.0096746251006</v>
      </c>
      <c r="O29" s="333">
        <f>-(1-'Chaffe-Finnerty DLOM'!$J$14)*'DCF FINAL'!O28</f>
        <v>-2339.8894863569749</v>
      </c>
      <c r="P29" s="333">
        <f>-(1-'Chaffe-Finnerty DLOM'!$J$14)*'DCF FINAL'!P28</f>
        <v>-2517.6707430902866</v>
      </c>
      <c r="Q29" s="839" t="s">
        <v>54</v>
      </c>
      <c r="T29" s="213" t="s">
        <v>57</v>
      </c>
      <c r="U29" s="213"/>
      <c r="V29" s="213"/>
      <c r="W29" s="356">
        <f ca="1">SUM(K32:P32)</f>
        <v>5400.25868089697</v>
      </c>
    </row>
    <row r="30" spans="2:23">
      <c r="C30" s="333"/>
      <c r="D30" s="333"/>
      <c r="E30" s="333"/>
      <c r="F30" s="333"/>
      <c r="G30" s="333"/>
      <c r="H30" s="333"/>
      <c r="I30" s="333"/>
      <c r="J30" s="846"/>
      <c r="K30" s="846"/>
      <c r="L30" s="333"/>
      <c r="M30" s="333"/>
      <c r="N30" s="333"/>
      <c r="O30" s="333"/>
      <c r="P30" s="333"/>
      <c r="Q30" s="847"/>
      <c r="T30" s="213" t="s">
        <v>58</v>
      </c>
      <c r="U30" s="213"/>
      <c r="V30" s="213"/>
      <c r="W30" s="356">
        <f ca="1">W28+W29</f>
        <v>33842.613716422151</v>
      </c>
    </row>
    <row r="31" spans="2:23">
      <c r="B31" s="353" t="s">
        <v>59</v>
      </c>
      <c r="C31" s="354"/>
      <c r="D31" s="355">
        <f t="shared" ref="D31:O31" si="12">SUM(D22:D27)</f>
        <v>-195.86860000000013</v>
      </c>
      <c r="E31" s="355">
        <f t="shared" si="12"/>
        <v>-507.23288000000002</v>
      </c>
      <c r="F31" s="355">
        <f t="shared" si="12"/>
        <v>-399.76124000000021</v>
      </c>
      <c r="G31" s="355">
        <f t="shared" si="12"/>
        <v>-174.44872000000021</v>
      </c>
      <c r="H31" s="355">
        <f t="shared" si="12"/>
        <v>296.19748000000055</v>
      </c>
      <c r="I31" s="355">
        <f t="shared" si="12"/>
        <v>18.792000000000417</v>
      </c>
      <c r="J31" s="355">
        <f t="shared" si="12"/>
        <v>-360.80100000000078</v>
      </c>
      <c r="K31" s="355">
        <f t="shared" si="12"/>
        <v>499.19776033079722</v>
      </c>
      <c r="L31" s="355">
        <f t="shared" si="12"/>
        <v>738.88113071879764</v>
      </c>
      <c r="M31" s="355">
        <f t="shared" si="12"/>
        <v>1013.5574900531225</v>
      </c>
      <c r="N31" s="355">
        <f t="shared" si="12"/>
        <v>1460.6229758863858</v>
      </c>
      <c r="O31" s="355">
        <f t="shared" si="12"/>
        <v>1888.0988637013586</v>
      </c>
      <c r="P31" s="355">
        <f>SUM(P22:P27)</f>
        <v>2422.7726545122505</v>
      </c>
      <c r="T31" s="213" t="s">
        <v>60</v>
      </c>
      <c r="U31" s="213"/>
      <c r="V31" s="362"/>
      <c r="W31" s="366">
        <f>'BS Intergrated'!K11</f>
        <v>1239.5119999999999</v>
      </c>
    </row>
    <row r="32" spans="2:23">
      <c r="B32" s="357" t="s">
        <v>61</v>
      </c>
      <c r="C32" s="358"/>
      <c r="D32" s="358"/>
      <c r="E32" s="358"/>
      <c r="F32" s="358"/>
      <c r="G32" s="358"/>
      <c r="H32" s="358"/>
      <c r="I32" s="358"/>
      <c r="J32" s="359"/>
      <c r="K32" s="359">
        <f t="shared" ref="K32:P32" ca="1" si="13">K31/(1+$J$43)^K7</f>
        <v>454.5706222633803</v>
      </c>
      <c r="L32" s="359">
        <f t="shared" ca="1" si="13"/>
        <v>612.67766615651726</v>
      </c>
      <c r="M32" s="359">
        <f t="shared" ca="1" si="13"/>
        <v>765.30508264306945</v>
      </c>
      <c r="N32" s="359">
        <f t="shared" ca="1" si="13"/>
        <v>1004.2759786882832</v>
      </c>
      <c r="O32" s="359">
        <f t="shared" ca="1" si="13"/>
        <v>1182.138644080728</v>
      </c>
      <c r="P32" s="359">
        <f t="shared" ca="1" si="13"/>
        <v>1381.2906870649915</v>
      </c>
      <c r="T32" s="213" t="s">
        <v>62</v>
      </c>
      <c r="U32" s="213"/>
      <c r="V32" s="213"/>
      <c r="W32" s="366">
        <f>J57</f>
        <v>1232.9099999999999</v>
      </c>
    </row>
    <row r="33" spans="2:23">
      <c r="B33" s="360"/>
      <c r="C33" s="333"/>
      <c r="D33" s="363"/>
      <c r="E33" s="333"/>
      <c r="F33" s="333"/>
      <c r="G33" s="333"/>
      <c r="H33" s="333"/>
      <c r="I33" s="333"/>
      <c r="J33" s="350"/>
      <c r="K33" s="350"/>
      <c r="L33" s="350"/>
      <c r="M33" s="350"/>
      <c r="N33" s="350"/>
      <c r="O33" s="350"/>
      <c r="P33" s="350"/>
      <c r="T33" s="213" t="s">
        <v>63</v>
      </c>
      <c r="U33" s="213"/>
      <c r="V33" s="243"/>
      <c r="W33" s="796">
        <f>W32-W31</f>
        <v>-6.6020000000000891</v>
      </c>
    </row>
    <row r="34" spans="2:23">
      <c r="B34" s="360" t="s">
        <v>64</v>
      </c>
      <c r="C34" s="333"/>
      <c r="D34" s="361">
        <f t="shared" ref="D34:H34" si="14">D31/D11</f>
        <v>-0.12134300350705911</v>
      </c>
      <c r="E34" s="361">
        <f t="shared" si="14"/>
        <v>-0.24279599374285588</v>
      </c>
      <c r="F34" s="361">
        <f t="shared" si="14"/>
        <v>-0.14262506948205464</v>
      </c>
      <c r="G34" s="361">
        <f t="shared" si="14"/>
        <v>-4.9353929826656019E-2</v>
      </c>
      <c r="H34" s="361">
        <f t="shared" si="14"/>
        <v>6.7956976122854174E-2</v>
      </c>
      <c r="I34" s="361">
        <f t="shared" ref="I34:N34" si="15">I31/I11</f>
        <v>3.6032415368309149E-3</v>
      </c>
      <c r="J34" s="361">
        <f t="shared" si="15"/>
        <v>-5.4897153328785073E-2</v>
      </c>
      <c r="K34" s="361">
        <f t="shared" si="15"/>
        <v>6.6203474299890264E-2</v>
      </c>
      <c r="L34" s="361">
        <f t="shared" si="15"/>
        <v>8.0911415915296658E-2</v>
      </c>
      <c r="M34" s="361">
        <f t="shared" si="15"/>
        <v>9.2011780023312104E-2</v>
      </c>
      <c r="N34" s="361">
        <f t="shared" si="15"/>
        <v>0.11255608326676994</v>
      </c>
      <c r="O34" s="361">
        <f>O31/O11</f>
        <v>0.12872307954953219</v>
      </c>
      <c r="P34" s="361">
        <f>P31/P11</f>
        <v>0.14996039190541929</v>
      </c>
      <c r="Q34" s="364"/>
      <c r="T34" s="213" t="s">
        <v>65</v>
      </c>
      <c r="U34" s="213"/>
      <c r="V34" s="213"/>
      <c r="W34" s="356">
        <f ca="1">W30+W31-W32</f>
        <v>33849.215716422157</v>
      </c>
    </row>
    <row r="35" spans="2:23">
      <c r="B35" s="360" t="s">
        <v>66</v>
      </c>
      <c r="C35" s="333"/>
      <c r="D35" s="381">
        <f t="shared" ref="D35:P35" si="16">D34</f>
        <v>-0.12134300350705911</v>
      </c>
      <c r="E35" s="381">
        <f t="shared" si="16"/>
        <v>-0.24279599374285588</v>
      </c>
      <c r="F35" s="381">
        <f t="shared" si="16"/>
        <v>-0.14262506948205464</v>
      </c>
      <c r="G35" s="381">
        <f t="shared" si="16"/>
        <v>-4.9353929826656019E-2</v>
      </c>
      <c r="H35" s="381">
        <f t="shared" si="16"/>
        <v>6.7956976122854174E-2</v>
      </c>
      <c r="I35" s="381">
        <f t="shared" si="16"/>
        <v>3.6032415368309149E-3</v>
      </c>
      <c r="J35" s="381">
        <f t="shared" si="16"/>
        <v>-5.4897153328785073E-2</v>
      </c>
      <c r="K35" s="381">
        <f t="shared" si="16"/>
        <v>6.6203474299890264E-2</v>
      </c>
      <c r="L35" s="381">
        <f t="shared" si="16"/>
        <v>8.0911415915296658E-2</v>
      </c>
      <c r="M35" s="381">
        <f t="shared" si="16"/>
        <v>9.2011780023312104E-2</v>
      </c>
      <c r="N35" s="381">
        <f t="shared" si="16"/>
        <v>0.11255608326676994</v>
      </c>
      <c r="O35" s="381">
        <f t="shared" si="16"/>
        <v>0.12872307954953219</v>
      </c>
      <c r="P35" s="381">
        <f t="shared" si="16"/>
        <v>0.14996039190541929</v>
      </c>
      <c r="Q35" s="364"/>
      <c r="T35" s="213"/>
      <c r="U35" s="213"/>
      <c r="V35" s="213"/>
      <c r="W35" s="213"/>
    </row>
    <row r="36" spans="2:23">
      <c r="B36" s="360" t="s">
        <v>67</v>
      </c>
      <c r="C36" s="333"/>
      <c r="D36" s="361"/>
      <c r="E36" s="381">
        <f t="shared" ref="E36:H36" si="17">E11/D11-1</f>
        <v>0.29424293430753701</v>
      </c>
      <c r="F36" s="381">
        <f t="shared" si="17"/>
        <v>0.34164906765106262</v>
      </c>
      <c r="G36" s="381">
        <f t="shared" si="17"/>
        <v>0.2610759211411684</v>
      </c>
      <c r="H36" s="381">
        <f t="shared" si="17"/>
        <v>0.23310842638600127</v>
      </c>
      <c r="I36" s="381">
        <f t="shared" ref="I36:O36" si="18">I11/H11-1</f>
        <v>0.19655403348274669</v>
      </c>
      <c r="J36" s="381">
        <f t="shared" si="18"/>
        <v>0.26019652929148518</v>
      </c>
      <c r="K36" s="807">
        <f t="shared" si="18"/>
        <v>0.14729193072471292</v>
      </c>
      <c r="L36" s="807">
        <f t="shared" si="18"/>
        <v>0.21108026685692627</v>
      </c>
      <c r="M36" s="807">
        <f t="shared" si="18"/>
        <v>0.20625792674238363</v>
      </c>
      <c r="N36" s="807">
        <f t="shared" si="18"/>
        <v>0.17805129471110792</v>
      </c>
      <c r="O36" s="807">
        <f t="shared" si="18"/>
        <v>0.13031412252097141</v>
      </c>
      <c r="P36" s="807">
        <f>P11/O11-1</f>
        <v>0.10145760739666554</v>
      </c>
      <c r="Q36" s="364"/>
      <c r="T36" s="213" t="s">
        <v>68</v>
      </c>
      <c r="U36" s="213"/>
      <c r="V36" s="365"/>
      <c r="W36" s="366">
        <f ca="1">'Comp. Multi &amp; Imp. Val'!W13</f>
        <v>260.16000000000003</v>
      </c>
    </row>
    <row r="37" spans="2:23">
      <c r="B37" s="360" t="s">
        <v>69</v>
      </c>
      <c r="C37" s="333"/>
      <c r="D37" s="361">
        <f t="shared" ref="D37:H37" si="19">D22/D11</f>
        <v>-0.21723445999902127</v>
      </c>
      <c r="E37" s="361">
        <f t="shared" si="19"/>
        <v>-0.33330349638031487</v>
      </c>
      <c r="F37" s="361">
        <f t="shared" si="19"/>
        <v>-0.21910447888994269</v>
      </c>
      <c r="G37" s="361">
        <f t="shared" si="19"/>
        <v>-0.13771134713027927</v>
      </c>
      <c r="H37" s="361">
        <f t="shared" si="19"/>
        <v>-6.894846812155167E-2</v>
      </c>
      <c r="I37" s="361">
        <f t="shared" ref="I37:P37" si="20">I22/I11</f>
        <v>-4.9218032160733005E-2</v>
      </c>
      <c r="J37" s="361">
        <f t="shared" si="20"/>
        <v>-8.1904256465157692E-3</v>
      </c>
      <c r="K37" s="361">
        <f t="shared" si="20"/>
        <v>6.2349575815925356E-3</v>
      </c>
      <c r="L37" s="361">
        <f t="shared" si="20"/>
        <v>2.0107073499769663E-2</v>
      </c>
      <c r="M37" s="361">
        <f t="shared" si="20"/>
        <v>3.3509287585698232E-2</v>
      </c>
      <c r="N37" s="361">
        <f t="shared" si="20"/>
        <v>6.2074366049497176E-2</v>
      </c>
      <c r="O37" s="361">
        <f t="shared" si="20"/>
        <v>9.449157989872034E-2</v>
      </c>
      <c r="P37" s="361">
        <f t="shared" si="20"/>
        <v>0.12409426982544941</v>
      </c>
      <c r="Q37" s="364"/>
      <c r="T37" s="213"/>
      <c r="U37" s="213"/>
      <c r="V37" s="365"/>
      <c r="W37" s="365"/>
    </row>
    <row r="38" spans="2:23">
      <c r="B38" s="360" t="s">
        <v>70</v>
      </c>
      <c r="C38" s="333"/>
      <c r="D38" s="361"/>
      <c r="E38" s="381"/>
      <c r="F38" s="381"/>
      <c r="G38" s="381"/>
      <c r="H38" s="381"/>
      <c r="I38" s="381"/>
      <c r="J38" s="381"/>
      <c r="K38" s="855">
        <f t="shared" ref="K38:P38" ca="1" si="21">(K28+K29)/((1+$J$43)^K7)</f>
        <v>424.77520797237503</v>
      </c>
      <c r="L38" s="855">
        <f t="shared" ca="1" si="21"/>
        <v>458.52892336824772</v>
      </c>
      <c r="M38" s="855">
        <f t="shared" ca="1" si="21"/>
        <v>492.76324564502806</v>
      </c>
      <c r="N38" s="855">
        <f t="shared" ca="1" si="21"/>
        <v>516.91788032880879</v>
      </c>
      <c r="O38" s="855">
        <f t="shared" ca="1" si="21"/>
        <v>520.01718745497806</v>
      </c>
      <c r="P38" s="855">
        <f t="shared" ca="1" si="21"/>
        <v>509.50684379691444</v>
      </c>
      <c r="Q38" s="364"/>
      <c r="T38" s="217" t="s">
        <v>71</v>
      </c>
      <c r="U38" s="213"/>
      <c r="V38" s="367"/>
      <c r="W38" s="368">
        <f ca="1">W34/W36</f>
        <v>130.10922400223768</v>
      </c>
    </row>
    <row r="39" spans="2:23">
      <c r="B39" s="360"/>
      <c r="Q39" s="730"/>
      <c r="T39" s="213" t="s">
        <v>72</v>
      </c>
      <c r="U39" s="213"/>
      <c r="V39" s="213"/>
      <c r="W39" s="369">
        <f ca="1">W38/W40-1</f>
        <v>-0.26954873667876456</v>
      </c>
    </row>
    <row r="40" spans="2:23">
      <c r="B40" s="360"/>
      <c r="C40" s="333"/>
      <c r="D40" s="361"/>
      <c r="E40" s="361"/>
      <c r="F40" s="361"/>
      <c r="G40" s="361"/>
      <c r="H40" s="361"/>
      <c r="I40" s="361"/>
      <c r="J40" s="361"/>
      <c r="K40" s="361"/>
      <c r="L40" s="361"/>
      <c r="M40" s="361"/>
      <c r="N40" s="361"/>
      <c r="O40" s="361"/>
      <c r="P40" s="361"/>
      <c r="T40" s="213" t="s">
        <v>11</v>
      </c>
      <c r="U40" s="213"/>
      <c r="V40" s="213"/>
      <c r="W40" s="370">
        <f ca="1">'VWAP LIVE'!I5</f>
        <v>178.1217043977083</v>
      </c>
    </row>
    <row r="41" spans="2:23" ht="14.5">
      <c r="B41" s="382" t="s">
        <v>73</v>
      </c>
      <c r="C41" s="379"/>
      <c r="D41" s="380"/>
      <c r="E41" s="380"/>
      <c r="F41" s="380"/>
      <c r="G41" s="380"/>
      <c r="H41" s="380"/>
      <c r="I41" s="380"/>
      <c r="J41" s="380"/>
      <c r="K41" s="380"/>
      <c r="L41" s="380"/>
      <c r="M41" s="380"/>
      <c r="N41" s="380"/>
      <c r="O41" s="380"/>
      <c r="P41" s="380"/>
    </row>
    <row r="42" spans="2:23">
      <c r="C42" s="333"/>
      <c r="D42" s="333"/>
      <c r="E42" s="363"/>
      <c r="F42" s="363"/>
      <c r="G42" s="363"/>
      <c r="H42" s="363"/>
      <c r="I42" s="363"/>
      <c r="J42" s="363"/>
      <c r="K42" s="363"/>
      <c r="L42" s="363"/>
      <c r="M42" s="363"/>
      <c r="N42" s="363"/>
      <c r="O42" s="363"/>
      <c r="P42" s="363"/>
    </row>
    <row r="43" spans="2:23">
      <c r="B43" s="360" t="s">
        <v>22</v>
      </c>
      <c r="D43" s="333"/>
      <c r="E43" s="333"/>
      <c r="F43" s="333"/>
      <c r="G43" s="333"/>
      <c r="H43" s="333"/>
      <c r="I43" s="333"/>
      <c r="J43" s="690">
        <f ca="1">WACC!H55</f>
        <v>9.8174267939294457E-2</v>
      </c>
      <c r="K43" s="333"/>
      <c r="L43" s="333"/>
      <c r="M43" s="333"/>
      <c r="N43" s="333"/>
      <c r="O43" s="333"/>
      <c r="P43" s="333"/>
      <c r="R43" s="858"/>
    </row>
    <row r="44" spans="2:23">
      <c r="B44" s="360" t="s">
        <v>74</v>
      </c>
      <c r="D44" s="333"/>
      <c r="E44" s="333"/>
      <c r="F44" s="333"/>
      <c r="G44" s="333"/>
      <c r="H44" s="333"/>
      <c r="I44" s="333"/>
      <c r="J44" s="690">
        <v>3.5000000000000003E-2</v>
      </c>
      <c r="K44" s="333"/>
      <c r="L44" s="333"/>
      <c r="M44" s="333"/>
      <c r="N44" s="333"/>
      <c r="O44" s="333"/>
      <c r="P44" s="333"/>
      <c r="R44" s="859"/>
    </row>
    <row r="45" spans="2:23">
      <c r="B45" s="360" t="s">
        <v>75</v>
      </c>
      <c r="D45" s="333"/>
      <c r="E45" s="333"/>
      <c r="F45" s="333"/>
      <c r="G45" s="333"/>
      <c r="H45" s="333"/>
      <c r="I45" s="333"/>
      <c r="J45" s="690">
        <f>_xlfn.RRI(P7,J11,P11)</f>
        <v>0.16172418708959513</v>
      </c>
      <c r="K45" s="793"/>
      <c r="L45" s="333"/>
      <c r="M45" s="333"/>
      <c r="N45" s="333"/>
      <c r="O45" s="333"/>
      <c r="P45" s="333"/>
      <c r="Q45" s="858"/>
    </row>
    <row r="46" spans="2:23">
      <c r="C46" s="333"/>
      <c r="D46" s="333"/>
      <c r="E46" s="333"/>
      <c r="F46" s="333"/>
      <c r="G46" s="333"/>
      <c r="H46" s="333"/>
      <c r="I46" s="333"/>
      <c r="J46" s="333"/>
      <c r="K46" s="333"/>
      <c r="L46" s="333"/>
      <c r="M46" s="333"/>
      <c r="N46" s="333"/>
      <c r="O46" s="333"/>
      <c r="P46" s="333"/>
    </row>
    <row r="47" spans="2:23">
      <c r="B47" s="332" t="s">
        <v>76</v>
      </c>
      <c r="C47" s="333"/>
      <c r="D47" s="333"/>
      <c r="E47" s="333"/>
      <c r="F47" s="333"/>
      <c r="G47" s="333"/>
      <c r="H47" s="333"/>
      <c r="I47" s="333"/>
      <c r="J47" s="333">
        <f ca="1">P31*(1+J44)/(J43-J44)</f>
        <v>39692.896795096356</v>
      </c>
      <c r="K47" s="333"/>
      <c r="L47" s="333"/>
      <c r="M47" s="333"/>
      <c r="N47" s="333"/>
      <c r="O47" s="333"/>
      <c r="P47" s="333"/>
      <c r="R47" s="858"/>
    </row>
    <row r="48" spans="2:23">
      <c r="B48" s="332" t="s">
        <v>77</v>
      </c>
      <c r="C48" s="333"/>
      <c r="D48" s="333"/>
      <c r="E48" s="333"/>
      <c r="F48" s="333"/>
      <c r="G48" s="333"/>
      <c r="H48" s="333"/>
      <c r="I48" s="333"/>
      <c r="J48" s="333">
        <f ca="1">J47/(1+J43)^P7</f>
        <v>22630.034470459315</v>
      </c>
      <c r="K48" s="364">
        <f ca="1">J48/(J48+J49)</f>
        <v>0.80734205483556731</v>
      </c>
      <c r="L48" s="333"/>
      <c r="M48" s="333"/>
      <c r="N48" s="333"/>
      <c r="O48" s="333"/>
      <c r="P48" s="333"/>
    </row>
    <row r="49" spans="2:16">
      <c r="B49" s="332" t="s">
        <v>78</v>
      </c>
      <c r="C49" s="333"/>
      <c r="D49" s="333"/>
      <c r="E49" s="333"/>
      <c r="F49" s="333"/>
      <c r="G49" s="333"/>
      <c r="H49" s="333"/>
      <c r="I49" s="333"/>
      <c r="J49" s="333">
        <f ca="1">SUM(K32:P32)</f>
        <v>5400.25868089697</v>
      </c>
      <c r="K49" s="333"/>
      <c r="L49" s="333"/>
      <c r="M49" s="364"/>
      <c r="N49" s="333"/>
      <c r="O49" s="333"/>
      <c r="P49" s="333"/>
    </row>
    <row r="50" spans="2:16">
      <c r="C50" s="333"/>
      <c r="D50" s="333"/>
      <c r="E50" s="333"/>
      <c r="F50" s="333"/>
      <c r="G50" s="333"/>
      <c r="H50" s="333"/>
      <c r="I50" s="333"/>
      <c r="J50" s="333"/>
      <c r="K50" s="333"/>
      <c r="L50" s="333"/>
      <c r="M50" s="333"/>
      <c r="N50" s="333"/>
      <c r="O50" s="333"/>
      <c r="P50" s="333"/>
    </row>
    <row r="51" spans="2:16">
      <c r="B51" s="332" t="s">
        <v>79</v>
      </c>
      <c r="C51" s="333"/>
      <c r="D51" s="333"/>
      <c r="E51" s="333"/>
      <c r="F51" s="333"/>
      <c r="G51" s="333"/>
      <c r="H51" s="333"/>
      <c r="I51" s="333"/>
      <c r="J51" s="333">
        <f ca="1">((P28+P29)*(1+J44))/(J43-J44)</f>
        <v>14641.23573452765</v>
      </c>
      <c r="K51" s="839" t="s">
        <v>54</v>
      </c>
      <c r="L51" s="333"/>
      <c r="M51" s="333"/>
      <c r="N51" s="333"/>
      <c r="O51" s="333"/>
      <c r="P51" s="333"/>
    </row>
    <row r="52" spans="2:16">
      <c r="B52" s="332" t="s">
        <v>80</v>
      </c>
      <c r="C52" s="333"/>
      <c r="D52" s="333"/>
      <c r="E52" s="333"/>
      <c r="F52" s="333"/>
      <c r="G52" s="333"/>
      <c r="H52" s="333"/>
      <c r="I52" s="333"/>
      <c r="J52" s="333">
        <f ca="1">J51/(1+J43)^P7</f>
        <v>8347.3794082827935</v>
      </c>
      <c r="K52" s="839" t="s">
        <v>54</v>
      </c>
      <c r="L52" s="333"/>
      <c r="M52" s="333"/>
      <c r="N52" s="333"/>
      <c r="O52" s="333"/>
      <c r="P52" s="333"/>
    </row>
    <row r="53" spans="2:16">
      <c r="B53" s="332" t="s">
        <v>81</v>
      </c>
      <c r="C53" s="333"/>
      <c r="D53" s="333"/>
      <c r="E53" s="333"/>
      <c r="F53" s="333"/>
      <c r="G53" s="333"/>
      <c r="H53" s="333"/>
      <c r="I53" s="333"/>
      <c r="J53" s="333">
        <f ca="1">SUM(K38:P38)</f>
        <v>2922.5092885663521</v>
      </c>
      <c r="K53" s="839" t="s">
        <v>54</v>
      </c>
      <c r="L53" s="333"/>
      <c r="M53" s="333"/>
      <c r="N53" s="333"/>
      <c r="O53" s="333"/>
      <c r="P53" s="333"/>
    </row>
    <row r="54" spans="2:16">
      <c r="C54" s="333"/>
      <c r="D54" s="333"/>
      <c r="E54" s="333"/>
      <c r="F54" s="333"/>
      <c r="G54" s="333"/>
      <c r="H54" s="333"/>
      <c r="I54" s="333"/>
      <c r="J54" s="333"/>
      <c r="K54" s="333"/>
      <c r="L54" s="333"/>
      <c r="M54" s="333"/>
      <c r="N54" s="333"/>
      <c r="O54" s="333"/>
      <c r="P54" s="333"/>
    </row>
    <row r="55" spans="2:16">
      <c r="B55" s="357" t="s">
        <v>82</v>
      </c>
      <c r="C55" s="359"/>
      <c r="D55" s="358"/>
      <c r="E55" s="358"/>
      <c r="F55" s="358"/>
      <c r="G55" s="358"/>
      <c r="H55" s="358"/>
      <c r="I55" s="358"/>
      <c r="J55" s="359">
        <f ca="1">(J48+J49)</f>
        <v>28030.293151356287</v>
      </c>
      <c r="K55" s="755"/>
      <c r="L55" s="358"/>
      <c r="M55" s="358"/>
      <c r="N55" s="358"/>
      <c r="O55" s="358"/>
      <c r="P55" s="358"/>
    </row>
    <row r="56" spans="2:16">
      <c r="B56" s="332" t="s">
        <v>83</v>
      </c>
      <c r="C56" s="333"/>
      <c r="D56" s="333"/>
      <c r="E56" s="333"/>
      <c r="F56" s="333"/>
      <c r="G56" s="333"/>
      <c r="H56" s="333"/>
      <c r="I56" s="333"/>
      <c r="J56" s="333">
        <f>'BS Intergrated'!K11</f>
        <v>1239.5119999999999</v>
      </c>
      <c r="K56" s="333"/>
      <c r="L56" s="333"/>
      <c r="M56" s="333"/>
      <c r="N56" s="333"/>
      <c r="O56" s="333"/>
      <c r="P56" s="333"/>
    </row>
    <row r="57" spans="2:16">
      <c r="B57" s="332" t="s">
        <v>84</v>
      </c>
      <c r="C57" s="333"/>
      <c r="D57" s="333"/>
      <c r="E57" s="333"/>
      <c r="F57" s="333"/>
      <c r="G57" s="333"/>
      <c r="H57" s="333"/>
      <c r="I57" s="333"/>
      <c r="J57" s="333">
        <f>'BS Intergrated'!K58+'BS Intergrated'!K59+'BS Intergrated'!K51</f>
        <v>1232.9099999999999</v>
      </c>
      <c r="K57" s="333"/>
      <c r="L57" s="333"/>
      <c r="M57" s="333"/>
      <c r="N57" s="333"/>
      <c r="O57" s="333"/>
      <c r="P57" s="333"/>
    </row>
    <row r="58" spans="2:16">
      <c r="B58" s="357" t="s">
        <v>65</v>
      </c>
      <c r="C58" s="358"/>
      <c r="D58" s="358"/>
      <c r="E58" s="358"/>
      <c r="F58" s="358"/>
      <c r="G58" s="358"/>
      <c r="H58" s="358"/>
      <c r="I58" s="358"/>
      <c r="J58" s="359">
        <f ca="1">J55+J56-J57</f>
        <v>28036.895151356286</v>
      </c>
      <c r="K58" s="358"/>
      <c r="L58" s="358"/>
      <c r="M58" s="358"/>
      <c r="N58" s="358"/>
      <c r="O58" s="358"/>
      <c r="P58" s="358"/>
    </row>
    <row r="59" spans="2:16">
      <c r="B59" s="332" t="s">
        <v>85</v>
      </c>
      <c r="C59" s="333"/>
      <c r="D59" s="333"/>
      <c r="E59" s="333"/>
      <c r="F59" s="333"/>
      <c r="G59" s="333"/>
      <c r="H59" s="333"/>
      <c r="I59" s="333"/>
      <c r="J59" s="333">
        <f ca="1">'Comp. Multi &amp; Imp. Val'!W13</f>
        <v>260.16000000000003</v>
      </c>
      <c r="K59" s="333"/>
      <c r="L59" s="333"/>
      <c r="M59" s="333"/>
      <c r="N59" s="333"/>
      <c r="O59" s="333"/>
      <c r="P59" s="333"/>
    </row>
    <row r="60" spans="2:16">
      <c r="C60" s="333"/>
      <c r="D60" s="333"/>
      <c r="E60" s="333"/>
      <c r="F60" s="333"/>
      <c r="G60" s="333"/>
      <c r="H60" s="333"/>
      <c r="I60" s="333"/>
      <c r="J60" s="333"/>
      <c r="K60" s="333"/>
      <c r="M60" s="333"/>
      <c r="N60" s="333"/>
      <c r="O60" s="333"/>
      <c r="P60" s="333"/>
    </row>
    <row r="61" spans="2:16">
      <c r="B61" s="371" t="s">
        <v>86</v>
      </c>
      <c r="C61" s="333"/>
      <c r="D61" s="333"/>
      <c r="E61" s="333"/>
      <c r="F61" s="333"/>
      <c r="G61" s="333"/>
      <c r="H61" s="333"/>
      <c r="I61" s="333"/>
      <c r="J61" s="350">
        <f ca="1">J58/J59</f>
        <v>107.76789341695988</v>
      </c>
      <c r="K61" s="333"/>
      <c r="M61" s="333"/>
      <c r="N61" s="333"/>
      <c r="O61" s="333"/>
      <c r="P61" s="333"/>
    </row>
    <row r="62" spans="2:16">
      <c r="B62" s="383" t="str">
        <f ca="1">IF(J61&gt;$J$63,"Upside of : ","Downside of :")</f>
        <v>Downside of :</v>
      </c>
      <c r="C62" s="333"/>
      <c r="D62" s="333"/>
      <c r="E62" s="333"/>
      <c r="F62" s="333"/>
      <c r="G62" s="333"/>
      <c r="H62" s="333"/>
      <c r="I62" s="333"/>
      <c r="J62" s="941">
        <f ca="1">(J61-J63)/J63</f>
        <v>-0.39497607110059513</v>
      </c>
      <c r="K62" s="333"/>
      <c r="M62" s="333"/>
      <c r="N62" s="333"/>
      <c r="O62" s="333"/>
      <c r="P62" s="333"/>
    </row>
    <row r="63" spans="2:16">
      <c r="B63" s="360" t="s">
        <v>11</v>
      </c>
      <c r="C63" s="333"/>
      <c r="D63" s="333"/>
      <c r="E63" s="333"/>
      <c r="F63" s="333"/>
      <c r="G63" s="333"/>
      <c r="H63" s="333"/>
      <c r="I63" s="333"/>
      <c r="J63" s="350">
        <f ca="1">'VWAP LIVE'!I5</f>
        <v>178.1217043977083</v>
      </c>
      <c r="K63" s="333"/>
      <c r="M63" s="333"/>
      <c r="N63" s="333"/>
      <c r="O63" s="333"/>
      <c r="P63" s="333"/>
    </row>
    <row r="64" spans="2:16">
      <c r="K64" s="333"/>
      <c r="L64" s="333"/>
      <c r="M64" s="333"/>
      <c r="N64" s="333"/>
      <c r="O64" s="333"/>
      <c r="P64" s="333"/>
    </row>
  </sheetData>
  <mergeCells count="8">
    <mergeCell ref="T26:W26"/>
    <mergeCell ref="U14:W14"/>
    <mergeCell ref="U13:W13"/>
    <mergeCell ref="T6:W6"/>
    <mergeCell ref="U9:W9"/>
    <mergeCell ref="U10:W10"/>
    <mergeCell ref="U11:W11"/>
    <mergeCell ref="U12:W12"/>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B0F16-8461-482B-A605-4E1C23F42A0B}">
  <sheetPr codeName="Sheet3">
    <tabColor rgb="FF0067ED"/>
  </sheetPr>
  <dimension ref="A1:AT233"/>
  <sheetViews>
    <sheetView showGridLines="0" topLeftCell="E1" zoomScale="70" zoomScaleNormal="110" workbookViewId="0">
      <selection activeCell="P12" sqref="P12:T24"/>
    </sheetView>
  </sheetViews>
  <sheetFormatPr defaultColWidth="8.7265625" defaultRowHeight="12"/>
  <cols>
    <col min="1" max="1" width="28.453125" style="230" customWidth="1"/>
    <col min="2" max="2" width="26" style="230" bestFit="1" customWidth="1"/>
    <col min="3" max="3" width="12" style="230" customWidth="1"/>
    <col min="4" max="4" width="22" style="230" bestFit="1" customWidth="1"/>
    <col min="5" max="5" width="14.1796875" style="230" bestFit="1" customWidth="1"/>
    <col min="6" max="6" width="1.453125" style="230" customWidth="1"/>
    <col min="7" max="7" width="13.7265625" style="230" bestFit="1" customWidth="1"/>
    <col min="8" max="8" width="15.7265625" style="230" bestFit="1" customWidth="1"/>
    <col min="9" max="9" width="10.453125" style="230" bestFit="1" customWidth="1"/>
    <col min="10" max="10" width="11.7265625" style="230" customWidth="1"/>
    <col min="11" max="11" width="10.1796875" style="230" customWidth="1"/>
    <col min="12" max="12" width="1.453125" style="230" customWidth="1"/>
    <col min="13" max="13" width="11.1796875" style="230" bestFit="1" customWidth="1"/>
    <col min="14" max="14" width="21.453125" style="230" bestFit="1" customWidth="1"/>
    <col min="15" max="15" width="1.453125" style="230" customWidth="1"/>
    <col min="16" max="16" width="16.81640625" style="230" bestFit="1" customWidth="1"/>
    <col min="17" max="17" width="15.453125" style="230" bestFit="1" customWidth="1"/>
    <col min="18" max="18" width="32.453125" style="230" bestFit="1" customWidth="1"/>
    <col min="19" max="19" width="20.453125" style="230" bestFit="1" customWidth="1"/>
    <col min="20" max="20" width="12.1796875" style="230" bestFit="1" customWidth="1"/>
    <col min="21" max="21" width="11.453125" style="230" customWidth="1"/>
    <col min="22" max="22" width="37" style="230" customWidth="1"/>
    <col min="23" max="23" width="14.1796875" style="230" bestFit="1" customWidth="1"/>
    <col min="24" max="24" width="11.81640625" style="230" bestFit="1" customWidth="1"/>
    <col min="25" max="25" width="14.453125" style="230" bestFit="1" customWidth="1"/>
    <col min="26" max="26" width="10.453125" style="230" bestFit="1" customWidth="1"/>
    <col min="27" max="27" width="18.453125" style="230" bestFit="1" customWidth="1"/>
    <col min="28" max="28" width="17.453125" style="230" bestFit="1" customWidth="1"/>
    <col min="29" max="29" width="20" style="230" customWidth="1"/>
    <col min="30" max="30" width="16.26953125" style="230" bestFit="1" customWidth="1"/>
    <col min="31" max="31" width="15.1796875" style="230" bestFit="1" customWidth="1"/>
    <col min="32" max="32" width="31.453125" style="230" bestFit="1" customWidth="1"/>
    <col min="33" max="33" width="9" style="230" bestFit="1" customWidth="1"/>
    <col min="34" max="34" width="12.1796875" style="230" bestFit="1" customWidth="1"/>
    <col min="35" max="35" width="7.1796875" style="230" customWidth="1"/>
    <col min="36" max="36" width="33.453125" style="230" customWidth="1"/>
    <col min="37" max="37" width="14.453125" style="230" bestFit="1" customWidth="1"/>
    <col min="38" max="38" width="12.1796875" style="230" bestFit="1" customWidth="1"/>
    <col min="39" max="39" width="14.7265625" style="230" bestFit="1" customWidth="1"/>
    <col min="40" max="40" width="17.453125" style="230" customWidth="1"/>
    <col min="41" max="41" width="19.7265625" style="230" bestFit="1" customWidth="1"/>
    <col min="42" max="42" width="17.453125" style="230" bestFit="1" customWidth="1"/>
    <col min="43" max="43" width="8.81640625" style="230" customWidth="1"/>
    <col min="44" max="16384" width="8.7265625" style="230"/>
  </cols>
  <sheetData>
    <row r="1" spans="1:46">
      <c r="A1" s="265" t="s">
        <v>87</v>
      </c>
      <c r="B1" s="265"/>
      <c r="J1" s="265"/>
      <c r="V1" s="1061" t="s">
        <v>88</v>
      </c>
      <c r="W1" s="1061"/>
      <c r="X1" s="1061"/>
      <c r="Y1" s="1061"/>
      <c r="Z1" s="1061"/>
      <c r="AA1" s="1061"/>
      <c r="AB1" s="1061"/>
    </row>
    <row r="2" spans="1:46">
      <c r="A2" s="265" t="s">
        <v>89</v>
      </c>
      <c r="B2" s="265"/>
      <c r="H2" s="270">
        <f>H15/G15</f>
        <v>0.26742591265475901</v>
      </c>
      <c r="V2" s="1065" t="s">
        <v>90</v>
      </c>
      <c r="W2" s="1065"/>
      <c r="X2" s="1065"/>
      <c r="Y2" s="1065"/>
      <c r="Z2" s="1065"/>
      <c r="AA2" s="1065"/>
      <c r="AB2" s="1065"/>
    </row>
    <row r="3" spans="1:46">
      <c r="A3" s="230" t="e" vm="1">
        <v>#VALUE!</v>
      </c>
      <c r="H3" s="270">
        <f t="shared" ref="H3:H8" si="0">H16/G16</f>
        <v>0.34041542221015475</v>
      </c>
      <c r="P3" s="265"/>
      <c r="Q3" s="385"/>
      <c r="S3" s="386"/>
      <c r="V3" s="1065"/>
      <c r="W3" s="1065"/>
      <c r="X3" s="1065"/>
      <c r="Y3" s="1065"/>
      <c r="Z3" s="1065"/>
      <c r="AA3" s="1065"/>
      <c r="AB3" s="1065"/>
      <c r="AS3" s="230" t="s">
        <v>91</v>
      </c>
      <c r="AT3" s="387" t="s">
        <v>92</v>
      </c>
    </row>
    <row r="4" spans="1:46">
      <c r="A4" s="230" t="e" vm="2">
        <v>#VALUE!</v>
      </c>
      <c r="C4" s="758"/>
      <c r="H4" s="270">
        <f t="shared" si="0"/>
        <v>0.21108887922285052</v>
      </c>
      <c r="Q4" s="303"/>
      <c r="S4" s="385"/>
      <c r="V4" s="1064" t="s">
        <v>93</v>
      </c>
      <c r="W4" s="1064"/>
      <c r="X4" s="1064"/>
      <c r="Y4" s="1064"/>
      <c r="Z4" s="1064"/>
      <c r="AA4" s="1064"/>
      <c r="AB4" s="1064"/>
      <c r="AS4" s="230" t="s">
        <v>94</v>
      </c>
      <c r="AT4" s="387" t="s">
        <v>95</v>
      </c>
    </row>
    <row r="5" spans="1:46">
      <c r="A5" s="230" t="e" vm="3">
        <v>#VALUE!</v>
      </c>
      <c r="H5" s="270">
        <f t="shared" si="0"/>
        <v>0.15356751915613495</v>
      </c>
      <c r="Q5" s="385"/>
      <c r="S5" s="385"/>
      <c r="V5" s="994" t="s">
        <v>96</v>
      </c>
      <c r="W5" s="995">
        <f>M15</f>
        <v>7540.3559346374768</v>
      </c>
      <c r="X5" s="388"/>
      <c r="Y5" s="388"/>
      <c r="Z5" s="388"/>
      <c r="AA5" s="388"/>
      <c r="AB5" s="388"/>
      <c r="AS5" s="230" t="s">
        <v>97</v>
      </c>
      <c r="AT5" s="387" t="s">
        <v>98</v>
      </c>
    </row>
    <row r="6" spans="1:46">
      <c r="A6" s="230" t="e" vm="4">
        <v>#VALUE!</v>
      </c>
      <c r="H6" s="270">
        <f t="shared" si="0"/>
        <v>0.16955949070686377</v>
      </c>
      <c r="Q6" s="389"/>
      <c r="S6" s="296"/>
      <c r="V6" s="994" t="s">
        <v>99</v>
      </c>
      <c r="W6" s="995">
        <f>N15</f>
        <v>1969.5535067653577</v>
      </c>
      <c r="X6" s="388"/>
      <c r="Y6" s="388"/>
      <c r="Z6" s="388"/>
      <c r="AA6" s="388"/>
      <c r="AB6" s="388"/>
    </row>
    <row r="7" spans="1:46">
      <c r="A7" s="230" t="e" vm="5">
        <v>#VALUE!</v>
      </c>
      <c r="H7" s="270">
        <f t="shared" si="0"/>
        <v>0.18837260758933508</v>
      </c>
      <c r="Q7" s="385"/>
      <c r="S7" s="385"/>
      <c r="V7" s="994" t="s">
        <v>100</v>
      </c>
      <c r="W7" s="995">
        <f>K15</f>
        <v>1319.0689999999991</v>
      </c>
      <c r="X7" s="388"/>
      <c r="Y7" s="388"/>
      <c r="Z7" s="388"/>
      <c r="AA7" s="388"/>
      <c r="AB7" s="388"/>
    </row>
    <row r="8" spans="1:46">
      <c r="A8" s="230" t="e" vm="6">
        <v>#VALUE!</v>
      </c>
      <c r="H8" s="270">
        <f t="shared" si="0"/>
        <v>5.8669304971555772E-2</v>
      </c>
      <c r="Q8" s="390"/>
      <c r="V8" s="994" t="s">
        <v>101</v>
      </c>
      <c r="W8" s="995">
        <f ca="1">E15</f>
        <v>46333.540616107799</v>
      </c>
      <c r="X8" s="388"/>
      <c r="Y8" s="388"/>
      <c r="Z8" s="388"/>
      <c r="AA8" s="388"/>
      <c r="AB8" s="388"/>
    </row>
    <row r="9" spans="1:46">
      <c r="A9" s="230" t="e" vm="7">
        <v>#VALUE!</v>
      </c>
      <c r="H9" s="270"/>
      <c r="S9" s="391"/>
      <c r="V9" s="994" t="s">
        <v>102</v>
      </c>
      <c r="W9" s="995">
        <f ca="1">D15</f>
        <v>46340.142616107798</v>
      </c>
      <c r="X9" s="388"/>
      <c r="Y9" s="388"/>
      <c r="Z9" s="388"/>
      <c r="AA9" s="388"/>
      <c r="AB9" s="388"/>
    </row>
    <row r="10" spans="1:46">
      <c r="A10" s="230" t="e" vm="8">
        <v>#VALUE!</v>
      </c>
      <c r="H10" s="270"/>
      <c r="V10" s="994" t="s">
        <v>103</v>
      </c>
      <c r="W10" s="996">
        <f ca="1">C15</f>
        <v>178.1217043977083</v>
      </c>
      <c r="X10" s="388"/>
      <c r="Y10" s="388"/>
      <c r="Z10" s="388"/>
      <c r="AA10" s="388"/>
      <c r="AB10" s="388"/>
    </row>
    <row r="11" spans="1:46">
      <c r="A11" s="265" t="s">
        <v>104</v>
      </c>
      <c r="B11" s="265"/>
      <c r="V11" s="388"/>
      <c r="W11" s="388"/>
      <c r="X11" s="388"/>
      <c r="Y11" s="388"/>
      <c r="Z11" s="388"/>
      <c r="AA11" s="388"/>
      <c r="AB11" s="388"/>
    </row>
    <row r="12" spans="1:46" ht="14" thickBot="1">
      <c r="A12" s="392"/>
      <c r="B12" s="1043"/>
      <c r="C12" s="1062" t="s">
        <v>105</v>
      </c>
      <c r="D12" s="1062"/>
      <c r="E12" s="1062"/>
      <c r="F12" s="393"/>
      <c r="G12" s="1062" t="s">
        <v>106</v>
      </c>
      <c r="H12" s="1062"/>
      <c r="I12" s="1062"/>
      <c r="J12" s="1062"/>
      <c r="K12" s="1062"/>
      <c r="L12" s="393"/>
      <c r="M12" s="1062" t="s">
        <v>107</v>
      </c>
      <c r="N12" s="1062"/>
      <c r="O12" s="394"/>
      <c r="P12" s="1062" t="s">
        <v>108</v>
      </c>
      <c r="Q12" s="1062"/>
      <c r="R12" s="1062"/>
      <c r="S12" s="1062"/>
      <c r="T12" s="1063"/>
      <c r="V12" s="994" t="s">
        <v>109</v>
      </c>
      <c r="W12" s="997">
        <f ca="1">E15-D15</f>
        <v>-6.6019999999989523</v>
      </c>
      <c r="X12" s="388"/>
      <c r="Y12" s="388"/>
      <c r="Z12" s="388"/>
      <c r="AA12" s="388"/>
      <c r="AB12" s="388"/>
    </row>
    <row r="13" spans="1:46" ht="14" thickTop="1">
      <c r="A13" s="395"/>
      <c r="B13" s="451"/>
      <c r="C13" s="396" t="s">
        <v>110</v>
      </c>
      <c r="D13" s="396" t="s">
        <v>111</v>
      </c>
      <c r="E13" s="396" t="s">
        <v>112</v>
      </c>
      <c r="F13" s="397"/>
      <c r="G13" s="396" t="s">
        <v>113</v>
      </c>
      <c r="H13" s="396" t="s">
        <v>114</v>
      </c>
      <c r="I13" s="396" t="s">
        <v>38</v>
      </c>
      <c r="J13" s="396" t="s">
        <v>115</v>
      </c>
      <c r="K13" s="396" t="s">
        <v>116</v>
      </c>
      <c r="L13" s="398"/>
      <c r="M13" s="396" t="s">
        <v>117</v>
      </c>
      <c r="N13" s="396" t="s">
        <v>118</v>
      </c>
      <c r="O13" s="396"/>
      <c r="P13" s="396" t="s">
        <v>119</v>
      </c>
      <c r="Q13" s="396" t="s">
        <v>120</v>
      </c>
      <c r="R13" s="396" t="s">
        <v>121</v>
      </c>
      <c r="S13" s="396" t="s">
        <v>122</v>
      </c>
      <c r="T13" s="399" t="s">
        <v>123</v>
      </c>
      <c r="V13" s="994" t="s">
        <v>124</v>
      </c>
      <c r="W13" s="996">
        <f ca="1">W9/W10</f>
        <v>260.16000000000003</v>
      </c>
      <c r="X13" s="388"/>
      <c r="Y13" s="388"/>
      <c r="Z13" s="388"/>
      <c r="AA13" s="388"/>
      <c r="AB13" s="388"/>
    </row>
    <row r="14" spans="1:46">
      <c r="A14" s="395" t="s">
        <v>125</v>
      </c>
      <c r="B14" s="451" t="s">
        <v>1074</v>
      </c>
      <c r="C14" s="400" t="s">
        <v>126</v>
      </c>
      <c r="D14" s="400" t="s">
        <v>127</v>
      </c>
      <c r="E14" s="400" t="s">
        <v>127</v>
      </c>
      <c r="F14" s="401"/>
      <c r="G14" s="400" t="s">
        <v>127</v>
      </c>
      <c r="H14" s="400" t="s">
        <v>127</v>
      </c>
      <c r="I14" s="400" t="s">
        <v>127</v>
      </c>
      <c r="J14" s="400" t="s">
        <v>127</v>
      </c>
      <c r="K14" s="400" t="s">
        <v>127</v>
      </c>
      <c r="L14" s="397"/>
      <c r="M14" s="400" t="s">
        <v>127</v>
      </c>
      <c r="N14" s="400" t="s">
        <v>127</v>
      </c>
      <c r="O14" s="400"/>
      <c r="P14" s="400" t="s">
        <v>128</v>
      </c>
      <c r="Q14" s="400" t="s">
        <v>128</v>
      </c>
      <c r="R14" s="400" t="s">
        <v>129</v>
      </c>
      <c r="S14" s="400" t="s">
        <v>129</v>
      </c>
      <c r="T14" s="402" t="s">
        <v>128</v>
      </c>
      <c r="V14" s="388"/>
      <c r="W14" s="388"/>
      <c r="X14" s="388"/>
      <c r="Y14" s="388"/>
      <c r="Z14" s="388"/>
      <c r="AA14" s="388"/>
      <c r="AB14" s="388"/>
    </row>
    <row r="15" spans="1:46" ht="12.5" thickBot="1">
      <c r="A15" s="403" t="s">
        <v>130</v>
      </c>
      <c r="B15" s="1044" t="s">
        <v>1080</v>
      </c>
      <c r="C15" s="920">
        <f ca="1">'VWAP LIVE'!I5</f>
        <v>178.1217043977083</v>
      </c>
      <c r="D15" s="761">
        <f ca="1">C15*260.16</f>
        <v>46340.142616107798</v>
      </c>
      <c r="E15" s="406">
        <f ca="1">D15+('BS Historical Updated'!J47+'BS Historical Updated'!J54+'BS Historical Updated'!J55)-'BS Historical Updated'!J7</f>
        <v>46333.540616107799</v>
      </c>
      <c r="F15" s="407"/>
      <c r="G15" s="410">
        <v>6572.31</v>
      </c>
      <c r="H15" s="405">
        <f>'IS Historical'!K52+K32</f>
        <v>1757.6059999999993</v>
      </c>
      <c r="I15" s="405">
        <f>'IS Historical'!K28</f>
        <v>10.352999999999156</v>
      </c>
      <c r="J15" s="408">
        <v>-53.8</v>
      </c>
      <c r="K15" s="405">
        <f>'CF Intergrated'!K53</f>
        <v>1319.0689999999991</v>
      </c>
      <c r="L15" s="409"/>
      <c r="M15" s="410">
        <f>'IS Intergrated'!L10</f>
        <v>7540.3559346374768</v>
      </c>
      <c r="N15" s="410">
        <f>'IS Intergrated'!L55+'CF Assumptions'!F38</f>
        <v>1969.5535067653577</v>
      </c>
      <c r="O15" s="409"/>
      <c r="P15" s="411">
        <f ca="1">E15/M15</f>
        <v>6.1447418421283597</v>
      </c>
      <c r="Q15" s="411">
        <f ca="1">E15/N15</f>
        <v>23.524895595348625</v>
      </c>
      <c r="R15" s="412">
        <f>(G15/'IS Intergrated'!J10)-1</f>
        <v>0.26019691277823886</v>
      </c>
      <c r="S15" s="412">
        <f>R15+K15/G15</f>
        <v>0.46089788397405873</v>
      </c>
      <c r="T15" s="413">
        <f ca="1">E15/K15</f>
        <v>35.125941566444084</v>
      </c>
      <c r="V15" s="1060" t="s">
        <v>131</v>
      </c>
      <c r="W15" s="1060"/>
      <c r="X15" s="1060"/>
      <c r="Y15" s="1060"/>
      <c r="Z15" s="1060"/>
      <c r="AA15" s="1060"/>
      <c r="AB15" s="1060"/>
    </row>
    <row r="16" spans="1:46" ht="12.5" thickTop="1">
      <c r="A16" s="414" t="s">
        <v>132</v>
      </c>
      <c r="B16" s="1003" t="s">
        <v>1076</v>
      </c>
      <c r="C16" s="419" cm="1">
        <f t="array" aca="1" ref="C16" ca="1">_FV(A4,"Price")</f>
        <v>142.35</v>
      </c>
      <c r="D16" s="760">
        <f ca="1">C16*1034.33</f>
        <v>147236.87549999999</v>
      </c>
      <c r="E16" s="417">
        <f ca="1">D16-6290+1491</f>
        <v>142437.87549999999</v>
      </c>
      <c r="F16" s="416"/>
      <c r="G16" s="417">
        <v>14732</v>
      </c>
      <c r="H16" s="417">
        <f>2983+K33</f>
        <v>5015</v>
      </c>
      <c r="I16" s="417">
        <v>2001</v>
      </c>
      <c r="J16" s="417">
        <v>1670</v>
      </c>
      <c r="K16" s="417">
        <v>4580</v>
      </c>
      <c r="L16" s="418"/>
      <c r="M16" s="419">
        <f>0.5*16209+0.5*19245</f>
        <v>17727</v>
      </c>
      <c r="N16" s="419">
        <f>0.5*6323+0.5*7554</f>
        <v>6938.5</v>
      </c>
      <c r="O16" s="418"/>
      <c r="P16" s="420">
        <f ca="1">E16/M16</f>
        <v>8.0350806961132726</v>
      </c>
      <c r="Q16" s="420">
        <f ca="1">E16/N16</f>
        <v>20.528626576349353</v>
      </c>
      <c r="R16" s="421">
        <f>(M16/G16)-1</f>
        <v>0.20329894108064073</v>
      </c>
      <c r="S16" s="421">
        <f>R16+K16/G16</f>
        <v>0.51418680423567742</v>
      </c>
      <c r="T16" s="422">
        <f t="shared" ref="T16" ca="1" si="1">E16/K16</f>
        <v>31.099972816593887</v>
      </c>
      <c r="V16" s="1066" t="s">
        <v>133</v>
      </c>
      <c r="W16" s="1066" t="s">
        <v>134</v>
      </c>
      <c r="X16" s="1066" t="s">
        <v>135</v>
      </c>
      <c r="Y16" s="1066" t="s">
        <v>136</v>
      </c>
      <c r="Z16" s="1066" t="s">
        <v>137</v>
      </c>
      <c r="AA16" s="1066" t="s">
        <v>138</v>
      </c>
      <c r="AB16" s="1066" t="s">
        <v>86</v>
      </c>
    </row>
    <row r="17" spans="1:35">
      <c r="A17" s="414" t="s">
        <v>139</v>
      </c>
      <c r="B17" s="1003" t="s">
        <v>1077</v>
      </c>
      <c r="C17" s="419" cm="1">
        <f t="array" aca="1" ref="C17" ca="1">_FV(A5,"Price")</f>
        <v>250.61</v>
      </c>
      <c r="D17" s="419">
        <f ca="1">C17*51.34</f>
        <v>12866.317400000002</v>
      </c>
      <c r="E17" s="759">
        <f>10027.88-1337.94-119.46</f>
        <v>8570.48</v>
      </c>
      <c r="F17" s="424"/>
      <c r="G17" s="423">
        <v>3448.5</v>
      </c>
      <c r="H17" s="423">
        <f>321.34+K38</f>
        <v>727.94</v>
      </c>
      <c r="I17" s="423">
        <v>134.22999999999999</v>
      </c>
      <c r="J17" s="423">
        <v>146.9</v>
      </c>
      <c r="K17" s="423">
        <v>694.88</v>
      </c>
      <c r="L17" s="423"/>
      <c r="M17" s="423">
        <f>0.5*3683+0.5*4204</f>
        <v>3943.5</v>
      </c>
      <c r="N17" s="423">
        <f>0.5*922+0.5*1113</f>
        <v>1017.5</v>
      </c>
      <c r="O17" s="425"/>
      <c r="P17" s="426">
        <f>E17/M17</f>
        <v>2.1733181184227206</v>
      </c>
      <c r="Q17" s="426">
        <f>E17/N17</f>
        <v>8.4230761670761662</v>
      </c>
      <c r="R17" s="427">
        <f>(M17/G17)-1</f>
        <v>0.14354066985645941</v>
      </c>
      <c r="S17" s="427">
        <f>R17+K17/G17</f>
        <v>0.34504277221980578</v>
      </c>
      <c r="T17" s="422">
        <f>E17/K17</f>
        <v>12.333755468570113</v>
      </c>
      <c r="V17" s="1066"/>
      <c r="W17" s="1066"/>
      <c r="X17" s="1066"/>
      <c r="Y17" s="1066"/>
      <c r="Z17" s="1066"/>
      <c r="AA17" s="1066"/>
      <c r="AB17" s="1066"/>
    </row>
    <row r="18" spans="1:35">
      <c r="A18" s="414" t="s">
        <v>140</v>
      </c>
      <c r="B18" s="1003" t="s">
        <v>1078</v>
      </c>
      <c r="C18" s="419" cm="1">
        <f t="array" aca="1" ref="C18" ca="1">_FV(A6,"Price")</f>
        <v>49.25</v>
      </c>
      <c r="D18" s="417">
        <f ca="1">C18*184.51</f>
        <v>9087.1175000000003</v>
      </c>
      <c r="E18" s="417">
        <f ca="1">D18-1357.51+46.18</f>
        <v>7775.7875000000004</v>
      </c>
      <c r="F18" s="416"/>
      <c r="G18" s="417">
        <v>1004.9</v>
      </c>
      <c r="H18" s="428">
        <f>-32.98+K34</f>
        <v>154.32000000000002</v>
      </c>
      <c r="I18" s="429">
        <v>-45.06</v>
      </c>
      <c r="J18" s="429">
        <v>-25.1</v>
      </c>
      <c r="K18" s="417">
        <v>263.44</v>
      </c>
      <c r="L18" s="418"/>
      <c r="M18" s="419">
        <f>((0.5)*1117)+((0.5)*1286)</f>
        <v>1201.5</v>
      </c>
      <c r="N18" s="419">
        <f>((10/12)*145)+((2/12)*184)</f>
        <v>151.5</v>
      </c>
      <c r="O18" s="418"/>
      <c r="P18" s="426">
        <f ca="1">E18/M18</f>
        <v>6.4717332501040365</v>
      </c>
      <c r="Q18" s="426">
        <f ca="1">E18/N18</f>
        <v>51.325330033003304</v>
      </c>
      <c r="R18" s="427">
        <f>(M18/G18)-1</f>
        <v>0.19564135734898991</v>
      </c>
      <c r="S18" s="427">
        <f>R18+K18/G18</f>
        <v>0.45779679570106474</v>
      </c>
      <c r="T18" s="422">
        <f ca="1">E18/K18</f>
        <v>29.516350971758278</v>
      </c>
      <c r="V18" s="994" t="s">
        <v>141</v>
      </c>
      <c r="W18" s="998">
        <f ca="1">MIN($P16:$P21)</f>
        <v>1.8793972350709423</v>
      </c>
      <c r="X18" s="995">
        <f>W5</f>
        <v>7540.3559346374768</v>
      </c>
      <c r="Y18" s="999">
        <f ca="1">W18*X18</f>
        <v>14171.324095008444</v>
      </c>
      <c r="Z18" s="997">
        <f t="shared" ref="Z18:Z23" ca="1" si="2">$W$12</f>
        <v>-6.6019999999989523</v>
      </c>
      <c r="AA18" s="999">
        <f ca="1">Y18+Z18</f>
        <v>14164.722095008445</v>
      </c>
      <c r="AB18" s="999">
        <f t="shared" ref="AB18:AB23" ca="1" si="3">AA18/$W$13</f>
        <v>54.446195014638853</v>
      </c>
    </row>
    <row r="19" spans="1:35">
      <c r="A19" s="414" t="s">
        <v>142</v>
      </c>
      <c r="B19" s="1003" t="s">
        <v>1079</v>
      </c>
      <c r="C19" s="419" cm="1">
        <f t="array" aca="1" ref="C19" ca="1">_FV(A7,"Price")</f>
        <v>96.105000000000004</v>
      </c>
      <c r="D19" s="417">
        <f ca="1">C19*43.97</f>
        <v>4225.7368500000002</v>
      </c>
      <c r="E19" s="417">
        <f ca="1">D19+0-1212.28</f>
        <v>3013.4568500000005</v>
      </c>
      <c r="F19" s="416"/>
      <c r="G19" s="417">
        <v>1366.6</v>
      </c>
      <c r="H19" s="417">
        <f>54.71+K35</f>
        <v>231.72</v>
      </c>
      <c r="I19" s="417">
        <v>39.65</v>
      </c>
      <c r="J19" s="417">
        <v>121.24</v>
      </c>
      <c r="K19" s="417">
        <v>318.2</v>
      </c>
      <c r="L19" s="418"/>
      <c r="M19" s="419">
        <f>((5/12)*1471)+((7/12)*1698)</f>
        <v>1603.416666666667</v>
      </c>
      <c r="N19" s="419">
        <f>((5/12)*234)+((7/12)*296)</f>
        <v>270.16666666666669</v>
      </c>
      <c r="O19" s="418"/>
      <c r="P19" s="426">
        <f t="shared" ref="P19:P20" ca="1" si="4">E19/M19</f>
        <v>1.8793972350709423</v>
      </c>
      <c r="Q19" s="426">
        <f t="shared" ref="Q19:Q20" ca="1" si="5">E19/N19</f>
        <v>11.154066070326961</v>
      </c>
      <c r="R19" s="427">
        <f t="shared" ref="R19" si="6">(M19/G19)-1</f>
        <v>0.17328894092394775</v>
      </c>
      <c r="S19" s="427">
        <f t="shared" ref="S19:S20" si="7">R19+K19/G19</f>
        <v>0.40612956729596594</v>
      </c>
      <c r="T19" s="422">
        <f ca="1">E19/K19</f>
        <v>9.4703232243871796</v>
      </c>
      <c r="V19" s="994" t="s">
        <v>143</v>
      </c>
      <c r="W19" s="998">
        <f ca="1">_xlfn.QUARTILE.INC(P16:P21,1)</f>
        <v>2.1962557293811313</v>
      </c>
      <c r="X19" s="995">
        <f>W5</f>
        <v>7540.3559346374768</v>
      </c>
      <c r="Y19" s="999">
        <f t="shared" ref="Y19:Y23" ca="1" si="8">W19*X19</f>
        <v>16560.549923020575</v>
      </c>
      <c r="Z19" s="997">
        <f t="shared" ca="1" si="2"/>
        <v>-6.6019999999989523</v>
      </c>
      <c r="AA19" s="999">
        <f t="shared" ref="AA19:AA23" ca="1" si="9">Y19+Z19</f>
        <v>16553.947923020576</v>
      </c>
      <c r="AB19" s="999">
        <f t="shared" ca="1" si="3"/>
        <v>63.629873627846614</v>
      </c>
      <c r="AE19" s="230" t="str">
        <f>P13</f>
        <v>EV/Revenue (NTM)</v>
      </c>
      <c r="AF19" s="230" t="str">
        <f>Q13</f>
        <v>EV/EBITDA (NTM)</v>
      </c>
      <c r="AG19" s="230" t="str">
        <f>T13</f>
        <v>EV/FCF (LTM)</v>
      </c>
      <c r="AI19" s="387"/>
    </row>
    <row r="20" spans="1:35">
      <c r="A20" s="414" t="s">
        <v>144</v>
      </c>
      <c r="B20" s="1003" t="s">
        <v>1076</v>
      </c>
      <c r="C20" s="419" cm="1">
        <f t="array" aca="1" ref="C20" ca="1">_FV(A8,"Price")</f>
        <v>12.64</v>
      </c>
      <c r="D20" s="419">
        <f ca="1">C20*292.11</f>
        <v>3692.2704000000003</v>
      </c>
      <c r="E20" s="419">
        <f ca="1">D20+13-665.26</f>
        <v>3040.0104000000001</v>
      </c>
      <c r="F20" s="425"/>
      <c r="G20" s="425">
        <v>903.9</v>
      </c>
      <c r="H20" s="418">
        <f>68.17+K39</f>
        <v>170.26999999999998</v>
      </c>
      <c r="I20" s="425">
        <v>37.31</v>
      </c>
      <c r="J20" s="425">
        <v>185.19</v>
      </c>
      <c r="K20" s="425">
        <v>220.56</v>
      </c>
      <c r="L20" s="425"/>
      <c r="M20" s="418">
        <f>((10/12)*965+(2/12)*1102)</f>
        <v>987.83333333333337</v>
      </c>
      <c r="N20" s="425">
        <f>((10/12)*250.2+(2/12)*292.2)</f>
        <v>257.2</v>
      </c>
      <c r="O20" s="425"/>
      <c r="P20" s="426">
        <f t="shared" ca="1" si="4"/>
        <v>3.0774527416905686</v>
      </c>
      <c r="Q20" s="426">
        <f t="shared" ca="1" si="5"/>
        <v>11.819636080870918</v>
      </c>
      <c r="R20" s="427">
        <f>(M20/G20)-1</f>
        <v>9.2856879448316665E-2</v>
      </c>
      <c r="S20" s="427">
        <f t="shared" si="7"/>
        <v>0.33686617251170864</v>
      </c>
      <c r="T20" s="430">
        <f ca="1">E20/K20</f>
        <v>13.783144722524483</v>
      </c>
      <c r="V20" s="994" t="s">
        <v>145</v>
      </c>
      <c r="W20" s="998">
        <f ca="1">MEDIAN(P16:P21)</f>
        <v>2.6712606519734656</v>
      </c>
      <c r="X20" s="995">
        <f>W5</f>
        <v>7540.3559346374768</v>
      </c>
      <c r="Y20" s="999">
        <f t="shared" ca="1" si="8"/>
        <v>20142.256110071696</v>
      </c>
      <c r="Z20" s="997">
        <f t="shared" ca="1" si="2"/>
        <v>-6.6019999999989523</v>
      </c>
      <c r="AA20" s="999">
        <f t="shared" ca="1" si="9"/>
        <v>20135.654110071697</v>
      </c>
      <c r="AB20" s="999">
        <f t="shared" ca="1" si="3"/>
        <v>77.397194457532649</v>
      </c>
      <c r="AD20" s="230" t="s">
        <v>1091</v>
      </c>
      <c r="AE20" s="1048">
        <f ca="1">P22</f>
        <v>3.9836751006096507</v>
      </c>
      <c r="AF20" s="1048">
        <f ca="1">Q22</f>
        <v>20.17258605382926</v>
      </c>
      <c r="AG20" s="1048">
        <f ca="1">T22</f>
        <v>19.101424689242183</v>
      </c>
    </row>
    <row r="21" spans="1:35" ht="12.5" thickBot="1">
      <c r="A21" s="414" t="s">
        <v>146</v>
      </c>
      <c r="B21" s="1003" t="s">
        <v>1079</v>
      </c>
      <c r="C21" s="419" cm="1">
        <f t="array" aca="1" ref="C21" ca="1">_FV(A9,"Price")</f>
        <v>9.66</v>
      </c>
      <c r="D21" s="417">
        <f ca="1">C21*244.58</f>
        <v>2362.6428000000001</v>
      </c>
      <c r="E21" s="417">
        <f ca="1">D21-425.35+38.3</f>
        <v>1975.5928000000001</v>
      </c>
      <c r="F21" s="416"/>
      <c r="G21" s="417">
        <v>808.6</v>
      </c>
      <c r="H21" s="428">
        <f>-112.93+K36</f>
        <v>47.44</v>
      </c>
      <c r="I21" s="429">
        <v>-136.05000000000001</v>
      </c>
      <c r="J21" s="429">
        <v>-163.41</v>
      </c>
      <c r="K21" s="417">
        <v>107.34</v>
      </c>
      <c r="L21" s="418"/>
      <c r="M21" s="419">
        <f>((10/12)*860.8)+((2/12)*929.2)</f>
        <v>872.2</v>
      </c>
      <c r="N21" s="419">
        <f>((10/12)*106.6)+((2/12)*133.5)</f>
        <v>111.08333333333333</v>
      </c>
      <c r="O21" s="418"/>
      <c r="P21" s="426">
        <f ca="1">E21/M21</f>
        <v>2.2650685622563631</v>
      </c>
      <c r="Q21" s="426">
        <f ca="1">E21/N21</f>
        <v>17.784781395348841</v>
      </c>
      <c r="R21" s="427">
        <f>(M21/G21)-1</f>
        <v>7.8654464506554556E-2</v>
      </c>
      <c r="S21" s="427">
        <f>R21+K21/G21</f>
        <v>0.21140242394261688</v>
      </c>
      <c r="T21" s="422">
        <f ca="1">E21/K21</f>
        <v>18.405000931619156</v>
      </c>
      <c r="V21" s="994" t="s">
        <v>147</v>
      </c>
      <c r="W21" s="998">
        <f ca="1">AVERAGE(P16:P21)</f>
        <v>3.9836751006096507</v>
      </c>
      <c r="X21" s="995">
        <f>W5</f>
        <v>7540.3559346374768</v>
      </c>
      <c r="Y21" s="999">
        <f t="shared" ca="1" si="8"/>
        <v>30038.328186549526</v>
      </c>
      <c r="Z21" s="997">
        <f t="shared" ca="1" si="2"/>
        <v>-6.6019999999989523</v>
      </c>
      <c r="AA21" s="999">
        <f t="shared" ca="1" si="9"/>
        <v>30031.726186549527</v>
      </c>
      <c r="AB21" s="999">
        <f t="shared" ca="1" si="3"/>
        <v>115.43560188556859</v>
      </c>
      <c r="AD21" s="230" t="s">
        <v>535</v>
      </c>
      <c r="AE21" s="1004">
        <f ca="1">P15</f>
        <v>6.1447418421283597</v>
      </c>
      <c r="AF21" s="1004">
        <f ca="1">Q15</f>
        <v>23.524895595348625</v>
      </c>
      <c r="AG21" s="1004">
        <f ca="1">T15</f>
        <v>35.125941566444084</v>
      </c>
      <c r="AI21" s="387"/>
    </row>
    <row r="22" spans="1:35" ht="12.5" thickTop="1">
      <c r="A22" s="431" t="s">
        <v>148</v>
      </c>
      <c r="B22" s="1045"/>
      <c r="C22" s="432">
        <f ca="1">AVERAGE(C16:C21)</f>
        <v>93.435833333333335</v>
      </c>
      <c r="D22" s="432">
        <f ca="1">AVERAGE(D16:D21)</f>
        <v>29911.826741666664</v>
      </c>
      <c r="E22" s="432">
        <f ca="1">AVERAGE(E16:E21)</f>
        <v>27802.200508333335</v>
      </c>
      <c r="F22" s="432"/>
      <c r="G22" s="432">
        <f>AVERAGE(G16:G21)</f>
        <v>3710.75</v>
      </c>
      <c r="H22" s="432">
        <f>AVERAGE(H16:H21)</f>
        <v>1057.7816666666665</v>
      </c>
      <c r="I22" s="432">
        <f>AVERAGE(I16:I21)</f>
        <v>338.51333333333338</v>
      </c>
      <c r="J22" s="432">
        <f>AVERAGE(J16:J21)</f>
        <v>322.46999999999997</v>
      </c>
      <c r="K22" s="432">
        <f>AVERAGE(K16:K21)</f>
        <v>1030.7366666666667</v>
      </c>
      <c r="L22" s="432"/>
      <c r="M22" s="432">
        <f>AVERAGE(M16:M21)</f>
        <v>4389.2416666666668</v>
      </c>
      <c r="N22" s="432">
        <f>AVERAGE(N16:N21)</f>
        <v>1457.6583333333335</v>
      </c>
      <c r="O22" s="433"/>
      <c r="P22" s="434">
        <f ca="1">AVERAGE(P16:P21)</f>
        <v>3.9836751006096507</v>
      </c>
      <c r="Q22" s="434">
        <f ca="1">AVERAGE(Q16:Q21)</f>
        <v>20.17258605382926</v>
      </c>
      <c r="R22" s="435">
        <f>AVERAGE(R16:R21)</f>
        <v>0.14788020886081818</v>
      </c>
      <c r="S22" s="435">
        <f>AVERAGE(S16:S21)</f>
        <v>0.37857075598447326</v>
      </c>
      <c r="T22" s="436">
        <f ca="1">AVERAGE(T16:T21)</f>
        <v>19.101424689242183</v>
      </c>
      <c r="V22" s="994" t="s">
        <v>149</v>
      </c>
      <c r="W22" s="998">
        <f ca="1">_xlfn.QUARTILE.INC(P16:P21,3)</f>
        <v>5.6231631230006691</v>
      </c>
      <c r="X22" s="995">
        <f>W5</f>
        <v>7540.3559346374768</v>
      </c>
      <c r="Y22" s="999">
        <f t="shared" ca="1" si="8"/>
        <v>42400.651425952703</v>
      </c>
      <c r="Z22" s="997">
        <f t="shared" ca="1" si="2"/>
        <v>-6.6019999999989523</v>
      </c>
      <c r="AA22" s="999">
        <f t="shared" ca="1" si="9"/>
        <v>42394.049425952704</v>
      </c>
      <c r="AB22" s="999">
        <f t="shared" ca="1" si="3"/>
        <v>162.95375701857589</v>
      </c>
    </row>
    <row r="23" spans="1:35" ht="12.5" thickBot="1">
      <c r="A23" s="414" t="s">
        <v>150</v>
      </c>
      <c r="B23" s="1003"/>
      <c r="C23" s="404">
        <f ca="1">MEDIAN(C16:C21)</f>
        <v>72.677500000000009</v>
      </c>
      <c r="D23" s="415">
        <f ca="1">MEDIAN(D16:D21)</f>
        <v>6656.4271750000007</v>
      </c>
      <c r="E23" s="415">
        <f ca="1">MEDIAN(E16:E21)</f>
        <v>5407.8989500000007</v>
      </c>
      <c r="F23" s="415"/>
      <c r="G23" s="415">
        <f>MEDIAN(G16:G21)</f>
        <v>1185.75</v>
      </c>
      <c r="H23" s="415">
        <f>MEDIAN(H16:H21)</f>
        <v>200.995</v>
      </c>
      <c r="I23" s="415">
        <f>MEDIAN(I16:I21)</f>
        <v>38.480000000000004</v>
      </c>
      <c r="J23" s="415">
        <f>MEDIAN(J16:J21)</f>
        <v>134.07</v>
      </c>
      <c r="K23" s="415">
        <f>MEDIAN(K16:K21)</f>
        <v>290.82</v>
      </c>
      <c r="L23" s="415"/>
      <c r="M23" s="415">
        <f>MEDIAN(M16:M21)</f>
        <v>1402.4583333333335</v>
      </c>
      <c r="N23" s="415">
        <f>MEDIAN(N16:N21)</f>
        <v>263.68333333333334</v>
      </c>
      <c r="O23" s="416"/>
      <c r="P23" s="437">
        <f ca="1">MEDIAN(P16:P21)</f>
        <v>2.6712606519734656</v>
      </c>
      <c r="Q23" s="437">
        <f ca="1">MEDIAN(Q16:Q21)</f>
        <v>14.802208738109879</v>
      </c>
      <c r="R23" s="438">
        <f>MEDIAN(R16:R21)</f>
        <v>0.15841480539020358</v>
      </c>
      <c r="S23" s="438">
        <f>MEDIAN(S16:S21)</f>
        <v>0.37558616975788583</v>
      </c>
      <c r="T23" s="439">
        <f ca="1">MEDIAN(T16:T21)</f>
        <v>16.09407282707182</v>
      </c>
      <c r="V23" s="994" t="s">
        <v>151</v>
      </c>
      <c r="W23" s="998">
        <f ca="1">MAX(P16:P21)</f>
        <v>8.0350806961132726</v>
      </c>
      <c r="X23" s="995">
        <f>W5</f>
        <v>7540.3559346374768</v>
      </c>
      <c r="Y23" s="999">
        <f t="shared" ca="1" si="8"/>
        <v>60587.368412228745</v>
      </c>
      <c r="Z23" s="997">
        <f t="shared" ca="1" si="2"/>
        <v>-6.6019999999989523</v>
      </c>
      <c r="AA23" s="999">
        <f t="shared" ca="1" si="9"/>
        <v>60580.766412228746</v>
      </c>
      <c r="AB23" s="999">
        <f t="shared" ca="1" si="3"/>
        <v>232.85964949349915</v>
      </c>
    </row>
    <row r="24" spans="1:35" ht="14" thickTop="1">
      <c r="A24" s="440" t="s">
        <v>152</v>
      </c>
      <c r="B24" s="1046" t="s">
        <v>1075</v>
      </c>
      <c r="C24" s="443" cm="1">
        <f t="array" aca="1" ref="C24" ca="1">_FV(A10,"Price")</f>
        <v>505.41</v>
      </c>
      <c r="D24" s="441">
        <f ca="1">C24*7503.55</f>
        <v>3792369.2055000002</v>
      </c>
      <c r="E24" s="441">
        <f ca="1">D24+40294-(76843+27240)</f>
        <v>3728580.2055000002</v>
      </c>
      <c r="F24" s="441"/>
      <c r="G24" s="441">
        <f>331.84*1000</f>
        <v>331840</v>
      </c>
      <c r="H24" s="441">
        <f>(198.69*1000)+K37</f>
        <v>211095</v>
      </c>
      <c r="I24" s="441">
        <f>155.24*1000</f>
        <v>155240</v>
      </c>
      <c r="J24" s="441">
        <f>133.75*1000</f>
        <v>133750</v>
      </c>
      <c r="K24" s="441">
        <f>66.92*1000</f>
        <v>66920</v>
      </c>
      <c r="L24" s="442"/>
      <c r="M24" s="442">
        <v>390396</v>
      </c>
      <c r="N24" s="442">
        <v>242166</v>
      </c>
      <c r="O24" s="443"/>
      <c r="P24" s="444">
        <f t="shared" ref="P24" ca="1" si="10">E24/M24</f>
        <v>9.5507643661820314</v>
      </c>
      <c r="Q24" s="444">
        <f t="shared" ref="Q24" ca="1" si="11">E24/N24</f>
        <v>15.396794783330444</v>
      </c>
      <c r="R24" s="445">
        <f t="shared" ref="R24" si="12">(M24/G24)-1</f>
        <v>0.17645853423336555</v>
      </c>
      <c r="S24" s="445">
        <f t="shared" ref="S24" si="13">R24+K24/G24</f>
        <v>0.37812198649951789</v>
      </c>
      <c r="T24" s="446">
        <f ca="1">E24/K24</f>
        <v>55.716978563956964</v>
      </c>
      <c r="V24" s="388"/>
      <c r="W24" s="388"/>
      <c r="X24" s="388"/>
      <c r="Y24" s="388"/>
      <c r="Z24" s="388"/>
      <c r="AA24" s="388"/>
      <c r="AB24" s="388"/>
    </row>
    <row r="25" spans="1:35" ht="13.5">
      <c r="A25" s="447" t="s">
        <v>153</v>
      </c>
      <c r="B25" s="447"/>
      <c r="V25" s="1060" t="s">
        <v>154</v>
      </c>
      <c r="W25" s="1060"/>
      <c r="X25" s="1060"/>
      <c r="Y25" s="1060"/>
      <c r="Z25" s="1060"/>
      <c r="AA25" s="1060"/>
      <c r="AB25" s="662"/>
    </row>
    <row r="26" spans="1:35" ht="13.5">
      <c r="A26" s="447" t="s">
        <v>155</v>
      </c>
      <c r="B26" s="447"/>
      <c r="V26" s="1066" t="s">
        <v>133</v>
      </c>
      <c r="W26" s="1066" t="s">
        <v>134</v>
      </c>
      <c r="X26" s="1066" t="s">
        <v>135</v>
      </c>
      <c r="Y26" s="1066" t="s">
        <v>136</v>
      </c>
      <c r="Z26" s="1066" t="s">
        <v>137</v>
      </c>
      <c r="AA26" s="1066" t="s">
        <v>138</v>
      </c>
      <c r="AB26" s="1066" t="s">
        <v>86</v>
      </c>
    </row>
    <row r="27" spans="1:35">
      <c r="A27" s="447" t="s">
        <v>156</v>
      </c>
      <c r="B27" s="447"/>
      <c r="V27" s="1066"/>
      <c r="W27" s="1066"/>
      <c r="X27" s="1066"/>
      <c r="Y27" s="1066"/>
      <c r="Z27" s="1066"/>
      <c r="AA27" s="1066"/>
      <c r="AB27" s="1066"/>
    </row>
    <row r="28" spans="1:35" ht="13.5">
      <c r="A28" s="266" t="s">
        <v>157</v>
      </c>
      <c r="B28" s="266"/>
      <c r="V28" s="994" t="s">
        <v>141</v>
      </c>
      <c r="W28" s="998">
        <f ca="1">MIN(Q16:Q21)</f>
        <v>8.4230761670761662</v>
      </c>
      <c r="X28" s="999">
        <f t="shared" ref="X28:X33" si="14">$N$15</f>
        <v>1969.5535067653577</v>
      </c>
      <c r="Y28" s="999">
        <f ca="1">W28*X28</f>
        <v>16589.699202616572</v>
      </c>
      <c r="Z28" s="1000">
        <f ca="1">Z18</f>
        <v>-6.6019999999989523</v>
      </c>
      <c r="AA28" s="999">
        <f ca="1">Y28+Z28</f>
        <v>16583.097202616573</v>
      </c>
      <c r="AB28" s="999">
        <f t="shared" ref="AB28:AB33" ca="1" si="15">AA28/$W$13</f>
        <v>63.74191729173036</v>
      </c>
    </row>
    <row r="29" spans="1:35">
      <c r="A29" s="266" t="s">
        <v>158</v>
      </c>
      <c r="B29" s="266"/>
      <c r="V29" s="994" t="s">
        <v>143</v>
      </c>
      <c r="W29" s="998">
        <f ca="1">_xlfn.QUARTILE.INC(Q16:Q21,1)</f>
        <v>11.32045857296295</v>
      </c>
      <c r="X29" s="999">
        <f t="shared" si="14"/>
        <v>1969.5535067653577</v>
      </c>
      <c r="Y29" s="999">
        <f t="shared" ref="Y29:Y33" ca="1" si="16">W29*X29</f>
        <v>22296.248880571136</v>
      </c>
      <c r="Z29" s="1000">
        <f t="shared" ref="Z29:Z33" ca="1" si="17">Z19</f>
        <v>-6.6019999999989523</v>
      </c>
      <c r="AA29" s="999">
        <f t="shared" ref="AA29:AA33" ca="1" si="18">Y29+Z29</f>
        <v>22289.646880571137</v>
      </c>
      <c r="AB29" s="999">
        <f t="shared" ca="1" si="15"/>
        <v>85.676686964064942</v>
      </c>
    </row>
    <row r="30" spans="1:35">
      <c r="A30" s="448"/>
      <c r="B30" s="448"/>
      <c r="C30" s="448"/>
      <c r="D30" s="448"/>
      <c r="E30" s="448"/>
      <c r="F30" s="448"/>
      <c r="G30" s="448"/>
      <c r="H30" s="448"/>
      <c r="I30" s="449"/>
      <c r="J30" s="448"/>
      <c r="K30" s="448"/>
      <c r="L30" s="448"/>
      <c r="M30" s="448"/>
      <c r="N30" s="448"/>
      <c r="O30" s="448"/>
      <c r="P30" s="448"/>
      <c r="V30" s="994" t="s">
        <v>145</v>
      </c>
      <c r="W30" s="998">
        <f ca="1">MEDIAN(Q16:Q21)</f>
        <v>14.802208738109879</v>
      </c>
      <c r="X30" s="999">
        <f t="shared" si="14"/>
        <v>1969.5535067653577</v>
      </c>
      <c r="Y30" s="999">
        <f t="shared" ca="1" si="16"/>
        <v>29153.742128017133</v>
      </c>
      <c r="Z30" s="1000">
        <f t="shared" ca="1" si="17"/>
        <v>-6.6019999999989523</v>
      </c>
      <c r="AA30" s="999">
        <f t="shared" ca="1" si="18"/>
        <v>29147.140128017134</v>
      </c>
      <c r="AB30" s="999">
        <f t="shared" ca="1" si="15"/>
        <v>112.03544022146806</v>
      </c>
    </row>
    <row r="31" spans="1:35" ht="12.5" thickBot="1">
      <c r="A31" s="448"/>
      <c r="B31" s="448"/>
      <c r="C31" s="448"/>
      <c r="D31" s="448"/>
      <c r="E31" s="448"/>
      <c r="F31" s="448"/>
      <c r="G31" s="448"/>
      <c r="H31" s="448"/>
      <c r="I31" s="449"/>
      <c r="J31" s="1059" t="s">
        <v>159</v>
      </c>
      <c r="K31" s="1059"/>
      <c r="L31" s="450"/>
      <c r="V31" s="994" t="s">
        <v>147</v>
      </c>
      <c r="W31" s="998">
        <f ca="1">AVERAGE(Q16:Q21)</f>
        <v>20.17258605382926</v>
      </c>
      <c r="X31" s="999">
        <f t="shared" si="14"/>
        <v>1969.5535067653577</v>
      </c>
      <c r="Y31" s="999">
        <f t="shared" ca="1" si="16"/>
        <v>39730.987602845365</v>
      </c>
      <c r="Z31" s="1000">
        <f t="shared" ca="1" si="17"/>
        <v>-6.6019999999989523</v>
      </c>
      <c r="AA31" s="999">
        <f t="shared" ca="1" si="18"/>
        <v>39724.385602845367</v>
      </c>
      <c r="AB31" s="999">
        <f t="shared" ca="1" si="15"/>
        <v>152.69213408227768</v>
      </c>
    </row>
    <row r="32" spans="1:35" ht="13" thickTop="1" thickBot="1">
      <c r="A32" s="451" t="s">
        <v>160</v>
      </c>
      <c r="B32" s="451"/>
      <c r="C32" s="451" t="s">
        <v>161</v>
      </c>
      <c r="D32" s="448"/>
      <c r="E32" s="448"/>
      <c r="F32" s="448"/>
      <c r="G32" s="448"/>
      <c r="H32" s="448"/>
      <c r="I32" s="452"/>
      <c r="J32" s="504" t="s">
        <v>130</v>
      </c>
      <c r="K32" s="505">
        <v>1606.5609999999999</v>
      </c>
      <c r="L32" s="450"/>
      <c r="M32" s="450"/>
      <c r="N32" s="450"/>
      <c r="O32" s="450"/>
      <c r="V32" s="994" t="s">
        <v>149</v>
      </c>
      <c r="W32" s="998">
        <f ca="1">_xlfn.QUARTILE.INC(Q16:Q21,3)</f>
        <v>19.842665281099226</v>
      </c>
      <c r="X32" s="999">
        <f t="shared" si="14"/>
        <v>1969.5535067653577</v>
      </c>
      <c r="Y32" s="999">
        <f t="shared" ca="1" si="16"/>
        <v>39081.190987960195</v>
      </c>
      <c r="Z32" s="1000">
        <f t="shared" ca="1" si="17"/>
        <v>-6.6019999999989523</v>
      </c>
      <c r="AA32" s="999">
        <f t="shared" ca="1" si="18"/>
        <v>39074.588987960196</v>
      </c>
      <c r="AB32" s="999">
        <f t="shared" ca="1" si="15"/>
        <v>150.19445336700565</v>
      </c>
    </row>
    <row r="33" spans="1:28" ht="12.5" thickTop="1">
      <c r="A33" s="265" t="s">
        <v>162</v>
      </c>
      <c r="B33" s="265"/>
      <c r="C33" s="230" t="s">
        <v>163</v>
      </c>
      <c r="D33" s="453"/>
      <c r="E33" s="453"/>
      <c r="F33" s="453"/>
      <c r="G33" s="453"/>
      <c r="H33" s="453"/>
      <c r="I33" s="454"/>
      <c r="J33" s="384" t="s">
        <v>132</v>
      </c>
      <c r="K33" s="388">
        <f>1955+547-470</f>
        <v>2032</v>
      </c>
      <c r="V33" s="994" t="s">
        <v>151</v>
      </c>
      <c r="W33" s="998">
        <f ca="1">MAX(Q16:Q21)</f>
        <v>51.325330033003304</v>
      </c>
      <c r="X33" s="999">
        <f t="shared" si="14"/>
        <v>1969.5535067653577</v>
      </c>
      <c r="Y33" s="999">
        <f t="shared" ca="1" si="16"/>
        <v>101087.983752391</v>
      </c>
      <c r="Z33" s="1000">
        <f t="shared" ca="1" si="17"/>
        <v>-6.6019999999989523</v>
      </c>
      <c r="AA33" s="999">
        <f t="shared" ca="1" si="18"/>
        <v>101081.381752391</v>
      </c>
      <c r="AB33" s="999">
        <f t="shared" ca="1" si="15"/>
        <v>388.53544646521749</v>
      </c>
    </row>
    <row r="34" spans="1:28">
      <c r="A34" s="265" t="str">
        <f>Q13</f>
        <v>EV/EBITDA (NTM)</v>
      </c>
      <c r="B34" s="265"/>
      <c r="C34" s="342" t="s">
        <v>164</v>
      </c>
      <c r="D34" s="455"/>
      <c r="E34" s="455"/>
      <c r="F34" s="455"/>
      <c r="G34" s="455"/>
      <c r="H34" s="455"/>
      <c r="I34" s="456"/>
      <c r="J34" s="384" t="s">
        <v>140</v>
      </c>
      <c r="K34" s="388">
        <f>50.1+53.2+41.1+42.9</f>
        <v>187.3</v>
      </c>
      <c r="V34" s="388"/>
      <c r="W34" s="388"/>
      <c r="X34" s="388"/>
      <c r="Y34" s="388"/>
      <c r="Z34" s="388"/>
      <c r="AA34" s="388"/>
      <c r="AB34" s="388"/>
    </row>
    <row r="35" spans="1:28">
      <c r="A35" s="265" t="str">
        <f>R13</f>
        <v>Revenue Growth (LTM, implied)</v>
      </c>
      <c r="B35" s="265"/>
      <c r="C35" s="342" t="s">
        <v>165</v>
      </c>
      <c r="D35" s="455"/>
      <c r="E35" s="455"/>
      <c r="F35" s="455"/>
      <c r="G35" s="455"/>
      <c r="H35" s="455"/>
      <c r="I35" s="456"/>
      <c r="J35" s="384" t="s">
        <v>142</v>
      </c>
      <c r="K35" s="388">
        <v>177.01</v>
      </c>
      <c r="V35" s="1060" t="s">
        <v>166</v>
      </c>
      <c r="W35" s="1060"/>
      <c r="X35" s="1060"/>
      <c r="Y35" s="1060"/>
      <c r="Z35" s="1060"/>
      <c r="AA35" s="1060"/>
      <c r="AB35" s="662"/>
    </row>
    <row r="36" spans="1:28">
      <c r="A36" s="265" t="s">
        <v>167</v>
      </c>
      <c r="B36" s="265"/>
      <c r="C36" s="230" t="s">
        <v>168</v>
      </c>
      <c r="D36" s="458"/>
      <c r="E36" s="458"/>
      <c r="F36" s="458"/>
      <c r="G36" s="458"/>
      <c r="H36" s="458"/>
      <c r="I36" s="459"/>
      <c r="J36" s="384" t="s">
        <v>146</v>
      </c>
      <c r="K36" s="388">
        <v>160.37</v>
      </c>
      <c r="V36" s="1066" t="s">
        <v>133</v>
      </c>
      <c r="W36" s="1066" t="s">
        <v>134</v>
      </c>
      <c r="X36" s="1066" t="s">
        <v>135</v>
      </c>
      <c r="Y36" s="1066" t="s">
        <v>136</v>
      </c>
      <c r="Z36" s="1066" t="s">
        <v>137</v>
      </c>
      <c r="AA36" s="1066" t="s">
        <v>138</v>
      </c>
      <c r="AB36" s="1066" t="s">
        <v>86</v>
      </c>
    </row>
    <row r="37" spans="1:28">
      <c r="A37" s="265" t="str">
        <f>T13</f>
        <v>EV/FCF (LTM)</v>
      </c>
      <c r="B37" s="265"/>
      <c r="C37" s="230" t="s">
        <v>169</v>
      </c>
      <c r="D37" s="455"/>
      <c r="E37" s="455"/>
      <c r="F37" s="455"/>
      <c r="G37" s="455"/>
      <c r="H37" s="455"/>
      <c r="I37" s="456"/>
      <c r="J37" s="384" t="s">
        <v>170</v>
      </c>
      <c r="K37" s="388">
        <v>12405</v>
      </c>
      <c r="V37" s="1066"/>
      <c r="W37" s="1066"/>
      <c r="X37" s="1066"/>
      <c r="Y37" s="1066"/>
      <c r="Z37" s="1066"/>
      <c r="AA37" s="1066"/>
      <c r="AB37" s="1066"/>
    </row>
    <row r="38" spans="1:28">
      <c r="A38" s="460"/>
      <c r="B38" s="460"/>
      <c r="C38" s="458"/>
      <c r="D38" s="458"/>
      <c r="E38" s="458"/>
      <c r="F38" s="458"/>
      <c r="G38" s="458"/>
      <c r="H38" s="458"/>
      <c r="I38" s="459"/>
      <c r="J38" s="384" t="s">
        <v>139</v>
      </c>
      <c r="K38" s="388">
        <v>406.6</v>
      </c>
      <c r="V38" s="994" t="s">
        <v>141</v>
      </c>
      <c r="W38" s="998">
        <f ca="1">MIN(T16:T21)</f>
        <v>9.4703232243871796</v>
      </c>
      <c r="X38" s="999">
        <f t="shared" ref="X38:X43" si="19">$W$7</f>
        <v>1319.0689999999991</v>
      </c>
      <c r="Y38" s="999">
        <f ca="1">W38*X38</f>
        <v>12492.009785269163</v>
      </c>
      <c r="Z38" s="1000">
        <f ca="1">Z28</f>
        <v>-6.6019999999989523</v>
      </c>
      <c r="AA38" s="999">
        <f ca="1">Y38+Z38</f>
        <v>12485.407785269164</v>
      </c>
      <c r="AB38" s="999">
        <f t="shared" ref="AB38:AB43" ca="1" si="20">AA38/$W$13</f>
        <v>47.991266087289219</v>
      </c>
    </row>
    <row r="39" spans="1:28">
      <c r="A39" s="460"/>
      <c r="B39" s="460"/>
      <c r="C39" s="458"/>
      <c r="D39" s="458"/>
      <c r="E39" s="458"/>
      <c r="F39" s="458"/>
      <c r="G39" s="458"/>
      <c r="H39" s="458"/>
      <c r="I39" s="459"/>
      <c r="J39" s="384" t="s">
        <v>144</v>
      </c>
      <c r="K39" s="503">
        <v>102.1</v>
      </c>
      <c r="V39" s="994" t="s">
        <v>143</v>
      </c>
      <c r="W39" s="998">
        <f ca="1">_xlfn.QUARTILE.INC(T16:T21,1)</f>
        <v>12.696102782058706</v>
      </c>
      <c r="X39" s="999">
        <f t="shared" si="19"/>
        <v>1319.0689999999991</v>
      </c>
      <c r="Y39" s="999">
        <f t="shared" ref="Y39:Y43" ca="1" si="21">W39*X39</f>
        <v>16747.035600627383</v>
      </c>
      <c r="Z39" s="1000">
        <f t="shared" ref="Z39:Z43" ca="1" si="22">Z29</f>
        <v>-6.6019999999989523</v>
      </c>
      <c r="AA39" s="999">
        <f t="shared" ref="AA39:AA43" ca="1" si="23">Y39+Z39</f>
        <v>16740.433600627384</v>
      </c>
      <c r="AB39" s="999">
        <f t="shared" ca="1" si="20"/>
        <v>64.346685119262702</v>
      </c>
    </row>
    <row r="40" spans="1:28">
      <c r="D40" s="455"/>
      <c r="E40" s="455"/>
      <c r="F40" s="455"/>
      <c r="G40" s="455"/>
      <c r="H40" s="455"/>
      <c r="I40" s="456"/>
      <c r="J40" s="463"/>
      <c r="K40" s="458"/>
      <c r="V40" s="994" t="s">
        <v>145</v>
      </c>
      <c r="W40" s="998">
        <f ca="1">T23</f>
        <v>16.09407282707182</v>
      </c>
      <c r="X40" s="999">
        <f t="shared" si="19"/>
        <v>1319.0689999999991</v>
      </c>
      <c r="Y40" s="999">
        <f t="shared" ca="1" si="21"/>
        <v>21229.192549932784</v>
      </c>
      <c r="Z40" s="1000">
        <f t="shared" ca="1" si="22"/>
        <v>-6.6019999999989523</v>
      </c>
      <c r="AA40" s="999">
        <f t="shared" ca="1" si="23"/>
        <v>21222.590549932786</v>
      </c>
      <c r="AB40" s="999">
        <f t="shared" ca="1" si="20"/>
        <v>81.57514817778592</v>
      </c>
    </row>
    <row r="41" spans="1:28">
      <c r="D41" s="455"/>
      <c r="E41" s="455"/>
      <c r="F41" s="455"/>
      <c r="G41" s="455"/>
      <c r="H41" s="455"/>
      <c r="I41" s="456"/>
      <c r="V41" s="994" t="s">
        <v>147</v>
      </c>
      <c r="W41" s="998">
        <f ca="1">T22</f>
        <v>19.101424689242183</v>
      </c>
      <c r="X41" s="999">
        <f t="shared" si="19"/>
        <v>1319.0689999999991</v>
      </c>
      <c r="Y41" s="999">
        <f t="shared" ca="1" si="21"/>
        <v>25196.097163413979</v>
      </c>
      <c r="Z41" s="1000">
        <f t="shared" ca="1" si="22"/>
        <v>-6.6019999999989523</v>
      </c>
      <c r="AA41" s="999">
        <f t="shared" ca="1" si="23"/>
        <v>25189.49516341398</v>
      </c>
      <c r="AB41" s="999">
        <f t="shared" ca="1" si="20"/>
        <v>96.823090265275127</v>
      </c>
    </row>
    <row r="42" spans="1:28">
      <c r="D42" s="458"/>
      <c r="E42" s="458"/>
      <c r="F42" s="458"/>
      <c r="G42" s="458"/>
      <c r="H42" s="458"/>
      <c r="I42" s="459"/>
      <c r="V42" s="994" t="s">
        <v>149</v>
      </c>
      <c r="W42" s="998">
        <f ca="1">_xlfn.QUARTILE.INC(T16:T21,3)</f>
        <v>26.7385134617235</v>
      </c>
      <c r="X42" s="999">
        <f t="shared" si="19"/>
        <v>1319.0689999999991</v>
      </c>
      <c r="Y42" s="999">
        <f t="shared" ca="1" si="21"/>
        <v>35269.944213442126</v>
      </c>
      <c r="Z42" s="1000">
        <f t="shared" ca="1" si="22"/>
        <v>-6.6019999999989523</v>
      </c>
      <c r="AA42" s="999">
        <f t="shared" ca="1" si="23"/>
        <v>35263.342213442127</v>
      </c>
      <c r="AB42" s="999">
        <f t="shared" ca="1" si="20"/>
        <v>135.54482708118897</v>
      </c>
    </row>
    <row r="43" spans="1:28">
      <c r="D43" s="458"/>
      <c r="E43" s="458"/>
      <c r="F43" s="458"/>
      <c r="G43" s="458"/>
      <c r="H43" s="458"/>
      <c r="I43" s="459"/>
      <c r="J43" s="303"/>
      <c r="V43" s="994" t="s">
        <v>151</v>
      </c>
      <c r="W43" s="998">
        <f ca="1">MAX(T16:T21)</f>
        <v>31.099972816593887</v>
      </c>
      <c r="X43" s="999">
        <f t="shared" si="19"/>
        <v>1319.0689999999991</v>
      </c>
      <c r="Y43" s="999">
        <f t="shared" ca="1" si="21"/>
        <v>41023.010043211652</v>
      </c>
      <c r="Z43" s="1000">
        <f t="shared" ca="1" si="22"/>
        <v>-6.6019999999989523</v>
      </c>
      <c r="AA43" s="999">
        <f t="shared" ca="1" si="23"/>
        <v>41016.408043211653</v>
      </c>
      <c r="AB43" s="999">
        <f t="shared" ca="1" si="20"/>
        <v>157.65839500004478</v>
      </c>
    </row>
    <row r="44" spans="1:28">
      <c r="D44" s="455"/>
      <c r="E44" s="455"/>
      <c r="F44" s="455"/>
      <c r="G44" s="455"/>
      <c r="H44" s="455"/>
      <c r="I44" s="456"/>
      <c r="J44" s="457"/>
      <c r="V44" s="388"/>
      <c r="W44" s="388"/>
      <c r="X44" s="388"/>
      <c r="Y44" s="388"/>
      <c r="Z44" s="388"/>
      <c r="AA44" s="388"/>
      <c r="AB44" s="388"/>
    </row>
    <row r="45" spans="1:28">
      <c r="D45" s="455"/>
      <c r="E45" s="455"/>
      <c r="F45" s="455"/>
      <c r="G45" s="455"/>
      <c r="H45" s="455"/>
      <c r="I45" s="456"/>
      <c r="V45" s="1060" t="s">
        <v>171</v>
      </c>
      <c r="W45" s="1060"/>
      <c r="X45" s="1060"/>
      <c r="Y45" s="1060"/>
      <c r="Z45" s="1060"/>
      <c r="AA45" s="1060"/>
      <c r="AB45" s="662"/>
    </row>
    <row r="46" spans="1:28">
      <c r="D46" s="458"/>
      <c r="E46" s="458"/>
      <c r="F46" s="458"/>
      <c r="G46" s="458"/>
      <c r="H46" s="458"/>
      <c r="I46" s="459"/>
      <c r="V46" s="1066" t="s">
        <v>172</v>
      </c>
      <c r="W46" s="1066" t="s">
        <v>173</v>
      </c>
      <c r="X46" s="1066"/>
      <c r="Y46" s="1066" t="s">
        <v>145</v>
      </c>
      <c r="Z46" s="1066"/>
      <c r="AA46" s="1066" t="s">
        <v>174</v>
      </c>
      <c r="AB46" s="1066"/>
    </row>
    <row r="47" spans="1:28">
      <c r="D47" s="458"/>
      <c r="E47" s="464"/>
      <c r="F47" s="464"/>
      <c r="G47" s="464"/>
      <c r="H47" s="464"/>
      <c r="I47" s="465"/>
      <c r="V47" s="1066"/>
      <c r="W47" s="1066"/>
      <c r="X47" s="1066"/>
      <c r="Y47" s="1066"/>
      <c r="Z47" s="1066"/>
      <c r="AA47" s="1066"/>
      <c r="AB47" s="1066"/>
    </row>
    <row r="48" spans="1:28">
      <c r="D48" s="455"/>
      <c r="E48" s="455"/>
      <c r="F48" s="455"/>
      <c r="G48" s="455"/>
      <c r="H48" s="455"/>
      <c r="I48" s="456"/>
      <c r="V48" s="388" t="s">
        <v>175</v>
      </c>
      <c r="W48" s="1067">
        <f ca="1">AB19</f>
        <v>63.629873627846614</v>
      </c>
      <c r="X48" s="1067"/>
      <c r="Y48" s="1067">
        <f ca="1">AB20</f>
        <v>77.397194457532649</v>
      </c>
      <c r="Z48" s="1067"/>
      <c r="AA48" s="1067">
        <f ca="1">AB22</f>
        <v>162.95375701857589</v>
      </c>
      <c r="AB48" s="1067"/>
    </row>
    <row r="49" spans="1:28">
      <c r="D49" s="458"/>
      <c r="E49" s="458"/>
      <c r="F49" s="458"/>
      <c r="G49" s="458"/>
      <c r="H49" s="458"/>
      <c r="I49" s="459"/>
      <c r="V49" s="388" t="s">
        <v>120</v>
      </c>
      <c r="W49" s="1067">
        <f ca="1">AB29</f>
        <v>85.676686964064942</v>
      </c>
      <c r="X49" s="1067"/>
      <c r="Y49" s="1067">
        <f ca="1">AB30</f>
        <v>112.03544022146806</v>
      </c>
      <c r="Z49" s="1067"/>
      <c r="AA49" s="1067">
        <f ca="1">AB32</f>
        <v>150.19445336700565</v>
      </c>
      <c r="AB49" s="1067"/>
    </row>
    <row r="50" spans="1:28">
      <c r="A50" s="466"/>
      <c r="B50" s="466"/>
      <c r="C50" s="455"/>
      <c r="D50" s="455"/>
      <c r="E50" s="455"/>
      <c r="F50" s="455"/>
      <c r="G50" s="455"/>
      <c r="H50" s="455"/>
      <c r="I50" s="456"/>
      <c r="V50" s="388" t="s">
        <v>123</v>
      </c>
      <c r="W50" s="1067">
        <f ca="1">AB39</f>
        <v>64.346685119262702</v>
      </c>
      <c r="X50" s="1067"/>
      <c r="Y50" s="1067">
        <f ca="1">AB40</f>
        <v>81.57514817778592</v>
      </c>
      <c r="Z50" s="1067"/>
      <c r="AA50" s="1067">
        <f ca="1">AB42</f>
        <v>135.54482708118897</v>
      </c>
      <c r="AB50" s="1067"/>
    </row>
    <row r="51" spans="1:28">
      <c r="A51" s="460"/>
      <c r="B51" s="460"/>
      <c r="C51" s="458"/>
      <c r="D51" s="458"/>
      <c r="E51" s="458"/>
      <c r="F51" s="458"/>
      <c r="G51" s="458"/>
      <c r="H51" s="458"/>
      <c r="I51" s="459"/>
      <c r="V51" s="994" t="s">
        <v>176</v>
      </c>
      <c r="W51" s="1069">
        <f ca="1">AVERAGE(W48:W50)</f>
        <v>71.217748570391421</v>
      </c>
      <c r="X51" s="1069"/>
      <c r="Y51" s="1069">
        <f ca="1">AVERAGE(Y48:Y50)</f>
        <v>90.335927618928892</v>
      </c>
      <c r="Z51" s="1069"/>
      <c r="AA51" s="1069">
        <f ca="1">AVERAGE(AA48:AA50)</f>
        <v>149.56434582225685</v>
      </c>
      <c r="AB51" s="1069"/>
    </row>
    <row r="52" spans="1:28">
      <c r="A52" s="463"/>
      <c r="B52" s="463"/>
      <c r="C52" s="458"/>
      <c r="D52" s="458"/>
      <c r="E52" s="458"/>
      <c r="F52" s="458"/>
      <c r="G52" s="458"/>
      <c r="H52" s="458"/>
      <c r="I52" s="459"/>
      <c r="V52" s="388"/>
      <c r="W52" s="388"/>
      <c r="X52" s="388"/>
      <c r="Y52" s="388"/>
      <c r="Z52" s="388"/>
      <c r="AA52" s="388"/>
      <c r="AB52" s="388"/>
    </row>
    <row r="53" spans="1:28">
      <c r="A53" s="466"/>
      <c r="B53" s="466"/>
      <c r="C53" s="455"/>
      <c r="D53" s="455"/>
      <c r="E53" s="455"/>
      <c r="F53" s="455"/>
      <c r="G53" s="455"/>
      <c r="H53" s="455"/>
      <c r="I53" s="456"/>
      <c r="V53" s="388" t="s">
        <v>177</v>
      </c>
      <c r="W53" s="1001">
        <f ca="1">C15</f>
        <v>178.1217043977083</v>
      </c>
      <c r="X53" s="388"/>
      <c r="Y53" s="388"/>
      <c r="Z53" s="388"/>
      <c r="AA53" s="388"/>
      <c r="AB53" s="388"/>
    </row>
    <row r="54" spans="1:28">
      <c r="A54" s="460"/>
      <c r="B54" s="460"/>
      <c r="C54" s="453"/>
      <c r="D54" s="453"/>
      <c r="E54" s="458"/>
      <c r="F54" s="464"/>
      <c r="G54" s="458"/>
      <c r="H54" s="458"/>
      <c r="I54" s="459"/>
      <c r="V54" s="388" t="s">
        <v>178</v>
      </c>
      <c r="W54" s="1002">
        <f ca="1">Y51/W53-1</f>
        <v>-0.49284154940922997</v>
      </c>
      <c r="X54" s="388"/>
      <c r="Y54" s="388"/>
      <c r="Z54" s="388"/>
      <c r="AA54" s="388"/>
      <c r="AB54" s="388"/>
    </row>
    <row r="55" spans="1:28">
      <c r="A55" s="460"/>
      <c r="B55" s="460"/>
      <c r="C55" s="464"/>
      <c r="D55" s="464"/>
      <c r="E55" s="453"/>
      <c r="F55" s="453"/>
      <c r="G55" s="453"/>
      <c r="H55" s="453"/>
      <c r="I55" s="454"/>
    </row>
    <row r="56" spans="1:28">
      <c r="A56" s="461"/>
      <c r="B56" s="461"/>
      <c r="C56" s="455"/>
      <c r="D56" s="455"/>
      <c r="E56" s="455"/>
      <c r="F56" s="455"/>
      <c r="G56" s="455"/>
      <c r="H56" s="455"/>
      <c r="I56" s="456"/>
    </row>
    <row r="57" spans="1:28">
      <c r="A57" s="462"/>
      <c r="B57" s="462"/>
      <c r="C57" s="455"/>
      <c r="D57" s="455"/>
      <c r="E57" s="455"/>
      <c r="F57" s="455"/>
      <c r="G57" s="455"/>
      <c r="H57" s="455"/>
      <c r="I57" s="456"/>
    </row>
    <row r="58" spans="1:28">
      <c r="A58" s="463"/>
      <c r="B58" s="463"/>
      <c r="C58" s="458"/>
      <c r="D58" s="458"/>
      <c r="E58" s="458"/>
      <c r="F58" s="458"/>
      <c r="G58" s="458"/>
      <c r="H58" s="458"/>
      <c r="I58" s="454"/>
    </row>
    <row r="59" spans="1:28">
      <c r="A59" s="463"/>
      <c r="B59" s="463"/>
      <c r="C59" s="458"/>
      <c r="D59" s="458"/>
      <c r="E59" s="458"/>
      <c r="F59" s="458"/>
      <c r="G59" s="458"/>
      <c r="H59" s="458"/>
      <c r="I59" s="454"/>
    </row>
    <row r="60" spans="1:28">
      <c r="A60" s="463"/>
      <c r="B60" s="463"/>
      <c r="C60" s="464"/>
      <c r="D60" s="464"/>
      <c r="E60" s="464"/>
      <c r="F60" s="458"/>
      <c r="G60" s="464"/>
      <c r="H60" s="458"/>
      <c r="I60" s="454"/>
      <c r="V60" s="230" t="s">
        <v>179</v>
      </c>
    </row>
    <row r="61" spans="1:28">
      <c r="A61" s="463"/>
      <c r="B61" s="463"/>
      <c r="C61" s="458"/>
      <c r="D61" s="458"/>
      <c r="E61" s="464"/>
      <c r="F61" s="458"/>
      <c r="G61" s="458"/>
      <c r="H61" s="458"/>
      <c r="I61" s="454"/>
    </row>
    <row r="62" spans="1:28">
      <c r="A62" s="453"/>
      <c r="B62" s="453"/>
      <c r="C62" s="464"/>
      <c r="D62" s="464"/>
      <c r="E62" s="464"/>
      <c r="F62" s="464"/>
      <c r="G62" s="464"/>
      <c r="H62" s="464"/>
      <c r="I62" s="465"/>
    </row>
    <row r="63" spans="1:28">
      <c r="A63" s="461"/>
      <c r="B63" s="461"/>
      <c r="C63" s="455"/>
      <c r="D63" s="455"/>
      <c r="E63" s="455"/>
      <c r="F63" s="455"/>
      <c r="G63" s="455"/>
      <c r="H63" s="455"/>
      <c r="I63" s="456"/>
    </row>
    <row r="64" spans="1:28">
      <c r="A64" s="468"/>
      <c r="B64" s="468"/>
      <c r="C64" s="464"/>
      <c r="D64" s="464"/>
      <c r="E64" s="464"/>
      <c r="F64" s="464"/>
      <c r="G64" s="464"/>
      <c r="H64" s="464"/>
      <c r="I64" s="465"/>
    </row>
    <row r="65" spans="1:9">
      <c r="A65" s="461"/>
      <c r="B65" s="461"/>
      <c r="C65" s="461"/>
      <c r="D65" s="461"/>
      <c r="E65" s="461"/>
      <c r="F65" s="461"/>
      <c r="G65" s="461"/>
      <c r="H65" s="461"/>
      <c r="I65" s="469"/>
    </row>
    <row r="66" spans="1:9">
      <c r="A66" s="468"/>
      <c r="B66" s="468"/>
      <c r="C66" s="470"/>
      <c r="D66" s="470"/>
      <c r="E66" s="470"/>
      <c r="F66" s="470"/>
      <c r="G66" s="470"/>
      <c r="H66" s="470"/>
      <c r="I66" s="471"/>
    </row>
    <row r="67" spans="1:9">
      <c r="A67" s="462"/>
      <c r="B67" s="462"/>
      <c r="C67" s="472"/>
      <c r="D67" s="472"/>
      <c r="E67" s="472"/>
      <c r="F67" s="472"/>
      <c r="G67" s="472"/>
      <c r="H67" s="472"/>
      <c r="I67" s="473"/>
    </row>
    <row r="68" spans="1:9">
      <c r="A68" s="463"/>
      <c r="B68" s="463"/>
      <c r="C68" s="474"/>
      <c r="D68" s="474"/>
      <c r="E68" s="474"/>
      <c r="F68" s="474"/>
      <c r="G68" s="474"/>
      <c r="H68" s="474"/>
      <c r="I68" s="475"/>
    </row>
    <row r="69" spans="1:9">
      <c r="A69" s="463"/>
      <c r="B69" s="463"/>
      <c r="C69" s="474"/>
      <c r="D69" s="474"/>
      <c r="E69" s="474"/>
      <c r="F69" s="474"/>
      <c r="G69" s="474"/>
      <c r="H69" s="474"/>
      <c r="I69" s="475"/>
    </row>
    <row r="70" spans="1:9">
      <c r="A70" s="462"/>
      <c r="B70" s="462"/>
      <c r="C70" s="472"/>
      <c r="D70" s="472"/>
      <c r="E70" s="472"/>
      <c r="F70" s="472"/>
      <c r="G70" s="472"/>
      <c r="H70" s="472"/>
      <c r="I70" s="473"/>
    </row>
    <row r="71" spans="1:9">
      <c r="A71" s="463"/>
      <c r="B71" s="463"/>
      <c r="C71" s="474"/>
      <c r="D71" s="474"/>
      <c r="E71" s="474"/>
      <c r="F71" s="474"/>
      <c r="G71" s="474"/>
      <c r="H71" s="474"/>
      <c r="I71" s="475"/>
    </row>
    <row r="72" spans="1:9">
      <c r="A72" s="463"/>
      <c r="B72" s="463"/>
      <c r="C72" s="474"/>
      <c r="D72" s="474"/>
      <c r="E72" s="474"/>
      <c r="F72" s="474"/>
      <c r="G72" s="474"/>
      <c r="H72" s="474"/>
      <c r="I72" s="475"/>
    </row>
    <row r="73" spans="1:9">
      <c r="A73" s="468"/>
      <c r="B73" s="468"/>
      <c r="C73" s="474"/>
      <c r="D73" s="474"/>
      <c r="E73" s="474"/>
      <c r="F73" s="474"/>
      <c r="G73" s="474"/>
      <c r="H73" s="474"/>
      <c r="I73" s="454"/>
    </row>
    <row r="74" spans="1:9">
      <c r="A74" s="461"/>
      <c r="B74" s="461"/>
      <c r="C74" s="461"/>
      <c r="D74" s="461"/>
      <c r="E74" s="461"/>
      <c r="F74" s="461"/>
      <c r="G74" s="461"/>
      <c r="H74" s="461"/>
      <c r="I74" s="469"/>
    </row>
    <row r="75" spans="1:9">
      <c r="A75" s="462"/>
      <c r="B75" s="462"/>
      <c r="C75" s="455"/>
      <c r="D75" s="455"/>
      <c r="E75" s="455"/>
      <c r="F75" s="455"/>
      <c r="G75" s="455"/>
      <c r="H75" s="455"/>
      <c r="I75" s="456"/>
    </row>
    <row r="76" spans="1:9">
      <c r="A76" s="463"/>
      <c r="B76" s="463"/>
      <c r="C76" s="458"/>
      <c r="D76" s="458"/>
      <c r="E76" s="458"/>
      <c r="F76" s="464"/>
      <c r="G76" s="464"/>
      <c r="H76" s="464"/>
      <c r="I76" s="459"/>
    </row>
    <row r="77" spans="1:9">
      <c r="A77" s="463"/>
      <c r="B77" s="463"/>
      <c r="C77" s="458"/>
      <c r="D77" s="458"/>
      <c r="E77" s="458"/>
      <c r="F77" s="458"/>
      <c r="G77" s="458"/>
      <c r="H77" s="458"/>
      <c r="I77" s="459"/>
    </row>
    <row r="78" spans="1:9">
      <c r="A78" s="453"/>
      <c r="B78" s="453"/>
      <c r="C78" s="453"/>
      <c r="D78" s="453"/>
      <c r="E78" s="453"/>
      <c r="F78" s="453"/>
      <c r="G78" s="453"/>
      <c r="H78" s="453"/>
      <c r="I78" s="454"/>
    </row>
    <row r="79" spans="1:9">
      <c r="A79" s="453"/>
      <c r="B79" s="453"/>
      <c r="C79" s="458"/>
      <c r="D79" s="458"/>
      <c r="E79" s="458"/>
      <c r="F79" s="458"/>
      <c r="G79" s="458"/>
      <c r="H79" s="458"/>
      <c r="I79" s="459"/>
    </row>
    <row r="80" spans="1:9">
      <c r="A80" s="453"/>
      <c r="B80" s="453"/>
      <c r="C80" s="458"/>
      <c r="D80" s="458"/>
      <c r="E80" s="458"/>
      <c r="F80" s="458"/>
      <c r="G80" s="458"/>
      <c r="H80" s="458"/>
      <c r="I80" s="459"/>
    </row>
    <row r="81" spans="1:16">
      <c r="A81" s="453"/>
      <c r="B81" s="453"/>
      <c r="C81" s="458"/>
      <c r="D81" s="458"/>
      <c r="E81" s="453"/>
      <c r="F81" s="453"/>
      <c r="G81" s="453"/>
      <c r="H81" s="453"/>
      <c r="I81" s="453"/>
    </row>
    <row r="82" spans="1:16">
      <c r="A82" s="476"/>
      <c r="B82" s="476"/>
    </row>
    <row r="85" spans="1:16">
      <c r="A85" s="477"/>
      <c r="B85" s="477"/>
      <c r="C85" s="477"/>
      <c r="D85" s="477"/>
      <c r="E85" s="477"/>
      <c r="F85" s="477"/>
      <c r="G85" s="477"/>
      <c r="H85" s="478"/>
      <c r="I85" s="478"/>
      <c r="J85" s="1068"/>
      <c r="K85" s="1068"/>
      <c r="L85" s="1068"/>
      <c r="M85" s="1068"/>
      <c r="N85" s="1068"/>
      <c r="O85" s="1068"/>
    </row>
    <row r="86" spans="1:16">
      <c r="A86" s="477"/>
      <c r="B86" s="477"/>
      <c r="C86" s="477"/>
      <c r="D86" s="477"/>
      <c r="E86" s="477"/>
      <c r="F86" s="477"/>
      <c r="G86" s="477"/>
      <c r="H86" s="478"/>
      <c r="I86" s="478"/>
      <c r="J86" s="478"/>
      <c r="K86" s="478"/>
      <c r="L86" s="478"/>
      <c r="M86" s="478"/>
      <c r="N86" s="478"/>
    </row>
    <row r="87" spans="1:16">
      <c r="A87" s="477"/>
      <c r="B87" s="477"/>
      <c r="C87" s="477"/>
      <c r="D87" s="477"/>
      <c r="E87" s="477"/>
      <c r="F87" s="477"/>
      <c r="G87" s="477"/>
      <c r="H87" s="478"/>
      <c r="I87" s="478"/>
      <c r="J87" s="478"/>
      <c r="K87" s="478"/>
      <c r="L87" s="478"/>
      <c r="M87" s="478"/>
      <c r="N87" s="478"/>
    </row>
    <row r="88" spans="1:16">
      <c r="A88" s="477"/>
      <c r="B88" s="477"/>
      <c r="C88" s="477"/>
      <c r="D88" s="477"/>
      <c r="E88" s="477"/>
      <c r="F88" s="477"/>
      <c r="G88" s="477"/>
      <c r="H88" s="477"/>
      <c r="I88" s="478"/>
      <c r="J88" s="448"/>
      <c r="K88" s="448"/>
      <c r="L88" s="448"/>
      <c r="M88" s="448"/>
      <c r="N88" s="448"/>
      <c r="O88" s="448"/>
      <c r="P88" s="448"/>
    </row>
    <row r="89" spans="1:16">
      <c r="A89" s="477"/>
      <c r="B89" s="477"/>
      <c r="C89" s="477"/>
      <c r="D89" s="477"/>
      <c r="E89" s="477"/>
      <c r="F89" s="477"/>
      <c r="G89" s="477"/>
      <c r="H89" s="477"/>
      <c r="I89" s="478"/>
      <c r="J89" s="478"/>
      <c r="K89" s="478"/>
      <c r="L89" s="478"/>
      <c r="M89" s="478"/>
      <c r="N89" s="478"/>
    </row>
    <row r="90" spans="1:16">
      <c r="A90" s="479"/>
      <c r="B90" s="479"/>
      <c r="C90" s="479"/>
      <c r="D90" s="479"/>
      <c r="E90" s="479"/>
      <c r="F90" s="479"/>
      <c r="G90" s="479"/>
      <c r="H90" s="479"/>
    </row>
    <row r="91" spans="1:16">
      <c r="A91" s="480"/>
      <c r="B91" s="480"/>
      <c r="C91" s="480"/>
      <c r="D91" s="480"/>
      <c r="E91" s="480"/>
      <c r="F91" s="480"/>
      <c r="G91" s="480"/>
      <c r="H91" s="480"/>
    </row>
    <row r="92" spans="1:16">
      <c r="A92" s="481"/>
      <c r="B92" s="481"/>
      <c r="C92" s="482"/>
      <c r="D92" s="482"/>
      <c r="E92" s="482"/>
      <c r="F92" s="482"/>
      <c r="G92" s="482"/>
      <c r="H92" s="482"/>
    </row>
    <row r="93" spans="1:16">
      <c r="A93" s="483"/>
      <c r="B93" s="483"/>
      <c r="C93" s="484"/>
      <c r="D93" s="484"/>
      <c r="E93" s="484"/>
      <c r="F93" s="484"/>
      <c r="G93" s="484"/>
      <c r="H93" s="484"/>
    </row>
    <row r="94" spans="1:16">
      <c r="A94" s="483"/>
      <c r="B94" s="483"/>
      <c r="C94" s="484"/>
      <c r="D94" s="484"/>
      <c r="E94" s="484"/>
      <c r="F94" s="484"/>
      <c r="G94" s="484"/>
      <c r="H94" s="484"/>
    </row>
    <row r="95" spans="1:16">
      <c r="A95" s="481"/>
      <c r="B95" s="481"/>
      <c r="C95" s="482"/>
      <c r="D95" s="482"/>
      <c r="E95" s="482"/>
      <c r="F95" s="482"/>
      <c r="G95" s="482"/>
      <c r="H95" s="482"/>
    </row>
    <row r="96" spans="1:16">
      <c r="A96" s="485"/>
      <c r="B96" s="485"/>
      <c r="C96" s="482"/>
      <c r="D96" s="482"/>
      <c r="E96" s="482"/>
      <c r="F96" s="482"/>
      <c r="G96" s="482"/>
      <c r="H96" s="482"/>
    </row>
    <row r="97" spans="1:8">
      <c r="A97" s="486"/>
      <c r="B97" s="486"/>
      <c r="C97" s="484"/>
      <c r="D97" s="484"/>
      <c r="E97" s="484"/>
      <c r="F97" s="484"/>
      <c r="G97" s="484"/>
      <c r="H97" s="484"/>
    </row>
    <row r="98" spans="1:8">
      <c r="A98" s="486"/>
      <c r="B98" s="486"/>
      <c r="C98" s="487"/>
      <c r="D98" s="487"/>
      <c r="E98" s="479"/>
      <c r="F98" s="479"/>
      <c r="G98" s="479"/>
      <c r="H98" s="479"/>
    </row>
    <row r="99" spans="1:8">
      <c r="A99" s="483"/>
      <c r="B99" s="483"/>
      <c r="C99" s="484"/>
      <c r="D99" s="484"/>
      <c r="E99" s="484"/>
      <c r="F99" s="484"/>
      <c r="G99" s="484"/>
      <c r="H99" s="484"/>
    </row>
    <row r="100" spans="1:8">
      <c r="A100" s="481"/>
      <c r="B100" s="481"/>
      <c r="C100" s="482"/>
      <c r="D100" s="482"/>
      <c r="E100" s="482"/>
      <c r="F100" s="482"/>
      <c r="G100" s="482"/>
      <c r="H100" s="482"/>
    </row>
    <row r="101" spans="1:8">
      <c r="A101" s="483"/>
      <c r="B101" s="483"/>
      <c r="C101" s="484"/>
      <c r="D101" s="484"/>
      <c r="E101" s="479"/>
      <c r="F101" s="479"/>
      <c r="G101" s="479"/>
      <c r="H101" s="479"/>
    </row>
    <row r="102" spans="1:8">
      <c r="A102" s="483"/>
      <c r="B102" s="483"/>
      <c r="C102" s="484"/>
      <c r="D102" s="484"/>
      <c r="E102" s="484"/>
      <c r="F102" s="484"/>
      <c r="G102" s="484"/>
      <c r="H102" s="484"/>
    </row>
    <row r="103" spans="1:8">
      <c r="A103" s="488"/>
      <c r="B103" s="488"/>
      <c r="C103" s="484"/>
      <c r="D103" s="484"/>
      <c r="E103" s="484"/>
      <c r="F103" s="484"/>
      <c r="G103" s="484"/>
      <c r="H103" s="484"/>
    </row>
    <row r="104" spans="1:8">
      <c r="A104" s="481"/>
      <c r="B104" s="481"/>
      <c r="C104" s="482"/>
      <c r="D104" s="482"/>
      <c r="E104" s="482"/>
      <c r="F104" s="482"/>
      <c r="G104" s="482"/>
      <c r="H104" s="482"/>
    </row>
    <row r="105" spans="1:8">
      <c r="A105" s="485"/>
      <c r="B105" s="485"/>
      <c r="C105" s="482"/>
      <c r="D105" s="482"/>
      <c r="E105" s="482"/>
      <c r="F105" s="482"/>
      <c r="G105" s="482"/>
      <c r="H105" s="482"/>
    </row>
    <row r="106" spans="1:8">
      <c r="A106" s="486"/>
      <c r="B106" s="486"/>
      <c r="C106" s="484"/>
      <c r="D106" s="484"/>
      <c r="E106" s="484"/>
      <c r="F106" s="484"/>
      <c r="G106" s="484"/>
      <c r="H106" s="484"/>
    </row>
    <row r="107" spans="1:8">
      <c r="A107" s="486"/>
      <c r="B107" s="486"/>
      <c r="C107" s="484"/>
      <c r="D107" s="484"/>
      <c r="E107" s="479"/>
      <c r="F107" s="479"/>
      <c r="G107" s="479"/>
      <c r="H107" s="479"/>
    </row>
    <row r="108" spans="1:8">
      <c r="A108" s="486"/>
      <c r="B108" s="486"/>
      <c r="C108" s="484"/>
      <c r="D108" s="484"/>
      <c r="E108" s="484"/>
      <c r="F108" s="484"/>
      <c r="G108" s="484"/>
      <c r="H108" s="484"/>
    </row>
    <row r="109" spans="1:8">
      <c r="A109" s="486"/>
      <c r="B109" s="486"/>
      <c r="C109" s="484"/>
      <c r="D109" s="484"/>
      <c r="E109" s="484"/>
      <c r="F109" s="484"/>
      <c r="G109" s="484"/>
      <c r="H109" s="484"/>
    </row>
    <row r="110" spans="1:8">
      <c r="A110" s="486"/>
      <c r="B110" s="486"/>
      <c r="C110" s="484"/>
      <c r="D110" s="484"/>
      <c r="E110" s="484"/>
      <c r="F110" s="484"/>
      <c r="G110" s="484"/>
      <c r="H110" s="484"/>
    </row>
    <row r="111" spans="1:8">
      <c r="A111" s="485"/>
      <c r="B111" s="485"/>
      <c r="C111" s="482"/>
      <c r="D111" s="482"/>
      <c r="E111" s="482"/>
      <c r="F111" s="482"/>
      <c r="G111" s="482"/>
      <c r="H111" s="482"/>
    </row>
    <row r="112" spans="1:8">
      <c r="A112" s="486"/>
      <c r="B112" s="486"/>
      <c r="C112" s="484"/>
      <c r="D112" s="484"/>
      <c r="E112" s="479"/>
      <c r="F112" s="479"/>
      <c r="G112" s="479"/>
      <c r="H112" s="479"/>
    </row>
    <row r="113" spans="1:8">
      <c r="A113" s="486"/>
      <c r="B113" s="486"/>
      <c r="C113" s="484"/>
      <c r="D113" s="484"/>
      <c r="E113" s="479"/>
      <c r="F113" s="479"/>
      <c r="G113" s="479"/>
      <c r="H113" s="479"/>
    </row>
    <row r="114" spans="1:8">
      <c r="A114" s="486"/>
      <c r="B114" s="486"/>
      <c r="C114" s="484"/>
      <c r="D114" s="484"/>
      <c r="E114" s="479"/>
      <c r="F114" s="479"/>
      <c r="G114" s="479"/>
      <c r="H114" s="479"/>
    </row>
    <row r="115" spans="1:8">
      <c r="A115" s="481"/>
      <c r="B115" s="481"/>
      <c r="C115" s="482"/>
      <c r="D115" s="482"/>
      <c r="E115" s="482"/>
      <c r="F115" s="482"/>
      <c r="G115" s="482"/>
      <c r="H115" s="482"/>
    </row>
    <row r="116" spans="1:8">
      <c r="A116" s="483"/>
      <c r="B116" s="483"/>
      <c r="C116" s="484"/>
      <c r="D116" s="484"/>
      <c r="E116" s="484"/>
      <c r="F116" s="484"/>
      <c r="G116" s="484"/>
      <c r="H116" s="484"/>
    </row>
    <row r="117" spans="1:8">
      <c r="A117" s="481"/>
      <c r="B117" s="481"/>
      <c r="C117" s="482"/>
      <c r="D117" s="482"/>
      <c r="E117" s="482"/>
      <c r="F117" s="482"/>
      <c r="G117" s="482"/>
      <c r="H117" s="482"/>
    </row>
    <row r="118" spans="1:8">
      <c r="A118" s="483"/>
      <c r="B118" s="483"/>
      <c r="C118" s="484"/>
      <c r="D118" s="484"/>
      <c r="E118" s="484"/>
      <c r="F118" s="484"/>
      <c r="G118" s="484"/>
      <c r="H118" s="484"/>
    </row>
    <row r="119" spans="1:8">
      <c r="A119" s="483"/>
      <c r="B119" s="483"/>
      <c r="C119" s="484"/>
      <c r="D119" s="484"/>
      <c r="E119" s="484"/>
      <c r="F119" s="484"/>
      <c r="G119" s="484"/>
      <c r="H119" s="484"/>
    </row>
    <row r="120" spans="1:8">
      <c r="A120" s="488"/>
      <c r="B120" s="488"/>
      <c r="C120" s="484"/>
      <c r="D120" s="484"/>
      <c r="E120" s="484"/>
      <c r="F120" s="484"/>
      <c r="G120" s="484"/>
      <c r="H120" s="484"/>
    </row>
    <row r="121" spans="1:8">
      <c r="A121" s="481"/>
      <c r="B121" s="481"/>
      <c r="C121" s="482"/>
      <c r="D121" s="482"/>
      <c r="E121" s="482"/>
      <c r="F121" s="482"/>
      <c r="G121" s="482"/>
      <c r="H121" s="482"/>
    </row>
    <row r="122" spans="1:8">
      <c r="A122" s="483"/>
      <c r="B122" s="483"/>
      <c r="C122" s="479"/>
      <c r="D122" s="479"/>
      <c r="E122" s="484"/>
      <c r="F122" s="484"/>
      <c r="G122" s="484"/>
      <c r="H122" s="484"/>
    </row>
    <row r="123" spans="1:8">
      <c r="A123" s="483"/>
      <c r="B123" s="483"/>
      <c r="C123" s="484"/>
      <c r="D123" s="484"/>
      <c r="E123" s="484"/>
      <c r="F123" s="484"/>
      <c r="G123" s="484"/>
      <c r="H123" s="484"/>
    </row>
    <row r="124" spans="1:8">
      <c r="A124" s="488"/>
      <c r="B124" s="488"/>
      <c r="C124" s="484"/>
      <c r="D124" s="484"/>
      <c r="E124" s="484"/>
      <c r="F124" s="484"/>
      <c r="G124" s="484"/>
      <c r="H124" s="484"/>
    </row>
    <row r="125" spans="1:8">
      <c r="A125" s="480"/>
      <c r="B125" s="480"/>
      <c r="C125" s="480"/>
      <c r="D125" s="480"/>
      <c r="E125" s="480"/>
      <c r="F125" s="480"/>
      <c r="G125" s="480"/>
      <c r="H125" s="480"/>
    </row>
    <row r="126" spans="1:8">
      <c r="A126" s="481"/>
      <c r="B126" s="481"/>
      <c r="C126" s="480"/>
      <c r="D126" s="480"/>
      <c r="E126" s="480"/>
      <c r="F126" s="480"/>
      <c r="G126" s="480"/>
      <c r="H126" s="480"/>
    </row>
    <row r="127" spans="1:8">
      <c r="A127" s="483"/>
      <c r="B127" s="483"/>
      <c r="C127" s="484"/>
      <c r="D127" s="484"/>
      <c r="E127" s="484"/>
      <c r="F127" s="484"/>
      <c r="G127" s="484"/>
      <c r="H127" s="484"/>
    </row>
    <row r="128" spans="1:8">
      <c r="A128" s="483"/>
      <c r="B128" s="483"/>
      <c r="C128" s="484"/>
      <c r="D128" s="484"/>
      <c r="E128" s="484"/>
      <c r="F128" s="484"/>
      <c r="G128" s="484"/>
      <c r="H128" s="484"/>
    </row>
    <row r="129" spans="1:8">
      <c r="A129" s="483"/>
      <c r="B129" s="483"/>
      <c r="C129" s="484"/>
      <c r="D129" s="484"/>
      <c r="E129" s="484"/>
      <c r="F129" s="484"/>
      <c r="G129" s="484"/>
      <c r="H129" s="484"/>
    </row>
    <row r="130" spans="1:8">
      <c r="A130" s="485"/>
      <c r="B130" s="485"/>
      <c r="C130" s="482"/>
      <c r="D130" s="482"/>
      <c r="E130" s="482"/>
      <c r="F130" s="482"/>
      <c r="G130" s="482"/>
      <c r="H130" s="482"/>
    </row>
    <row r="131" spans="1:8">
      <c r="A131" s="486"/>
      <c r="B131" s="486"/>
      <c r="C131" s="484"/>
      <c r="D131" s="484"/>
      <c r="E131" s="484"/>
      <c r="F131" s="484"/>
      <c r="G131" s="484"/>
      <c r="H131" s="484"/>
    </row>
    <row r="132" spans="1:8">
      <c r="A132" s="486"/>
      <c r="B132" s="486"/>
      <c r="C132" s="484"/>
      <c r="D132" s="484"/>
      <c r="E132" s="484"/>
      <c r="F132" s="484"/>
      <c r="G132" s="484"/>
      <c r="H132" s="484"/>
    </row>
    <row r="133" spans="1:8">
      <c r="A133" s="483"/>
      <c r="B133" s="483"/>
      <c r="C133" s="484"/>
      <c r="D133" s="484"/>
      <c r="E133" s="484"/>
      <c r="F133" s="484"/>
      <c r="G133" s="484"/>
      <c r="H133" s="484"/>
    </row>
    <row r="134" spans="1:8">
      <c r="A134" s="481"/>
      <c r="B134" s="481"/>
      <c r="C134" s="480"/>
      <c r="D134" s="480"/>
      <c r="E134" s="480"/>
      <c r="F134" s="480"/>
      <c r="G134" s="480"/>
      <c r="H134" s="480"/>
    </row>
    <row r="135" spans="1:8">
      <c r="A135" s="485"/>
      <c r="B135" s="485"/>
      <c r="C135" s="482"/>
      <c r="D135" s="482"/>
      <c r="E135" s="482"/>
      <c r="F135" s="482"/>
      <c r="G135" s="482"/>
      <c r="H135" s="482"/>
    </row>
    <row r="136" spans="1:8">
      <c r="A136" s="486"/>
      <c r="B136" s="486"/>
      <c r="C136" s="484"/>
      <c r="D136" s="484"/>
      <c r="E136" s="484"/>
      <c r="F136" s="484"/>
      <c r="G136" s="484"/>
      <c r="H136" s="484"/>
    </row>
    <row r="137" spans="1:8">
      <c r="A137" s="486"/>
      <c r="B137" s="486"/>
      <c r="C137" s="484"/>
      <c r="D137" s="484"/>
      <c r="E137" s="484"/>
      <c r="F137" s="484"/>
      <c r="G137" s="484"/>
      <c r="H137" s="484"/>
    </row>
    <row r="138" spans="1:8">
      <c r="A138" s="483"/>
      <c r="B138" s="483"/>
      <c r="C138" s="484"/>
      <c r="D138" s="484"/>
      <c r="E138" s="484"/>
      <c r="F138" s="484"/>
      <c r="G138" s="484"/>
      <c r="H138" s="484"/>
    </row>
    <row r="139" spans="1:8">
      <c r="A139" s="483"/>
      <c r="B139" s="483"/>
      <c r="C139" s="484"/>
      <c r="D139" s="484"/>
      <c r="E139" s="484"/>
      <c r="F139" s="484"/>
      <c r="G139" s="484"/>
      <c r="H139" s="484"/>
    </row>
    <row r="140" spans="1:8">
      <c r="A140" s="485"/>
      <c r="B140" s="485"/>
      <c r="C140" s="482"/>
      <c r="D140" s="482"/>
      <c r="E140" s="482"/>
      <c r="F140" s="482"/>
      <c r="G140" s="482"/>
      <c r="H140" s="482"/>
    </row>
    <row r="141" spans="1:8">
      <c r="A141" s="486"/>
      <c r="B141" s="486"/>
      <c r="C141" s="484"/>
      <c r="D141" s="484"/>
      <c r="E141" s="484"/>
      <c r="F141" s="484"/>
      <c r="G141" s="484"/>
      <c r="H141" s="484"/>
    </row>
    <row r="142" spans="1:8">
      <c r="A142" s="486"/>
      <c r="B142" s="486"/>
      <c r="C142" s="484"/>
      <c r="D142" s="484"/>
      <c r="E142" s="484"/>
      <c r="F142" s="484"/>
      <c r="G142" s="484"/>
      <c r="H142" s="484"/>
    </row>
    <row r="143" spans="1:8">
      <c r="A143" s="483"/>
      <c r="B143" s="483"/>
      <c r="C143" s="484"/>
      <c r="D143" s="484"/>
      <c r="E143" s="484"/>
      <c r="F143" s="484"/>
      <c r="G143" s="484"/>
      <c r="H143" s="484"/>
    </row>
    <row r="144" spans="1:8">
      <c r="A144" s="481"/>
      <c r="B144" s="481"/>
      <c r="C144" s="480"/>
      <c r="D144" s="480"/>
      <c r="E144" s="480"/>
      <c r="F144" s="480"/>
      <c r="G144" s="480"/>
      <c r="H144" s="480"/>
    </row>
    <row r="145" spans="1:8">
      <c r="A145" s="485"/>
      <c r="B145" s="485"/>
      <c r="C145" s="489"/>
      <c r="D145" s="489"/>
      <c r="E145" s="489"/>
      <c r="F145" s="489"/>
      <c r="G145" s="489"/>
      <c r="H145" s="489"/>
    </row>
    <row r="146" spans="1:8">
      <c r="A146" s="486"/>
      <c r="B146" s="486"/>
      <c r="C146" s="490"/>
      <c r="D146" s="490"/>
      <c r="E146" s="490"/>
      <c r="F146" s="490"/>
      <c r="G146" s="490"/>
      <c r="H146" s="490"/>
    </row>
    <row r="147" spans="1:8">
      <c r="A147" s="486"/>
      <c r="B147" s="486"/>
      <c r="C147" s="490"/>
      <c r="D147" s="490"/>
      <c r="E147" s="490"/>
      <c r="F147" s="490"/>
      <c r="G147" s="490"/>
      <c r="H147" s="490"/>
    </row>
    <row r="148" spans="1:8">
      <c r="A148" s="486"/>
      <c r="B148" s="486"/>
      <c r="C148" s="491"/>
      <c r="D148" s="491"/>
      <c r="E148" s="491"/>
      <c r="F148" s="491"/>
      <c r="G148" s="491"/>
      <c r="H148" s="491"/>
    </row>
    <row r="149" spans="1:8">
      <c r="A149" s="486"/>
      <c r="B149" s="486"/>
      <c r="C149" s="490"/>
      <c r="D149" s="490"/>
      <c r="E149" s="479"/>
      <c r="F149" s="479"/>
      <c r="G149" s="479"/>
      <c r="H149" s="479"/>
    </row>
    <row r="150" spans="1:8">
      <c r="A150" s="486"/>
      <c r="B150" s="486"/>
      <c r="C150" s="490"/>
      <c r="D150" s="490"/>
      <c r="E150" s="490"/>
      <c r="F150" s="490"/>
      <c r="G150" s="490"/>
      <c r="H150" s="490"/>
    </row>
    <row r="151" spans="1:8">
      <c r="A151" s="486"/>
      <c r="B151" s="486"/>
      <c r="C151" s="490"/>
      <c r="D151" s="490"/>
      <c r="E151" s="490"/>
      <c r="F151" s="490"/>
      <c r="G151" s="490"/>
      <c r="H151" s="490"/>
    </row>
    <row r="152" spans="1:8">
      <c r="A152" s="483"/>
      <c r="B152" s="483"/>
      <c r="C152" s="490"/>
      <c r="D152" s="490"/>
      <c r="E152" s="490"/>
      <c r="F152" s="490"/>
      <c r="G152" s="490"/>
      <c r="H152" s="490"/>
    </row>
    <row r="153" spans="1:8">
      <c r="A153" s="483"/>
      <c r="B153" s="483"/>
      <c r="C153" s="490"/>
      <c r="D153" s="490"/>
      <c r="E153" s="490"/>
      <c r="F153" s="490"/>
      <c r="G153" s="490"/>
      <c r="H153" s="490"/>
    </row>
    <row r="154" spans="1:8">
      <c r="A154" s="488"/>
      <c r="B154" s="488"/>
      <c r="C154" s="490"/>
      <c r="D154" s="490"/>
      <c r="E154" s="490"/>
      <c r="F154" s="490"/>
      <c r="G154" s="490"/>
      <c r="H154" s="490"/>
    </row>
    <row r="155" spans="1:8">
      <c r="A155" s="480"/>
      <c r="B155" s="480"/>
      <c r="C155" s="480"/>
      <c r="D155" s="480"/>
      <c r="E155" s="480"/>
      <c r="F155" s="480"/>
      <c r="G155" s="480"/>
      <c r="H155" s="480"/>
    </row>
    <row r="156" spans="1:8">
      <c r="A156" s="488"/>
      <c r="B156" s="488"/>
      <c r="C156" s="492"/>
      <c r="D156" s="492"/>
      <c r="E156" s="492"/>
      <c r="F156" s="492"/>
      <c r="G156" s="492"/>
      <c r="H156" s="492"/>
    </row>
    <row r="157" spans="1:8">
      <c r="A157" s="488"/>
      <c r="B157" s="488"/>
      <c r="C157" s="493"/>
      <c r="D157" s="493"/>
      <c r="E157" s="493"/>
      <c r="F157" s="493"/>
      <c r="G157" s="493"/>
      <c r="H157" s="493"/>
    </row>
    <row r="158" spans="1:8">
      <c r="A158" s="479"/>
      <c r="B158" s="479"/>
      <c r="C158" s="479"/>
      <c r="D158" s="479"/>
      <c r="E158" s="479"/>
      <c r="F158" s="479"/>
      <c r="G158" s="479"/>
      <c r="H158" s="479"/>
    </row>
    <row r="159" spans="1:8">
      <c r="A159" s="479"/>
      <c r="B159" s="479"/>
      <c r="C159" s="491"/>
      <c r="D159" s="491"/>
      <c r="E159" s="490"/>
      <c r="F159" s="490"/>
      <c r="G159" s="490"/>
      <c r="H159" s="490"/>
    </row>
    <row r="160" spans="1:8">
      <c r="A160" s="479"/>
      <c r="B160" s="479"/>
      <c r="C160" s="490"/>
      <c r="D160" s="490"/>
      <c r="E160" s="490"/>
      <c r="F160" s="490"/>
      <c r="G160" s="490"/>
      <c r="H160" s="490"/>
    </row>
    <row r="161" spans="1:8">
      <c r="A161" s="479"/>
      <c r="B161" s="479"/>
      <c r="C161" s="490"/>
      <c r="D161" s="490"/>
      <c r="E161" s="490"/>
      <c r="F161" s="490"/>
      <c r="G161" s="490"/>
      <c r="H161" s="490"/>
    </row>
    <row r="162" spans="1:8">
      <c r="A162" s="479"/>
      <c r="B162" s="479"/>
      <c r="C162" s="491"/>
      <c r="D162" s="491"/>
      <c r="E162" s="491"/>
      <c r="F162" s="491"/>
      <c r="G162" s="491"/>
      <c r="H162" s="491"/>
    </row>
    <row r="163" spans="1:8">
      <c r="A163" s="480"/>
      <c r="B163" s="480"/>
      <c r="C163" s="480"/>
      <c r="D163" s="480"/>
      <c r="E163" s="480"/>
      <c r="F163" s="480"/>
      <c r="G163" s="480"/>
      <c r="H163" s="480"/>
    </row>
    <row r="164" spans="1:8">
      <c r="A164" s="488"/>
      <c r="B164" s="488"/>
      <c r="C164" s="492"/>
      <c r="D164" s="492"/>
      <c r="E164" s="492"/>
      <c r="F164" s="492"/>
      <c r="G164" s="492"/>
      <c r="H164" s="492"/>
    </row>
    <row r="165" spans="1:8">
      <c r="A165" s="488"/>
      <c r="B165" s="488"/>
      <c r="C165" s="492"/>
      <c r="D165" s="492"/>
      <c r="E165" s="492"/>
      <c r="F165" s="492"/>
      <c r="G165" s="492"/>
      <c r="H165" s="492"/>
    </row>
    <row r="166" spans="1:8">
      <c r="A166" s="480"/>
      <c r="B166" s="480"/>
      <c r="C166" s="480"/>
      <c r="D166" s="480"/>
      <c r="E166" s="480"/>
      <c r="F166" s="480"/>
      <c r="G166" s="480"/>
      <c r="H166" s="480"/>
    </row>
    <row r="167" spans="1:8">
      <c r="A167" s="488"/>
      <c r="B167" s="488"/>
      <c r="C167" s="492"/>
      <c r="D167" s="492"/>
      <c r="E167" s="479"/>
      <c r="F167" s="479"/>
      <c r="G167" s="479"/>
      <c r="H167" s="479"/>
    </row>
    <row r="168" spans="1:8">
      <c r="A168" s="480"/>
      <c r="B168" s="480"/>
      <c r="C168" s="480"/>
      <c r="D168" s="480"/>
      <c r="E168" s="480"/>
      <c r="F168" s="480"/>
      <c r="G168" s="480"/>
      <c r="H168" s="480"/>
    </row>
    <row r="169" spans="1:8">
      <c r="A169" s="488"/>
      <c r="B169" s="488"/>
      <c r="C169" s="484"/>
      <c r="D169" s="484"/>
      <c r="E169" s="484"/>
      <c r="F169" s="484"/>
      <c r="G169" s="484"/>
      <c r="H169" s="484"/>
    </row>
    <row r="170" spans="1:8">
      <c r="A170" s="479"/>
      <c r="B170" s="479"/>
      <c r="C170" s="479"/>
      <c r="D170" s="479"/>
      <c r="E170" s="479"/>
      <c r="F170" s="479"/>
      <c r="G170" s="479"/>
      <c r="H170" s="479"/>
    </row>
    <row r="171" spans="1:8">
      <c r="A171" s="480"/>
      <c r="B171" s="480"/>
      <c r="C171" s="482"/>
      <c r="D171" s="482"/>
      <c r="E171" s="480"/>
      <c r="F171" s="482"/>
      <c r="G171" s="480"/>
      <c r="H171" s="482"/>
    </row>
    <row r="172" spans="1:8">
      <c r="A172" s="488"/>
      <c r="B172" s="488"/>
      <c r="C172" s="484"/>
      <c r="D172" s="484"/>
      <c r="E172" s="479"/>
      <c r="F172" s="484"/>
      <c r="G172" s="479"/>
      <c r="H172" s="484"/>
    </row>
    <row r="173" spans="1:8">
      <c r="A173" s="488"/>
      <c r="B173" s="488"/>
      <c r="C173" s="484"/>
      <c r="D173" s="484"/>
      <c r="E173" s="479"/>
      <c r="F173" s="479"/>
      <c r="G173" s="479"/>
      <c r="H173" s="479"/>
    </row>
    <row r="174" spans="1:8">
      <c r="A174" s="488"/>
      <c r="B174" s="488"/>
      <c r="C174" s="479"/>
      <c r="D174" s="479"/>
      <c r="E174" s="479"/>
      <c r="F174" s="484"/>
      <c r="G174" s="479"/>
      <c r="H174" s="484"/>
    </row>
    <row r="175" spans="1:8">
      <c r="A175" s="488"/>
      <c r="B175" s="488"/>
      <c r="C175" s="484"/>
      <c r="D175" s="484"/>
      <c r="E175" s="479"/>
      <c r="F175" s="484"/>
      <c r="G175" s="479"/>
      <c r="H175" s="484"/>
    </row>
    <row r="176" spans="1:8">
      <c r="A176" s="488"/>
      <c r="B176" s="488"/>
      <c r="C176" s="479"/>
      <c r="D176" s="479"/>
      <c r="E176" s="479"/>
      <c r="F176" s="484"/>
      <c r="G176" s="479"/>
      <c r="H176" s="484"/>
    </row>
    <row r="177" spans="1:16">
      <c r="A177" s="488"/>
      <c r="B177" s="488"/>
      <c r="C177" s="479"/>
      <c r="D177" s="479"/>
      <c r="E177" s="479"/>
      <c r="F177" s="484"/>
      <c r="G177" s="479"/>
      <c r="H177" s="484"/>
    </row>
    <row r="178" spans="1:16">
      <c r="A178" s="488"/>
      <c r="B178" s="488"/>
      <c r="C178" s="484"/>
      <c r="D178" s="484"/>
      <c r="E178" s="479"/>
      <c r="F178" s="484"/>
      <c r="G178" s="479"/>
      <c r="H178" s="484"/>
    </row>
    <row r="179" spans="1:16">
      <c r="A179" s="479"/>
      <c r="B179" s="479"/>
      <c r="C179" s="484"/>
      <c r="D179" s="484"/>
      <c r="E179" s="484"/>
      <c r="F179" s="484"/>
      <c r="G179" s="484"/>
      <c r="H179" s="484"/>
    </row>
    <row r="180" spans="1:16">
      <c r="A180" s="494"/>
      <c r="B180" s="494"/>
      <c r="D180" s="495"/>
      <c r="E180" s="495"/>
      <c r="F180" s="495"/>
      <c r="G180" s="495"/>
    </row>
    <row r="182" spans="1:16">
      <c r="A182" s="477"/>
      <c r="B182" s="477"/>
      <c r="C182" s="477"/>
      <c r="D182" s="477"/>
      <c r="E182" s="477"/>
      <c r="F182" s="477"/>
      <c r="G182" s="477"/>
      <c r="H182" s="477"/>
      <c r="I182" s="477"/>
      <c r="J182" s="1068"/>
      <c r="K182" s="1068"/>
      <c r="L182" s="1068"/>
      <c r="M182" s="1068"/>
      <c r="N182" s="1068"/>
      <c r="O182" s="1068"/>
    </row>
    <row r="183" spans="1:16">
      <c r="A183" s="477"/>
      <c r="B183" s="477"/>
      <c r="C183" s="477"/>
      <c r="D183" s="477"/>
      <c r="E183" s="477"/>
      <c r="F183" s="477"/>
      <c r="G183" s="477"/>
      <c r="H183" s="477"/>
      <c r="I183" s="477"/>
      <c r="J183" s="450"/>
      <c r="K183" s="450"/>
      <c r="L183" s="450"/>
      <c r="M183" s="450"/>
      <c r="N183" s="450"/>
      <c r="O183" s="450"/>
    </row>
    <row r="184" spans="1:16">
      <c r="A184" s="477"/>
      <c r="B184" s="477"/>
      <c r="C184" s="477"/>
      <c r="D184" s="477"/>
      <c r="E184" s="477"/>
      <c r="F184" s="477"/>
      <c r="G184" s="477"/>
      <c r="H184" s="477"/>
      <c r="I184" s="477"/>
      <c r="J184" s="450"/>
      <c r="K184" s="450"/>
      <c r="L184" s="450"/>
      <c r="M184" s="450"/>
      <c r="N184" s="450"/>
      <c r="O184" s="450"/>
    </row>
    <row r="185" spans="1:16">
      <c r="A185" s="477"/>
      <c r="B185" s="477"/>
      <c r="C185" s="477"/>
      <c r="D185" s="477"/>
      <c r="E185" s="477"/>
      <c r="F185" s="477"/>
      <c r="G185" s="477"/>
      <c r="H185" s="477"/>
      <c r="I185" s="477"/>
      <c r="J185" s="448"/>
      <c r="K185" s="448"/>
      <c r="L185" s="448"/>
      <c r="M185" s="448"/>
      <c r="N185" s="448"/>
      <c r="O185" s="448"/>
      <c r="P185" s="448"/>
    </row>
    <row r="186" spans="1:16">
      <c r="A186" s="477"/>
      <c r="B186" s="477"/>
      <c r="C186" s="477"/>
      <c r="D186" s="477"/>
      <c r="E186" s="477"/>
      <c r="F186" s="477"/>
      <c r="G186" s="477"/>
      <c r="H186" s="477"/>
      <c r="I186" s="477"/>
      <c r="J186" s="450"/>
      <c r="K186" s="450"/>
      <c r="L186" s="450"/>
      <c r="M186" s="450"/>
      <c r="N186" s="450"/>
      <c r="O186" s="450"/>
    </row>
    <row r="187" spans="1:16">
      <c r="A187" s="477"/>
      <c r="B187" s="477"/>
      <c r="C187" s="477"/>
      <c r="D187" s="477"/>
      <c r="E187" s="477"/>
      <c r="F187" s="477"/>
      <c r="G187" s="477"/>
      <c r="H187" s="477"/>
      <c r="I187" s="496"/>
      <c r="J187" s="450"/>
      <c r="K187" s="450"/>
      <c r="L187" s="450"/>
      <c r="M187" s="450"/>
      <c r="N187" s="450"/>
      <c r="O187" s="450"/>
    </row>
    <row r="188" spans="1:16">
      <c r="A188" s="480"/>
      <c r="B188" s="480"/>
      <c r="C188" s="480"/>
      <c r="D188" s="480"/>
      <c r="E188" s="480"/>
      <c r="F188" s="480"/>
      <c r="G188" s="480"/>
      <c r="H188" s="480"/>
      <c r="I188" s="480"/>
    </row>
    <row r="189" spans="1:16">
      <c r="A189" s="488"/>
      <c r="B189" s="488"/>
      <c r="C189" s="487"/>
      <c r="D189" s="487"/>
      <c r="E189" s="487"/>
      <c r="F189" s="487"/>
      <c r="G189" s="487"/>
      <c r="H189" s="487"/>
      <c r="I189" s="497"/>
    </row>
    <row r="190" spans="1:16">
      <c r="A190" s="481"/>
      <c r="B190" s="481"/>
      <c r="C190" s="482"/>
      <c r="D190" s="482"/>
      <c r="E190" s="482"/>
      <c r="F190" s="482"/>
      <c r="G190" s="482"/>
      <c r="H190" s="482"/>
      <c r="I190" s="498"/>
    </row>
    <row r="191" spans="1:16">
      <c r="A191" s="483"/>
      <c r="B191" s="483"/>
      <c r="C191" s="484"/>
      <c r="D191" s="484"/>
      <c r="E191" s="487"/>
      <c r="F191" s="484"/>
      <c r="G191" s="484"/>
      <c r="H191" s="484"/>
      <c r="I191" s="499"/>
    </row>
    <row r="192" spans="1:16">
      <c r="A192" s="483"/>
      <c r="B192" s="483"/>
      <c r="C192" s="484"/>
      <c r="D192" s="484"/>
      <c r="E192" s="484"/>
      <c r="F192" s="484"/>
      <c r="G192" s="484"/>
      <c r="H192" s="484"/>
      <c r="I192" s="499"/>
    </row>
    <row r="193" spans="1:9">
      <c r="A193" s="481"/>
      <c r="B193" s="481"/>
      <c r="C193" s="482"/>
      <c r="D193" s="482"/>
      <c r="E193" s="482"/>
      <c r="F193" s="482"/>
      <c r="G193" s="482"/>
      <c r="H193" s="482"/>
      <c r="I193" s="498"/>
    </row>
    <row r="194" spans="1:9">
      <c r="A194" s="483"/>
      <c r="B194" s="483"/>
      <c r="C194" s="484"/>
      <c r="D194" s="484"/>
      <c r="E194" s="484"/>
      <c r="F194" s="484"/>
      <c r="G194" s="484"/>
      <c r="H194" s="484"/>
      <c r="I194" s="497"/>
    </row>
    <row r="195" spans="1:9">
      <c r="A195" s="488"/>
      <c r="B195" s="488"/>
      <c r="C195" s="484"/>
      <c r="D195" s="484"/>
      <c r="E195" s="484"/>
      <c r="F195" s="484"/>
      <c r="G195" s="484"/>
      <c r="H195" s="484"/>
      <c r="I195" s="499"/>
    </row>
    <row r="196" spans="1:9">
      <c r="A196" s="488"/>
      <c r="B196" s="488"/>
      <c r="C196" s="484"/>
      <c r="D196" s="484"/>
      <c r="E196" s="484"/>
      <c r="F196" s="484"/>
      <c r="G196" s="484"/>
      <c r="H196" s="484"/>
      <c r="I196" s="499"/>
    </row>
    <row r="197" spans="1:9">
      <c r="A197" s="481"/>
      <c r="B197" s="481"/>
      <c r="C197" s="482"/>
      <c r="D197" s="482"/>
      <c r="E197" s="482"/>
      <c r="F197" s="482"/>
      <c r="G197" s="482"/>
      <c r="H197" s="482"/>
      <c r="I197" s="498"/>
    </row>
    <row r="198" spans="1:9">
      <c r="A198" s="483"/>
      <c r="B198" s="483"/>
      <c r="C198" s="487"/>
      <c r="D198" s="487"/>
      <c r="E198" s="487"/>
      <c r="F198" s="487"/>
      <c r="G198" s="487"/>
      <c r="H198" s="487"/>
      <c r="I198" s="497"/>
    </row>
    <row r="199" spans="1:9">
      <c r="A199" s="483"/>
      <c r="B199" s="483"/>
      <c r="C199" s="484"/>
      <c r="D199" s="484"/>
      <c r="E199" s="484"/>
      <c r="F199" s="484"/>
      <c r="G199" s="484"/>
      <c r="H199" s="484"/>
      <c r="I199" s="499"/>
    </row>
    <row r="200" spans="1:9">
      <c r="A200" s="483"/>
      <c r="B200" s="483"/>
      <c r="C200" s="479"/>
      <c r="D200" s="479"/>
      <c r="E200" s="484"/>
      <c r="F200" s="484"/>
      <c r="G200" s="484"/>
      <c r="H200" s="484"/>
      <c r="I200" s="499"/>
    </row>
    <row r="201" spans="1:9">
      <c r="A201" s="483"/>
      <c r="B201" s="483"/>
      <c r="C201" s="484"/>
      <c r="D201" s="484"/>
      <c r="E201" s="484"/>
      <c r="F201" s="484"/>
      <c r="G201" s="484"/>
      <c r="H201" s="484"/>
      <c r="I201" s="497"/>
    </row>
    <row r="202" spans="1:9">
      <c r="A202" s="488"/>
      <c r="B202" s="488"/>
      <c r="C202" s="484"/>
      <c r="D202" s="484"/>
      <c r="E202" s="484"/>
      <c r="F202" s="484"/>
      <c r="G202" s="484"/>
      <c r="H202" s="484"/>
      <c r="I202" s="499"/>
    </row>
    <row r="203" spans="1:9">
      <c r="A203" s="480"/>
      <c r="B203" s="480"/>
      <c r="C203" s="480"/>
      <c r="D203" s="480"/>
      <c r="E203" s="480"/>
      <c r="F203" s="480"/>
      <c r="G203" s="480"/>
      <c r="H203" s="480"/>
      <c r="I203" s="500"/>
    </row>
    <row r="204" spans="1:9">
      <c r="A204" s="481"/>
      <c r="B204" s="481"/>
      <c r="C204" s="482"/>
      <c r="D204" s="482"/>
      <c r="E204" s="482"/>
      <c r="F204" s="482"/>
      <c r="G204" s="482"/>
      <c r="H204" s="482"/>
      <c r="I204" s="498"/>
    </row>
    <row r="205" spans="1:9">
      <c r="A205" s="483"/>
      <c r="B205" s="483"/>
      <c r="C205" s="487"/>
      <c r="D205" s="487"/>
      <c r="E205" s="487"/>
      <c r="F205" s="487"/>
      <c r="G205" s="487"/>
      <c r="H205" s="487"/>
      <c r="I205" s="497"/>
    </row>
    <row r="206" spans="1:9">
      <c r="A206" s="483"/>
      <c r="B206" s="483"/>
      <c r="C206" s="484"/>
      <c r="D206" s="487"/>
      <c r="E206" s="487"/>
      <c r="F206" s="487"/>
      <c r="G206" s="484"/>
      <c r="H206" s="484"/>
      <c r="I206" s="499"/>
    </row>
    <row r="207" spans="1:9">
      <c r="A207" s="488"/>
      <c r="B207" s="488"/>
      <c r="C207" s="487"/>
      <c r="D207" s="487"/>
      <c r="E207" s="487"/>
      <c r="F207" s="487"/>
      <c r="G207" s="487"/>
      <c r="H207" s="487"/>
      <c r="I207" s="497"/>
    </row>
    <row r="208" spans="1:9">
      <c r="A208" s="481"/>
      <c r="B208" s="481"/>
      <c r="C208" s="482"/>
      <c r="D208" s="482"/>
      <c r="E208" s="482"/>
      <c r="F208" s="482"/>
      <c r="G208" s="482"/>
      <c r="H208" s="482"/>
      <c r="I208" s="498"/>
    </row>
    <row r="209" spans="1:9">
      <c r="A209" s="483"/>
      <c r="B209" s="483"/>
      <c r="C209" s="484"/>
      <c r="D209" s="484"/>
      <c r="E209" s="484"/>
      <c r="F209" s="484"/>
      <c r="G209" s="484"/>
      <c r="H209" s="484"/>
      <c r="I209" s="499"/>
    </row>
    <row r="210" spans="1:9">
      <c r="A210" s="483"/>
      <c r="B210" s="483"/>
      <c r="C210" s="484"/>
      <c r="D210" s="484"/>
      <c r="E210" s="484"/>
      <c r="F210" s="484"/>
      <c r="G210" s="484"/>
      <c r="H210" s="484"/>
      <c r="I210" s="499"/>
    </row>
    <row r="211" spans="1:9">
      <c r="A211" s="488"/>
      <c r="B211" s="488"/>
      <c r="C211" s="487"/>
      <c r="D211" s="484"/>
      <c r="E211" s="484"/>
      <c r="F211" s="487"/>
      <c r="G211" s="487"/>
      <c r="H211" s="487"/>
      <c r="I211" s="497"/>
    </row>
    <row r="212" spans="1:9">
      <c r="A212" s="480"/>
      <c r="B212" s="480"/>
      <c r="C212" s="480"/>
      <c r="D212" s="480"/>
      <c r="E212" s="480"/>
      <c r="F212" s="480"/>
      <c r="G212" s="480"/>
      <c r="H212" s="480"/>
      <c r="I212" s="500"/>
    </row>
    <row r="213" spans="1:9">
      <c r="A213" s="481"/>
      <c r="B213" s="481"/>
      <c r="C213" s="482"/>
      <c r="D213" s="482"/>
      <c r="E213" s="482"/>
      <c r="F213" s="482"/>
      <c r="G213" s="482"/>
      <c r="H213" s="482"/>
      <c r="I213" s="498"/>
    </row>
    <row r="214" spans="1:9">
      <c r="A214" s="483"/>
      <c r="B214" s="483"/>
      <c r="C214" s="484"/>
      <c r="D214" s="484"/>
      <c r="E214" s="484"/>
      <c r="F214" s="487"/>
      <c r="G214" s="487"/>
      <c r="H214" s="487"/>
      <c r="I214" s="497"/>
    </row>
    <row r="215" spans="1:9">
      <c r="A215" s="485"/>
      <c r="B215" s="485"/>
      <c r="C215" s="482"/>
      <c r="D215" s="482"/>
      <c r="E215" s="482"/>
      <c r="F215" s="482"/>
      <c r="G215" s="482"/>
      <c r="H215" s="482"/>
      <c r="I215" s="498"/>
    </row>
    <row r="216" spans="1:9">
      <c r="A216" s="486"/>
      <c r="B216" s="486"/>
      <c r="C216" s="484"/>
      <c r="D216" s="484"/>
      <c r="E216" s="484"/>
      <c r="F216" s="484"/>
      <c r="G216" s="484"/>
      <c r="H216" s="484"/>
      <c r="I216" s="499"/>
    </row>
    <row r="217" spans="1:9">
      <c r="A217" s="481"/>
      <c r="B217" s="481"/>
      <c r="C217" s="482"/>
      <c r="D217" s="482"/>
      <c r="E217" s="482"/>
      <c r="F217" s="482"/>
      <c r="G217" s="482"/>
      <c r="H217" s="482"/>
      <c r="I217" s="498"/>
    </row>
    <row r="218" spans="1:9">
      <c r="A218" s="483"/>
      <c r="B218" s="483"/>
      <c r="C218" s="487"/>
      <c r="D218" s="487"/>
      <c r="E218" s="484"/>
      <c r="F218" s="484"/>
      <c r="G218" s="484"/>
      <c r="H218" s="484"/>
      <c r="I218" s="499"/>
    </row>
    <row r="219" spans="1:9">
      <c r="A219" s="485"/>
      <c r="B219" s="485"/>
      <c r="C219" s="482"/>
      <c r="D219" s="482"/>
      <c r="E219" s="482"/>
      <c r="F219" s="482"/>
      <c r="G219" s="482"/>
      <c r="H219" s="482"/>
      <c r="I219" s="498"/>
    </row>
    <row r="220" spans="1:9">
      <c r="A220" s="486"/>
      <c r="B220" s="486"/>
      <c r="C220" s="484"/>
      <c r="D220" s="484"/>
      <c r="E220" s="484"/>
      <c r="F220" s="484"/>
      <c r="G220" s="484"/>
      <c r="H220" s="484"/>
      <c r="I220" s="499"/>
    </row>
    <row r="221" spans="1:9">
      <c r="A221" s="486"/>
      <c r="B221" s="486"/>
      <c r="C221" s="484"/>
      <c r="D221" s="484"/>
      <c r="E221" s="487"/>
      <c r="F221" s="484"/>
      <c r="G221" s="487"/>
      <c r="H221" s="484"/>
      <c r="I221" s="499"/>
    </row>
    <row r="222" spans="1:9">
      <c r="A222" s="488"/>
      <c r="B222" s="488"/>
      <c r="C222" s="487"/>
      <c r="D222" s="487"/>
      <c r="E222" s="479"/>
      <c r="F222" s="479"/>
      <c r="G222" s="479"/>
      <c r="H222" s="479"/>
      <c r="I222" s="501"/>
    </row>
    <row r="223" spans="1:9">
      <c r="A223" s="481"/>
      <c r="B223" s="481"/>
      <c r="C223" s="482"/>
      <c r="D223" s="482"/>
      <c r="E223" s="482"/>
      <c r="F223" s="482"/>
      <c r="G223" s="482"/>
      <c r="H223" s="482"/>
      <c r="I223" s="498"/>
    </row>
    <row r="224" spans="1:9">
      <c r="A224" s="483"/>
      <c r="B224" s="483"/>
      <c r="C224" s="484"/>
      <c r="D224" s="484"/>
      <c r="E224" s="484"/>
      <c r="F224" s="484"/>
      <c r="G224" s="484"/>
      <c r="H224" s="487"/>
      <c r="I224" s="497"/>
    </row>
    <row r="225" spans="1:9">
      <c r="A225" s="483"/>
      <c r="B225" s="483"/>
      <c r="C225" s="484"/>
      <c r="D225" s="484"/>
      <c r="E225" s="484"/>
      <c r="F225" s="484"/>
      <c r="G225" s="484"/>
      <c r="H225" s="484"/>
      <c r="I225" s="499"/>
    </row>
    <row r="226" spans="1:9">
      <c r="A226" s="488"/>
      <c r="B226" s="488"/>
      <c r="C226" s="487"/>
      <c r="D226" s="487"/>
      <c r="E226" s="487"/>
      <c r="F226" s="487"/>
      <c r="G226" s="487"/>
      <c r="H226" s="487"/>
      <c r="I226" s="497"/>
    </row>
    <row r="227" spans="1:9">
      <c r="A227" s="480"/>
      <c r="B227" s="480"/>
      <c r="C227" s="480"/>
      <c r="D227" s="480"/>
      <c r="E227" s="480"/>
      <c r="F227" s="480"/>
      <c r="G227" s="480"/>
      <c r="H227" s="480"/>
      <c r="I227" s="500"/>
    </row>
    <row r="228" spans="1:9">
      <c r="A228" s="488"/>
      <c r="B228" s="488"/>
      <c r="C228" s="487"/>
      <c r="D228" s="484"/>
      <c r="E228" s="487"/>
      <c r="F228" s="487"/>
      <c r="G228" s="487"/>
      <c r="H228" s="484"/>
      <c r="I228" s="497"/>
    </row>
    <row r="229" spans="1:9">
      <c r="A229" s="488"/>
      <c r="B229" s="488"/>
      <c r="C229" s="484"/>
      <c r="D229" s="487"/>
      <c r="E229" s="484"/>
      <c r="F229" s="484"/>
      <c r="G229" s="484"/>
      <c r="H229" s="484"/>
      <c r="I229" s="497"/>
    </row>
    <row r="230" spans="1:9">
      <c r="A230" s="481"/>
      <c r="B230" s="481"/>
      <c r="C230" s="482"/>
      <c r="D230" s="482"/>
      <c r="E230" s="482"/>
      <c r="F230" s="482"/>
      <c r="G230" s="482"/>
      <c r="H230" s="482"/>
      <c r="I230" s="498"/>
    </row>
    <row r="231" spans="1:9">
      <c r="A231" s="483"/>
      <c r="B231" s="483"/>
      <c r="C231" s="484"/>
      <c r="D231" s="484"/>
      <c r="E231" s="484"/>
      <c r="F231" s="484"/>
      <c r="G231" s="484"/>
      <c r="H231" s="484"/>
      <c r="I231" s="499"/>
    </row>
    <row r="232" spans="1:9">
      <c r="A232" s="483"/>
      <c r="B232" s="483"/>
      <c r="C232" s="492"/>
      <c r="D232" s="492"/>
      <c r="E232" s="492"/>
      <c r="F232" s="492"/>
      <c r="G232" s="492"/>
      <c r="H232" s="492"/>
      <c r="I232" s="502"/>
    </row>
    <row r="233" spans="1:9">
      <c r="A233" s="494"/>
      <c r="B233" s="494"/>
      <c r="C233" s="495"/>
      <c r="D233" s="495"/>
      <c r="E233" s="495"/>
      <c r="F233" s="495"/>
      <c r="G233" s="495"/>
      <c r="H233" s="495"/>
      <c r="I233" s="495"/>
    </row>
  </sheetData>
  <mergeCells count="51">
    <mergeCell ref="AA50:AB50"/>
    <mergeCell ref="AA49:AB49"/>
    <mergeCell ref="AA48:AB48"/>
    <mergeCell ref="J85:O85"/>
    <mergeCell ref="J182:O182"/>
    <mergeCell ref="W48:X48"/>
    <mergeCell ref="W49:X49"/>
    <mergeCell ref="W50:X50"/>
    <mergeCell ref="W51:X51"/>
    <mergeCell ref="Y48:Z48"/>
    <mergeCell ref="Y49:Z49"/>
    <mergeCell ref="Y50:Z50"/>
    <mergeCell ref="Y51:Z51"/>
    <mergeCell ref="AA51:AB51"/>
    <mergeCell ref="AB36:AB37"/>
    <mergeCell ref="V45:AA45"/>
    <mergeCell ref="V46:V47"/>
    <mergeCell ref="Y46:Z47"/>
    <mergeCell ref="AA46:AB47"/>
    <mergeCell ref="W46:X47"/>
    <mergeCell ref="V35:AA35"/>
    <mergeCell ref="V36:V37"/>
    <mergeCell ref="W36:W37"/>
    <mergeCell ref="X36:X37"/>
    <mergeCell ref="Y36:Y37"/>
    <mergeCell ref="Z36:Z37"/>
    <mergeCell ref="AA36:AA37"/>
    <mergeCell ref="AA26:AA27"/>
    <mergeCell ref="AB26:AB27"/>
    <mergeCell ref="V16:V17"/>
    <mergeCell ref="W16:W17"/>
    <mergeCell ref="X16:X17"/>
    <mergeCell ref="Y16:Y17"/>
    <mergeCell ref="Z16:Z17"/>
    <mergeCell ref="AA16:AA17"/>
    <mergeCell ref="J31:K31"/>
    <mergeCell ref="V15:AB15"/>
    <mergeCell ref="V1:AB1"/>
    <mergeCell ref="C12:E12"/>
    <mergeCell ref="G12:K12"/>
    <mergeCell ref="M12:N12"/>
    <mergeCell ref="P12:T12"/>
    <mergeCell ref="V4:AB4"/>
    <mergeCell ref="V2:AB3"/>
    <mergeCell ref="AB16:AB17"/>
    <mergeCell ref="V25:AA25"/>
    <mergeCell ref="V26:V27"/>
    <mergeCell ref="W26:W27"/>
    <mergeCell ref="X26:X27"/>
    <mergeCell ref="Y26:Y27"/>
    <mergeCell ref="Z26:Z27"/>
  </mergeCells>
  <pageMargins left="0.7" right="0.7" top="0.75" bottom="0.75" header="0.3" footer="0.3"/>
  <ignoredErrors>
    <ignoredError sqref="E22:E23 G22:G23 I22:I23 J22:J23 K22:K23 C22:C23" formulaRange="1"/>
  </ignoredErrors>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E292C4-BA41-4413-B848-CE7268C9463A}">
  <sheetPr codeName="Sheet4">
    <tabColor rgb="FF0067ED"/>
  </sheetPr>
  <dimension ref="A1:Q42"/>
  <sheetViews>
    <sheetView showGridLines="0" tabSelected="1" topLeftCell="B1" zoomScale="95" zoomScaleNormal="127" workbookViewId="0">
      <selection activeCell="L7" sqref="L7"/>
    </sheetView>
  </sheetViews>
  <sheetFormatPr defaultColWidth="8.7265625" defaultRowHeight="12"/>
  <cols>
    <col min="1" max="1" width="6.81640625" style="230" customWidth="1"/>
    <col min="2" max="2" width="14.1796875" style="230" customWidth="1"/>
    <col min="3" max="3" width="12" style="230" customWidth="1"/>
    <col min="4" max="4" width="7" style="230" bestFit="1" customWidth="1"/>
    <col min="5" max="5" width="18" style="230" bestFit="1" customWidth="1"/>
    <col min="6" max="6" width="23.1796875" style="230" bestFit="1" customWidth="1"/>
    <col min="7" max="7" width="18" style="230" customWidth="1"/>
    <col min="8" max="8" width="24.1796875" style="230" bestFit="1" customWidth="1"/>
    <col min="9" max="9" width="22.453125" style="230" bestFit="1" customWidth="1"/>
    <col min="10" max="10" width="49.26953125" style="230" bestFit="1" customWidth="1"/>
    <col min="11" max="11" width="8.7265625" style="230"/>
    <col min="12" max="12" width="17" style="230" bestFit="1" customWidth="1"/>
    <col min="13" max="13" width="22" style="230" bestFit="1" customWidth="1"/>
    <col min="14" max="14" width="9.81640625" style="230" customWidth="1"/>
    <col min="15" max="16384" width="8.7265625" style="230"/>
  </cols>
  <sheetData>
    <row r="1" spans="1:17">
      <c r="A1" s="265" t="s">
        <v>180</v>
      </c>
    </row>
    <row r="2" spans="1:17">
      <c r="B2" s="1070" t="s">
        <v>181</v>
      </c>
      <c r="C2" s="1071"/>
      <c r="D2" s="1071"/>
      <c r="E2" s="1071"/>
      <c r="F2" s="1071"/>
      <c r="G2" s="1072"/>
      <c r="I2" s="451" t="s">
        <v>182</v>
      </c>
      <c r="J2" s="451"/>
      <c r="K2" s="451"/>
      <c r="L2" s="451"/>
      <c r="M2" s="451"/>
      <c r="N2" s="478"/>
      <c r="O2" s="478"/>
      <c r="P2" s="478"/>
      <c r="Q2" s="478"/>
    </row>
    <row r="3" spans="1:17">
      <c r="B3" s="1082" t="s">
        <v>183</v>
      </c>
      <c r="C3" s="1083"/>
      <c r="D3" s="1083"/>
      <c r="E3" s="1083"/>
      <c r="F3" s="1083"/>
      <c r="G3" s="1084"/>
      <c r="I3" s="661" t="s">
        <v>184</v>
      </c>
      <c r="J3" s="661" t="s">
        <v>185</v>
      </c>
      <c r="K3" s="661"/>
      <c r="L3" s="661" t="s">
        <v>186</v>
      </c>
      <c r="M3" s="661" t="s">
        <v>187</v>
      </c>
      <c r="N3" s="265"/>
      <c r="Q3" s="265"/>
    </row>
    <row r="4" spans="1:17">
      <c r="B4" s="1082"/>
      <c r="C4" s="1083"/>
      <c r="D4" s="1083"/>
      <c r="E4" s="1083"/>
      <c r="F4" s="1083"/>
      <c r="G4" s="1084"/>
      <c r="I4" s="265" t="s">
        <v>188</v>
      </c>
      <c r="J4" s="230" t="s">
        <v>189</v>
      </c>
      <c r="L4" s="949">
        <v>4.1041000000000001E-2</v>
      </c>
      <c r="M4" s="230" t="s">
        <v>190</v>
      </c>
    </row>
    <row r="5" spans="1:17">
      <c r="B5" s="1078" t="s">
        <v>191</v>
      </c>
      <c r="C5" s="1066"/>
      <c r="D5" s="1066" t="s">
        <v>9</v>
      </c>
      <c r="E5" s="1066"/>
      <c r="F5" s="1066" t="s">
        <v>192</v>
      </c>
      <c r="G5" s="1079"/>
      <c r="I5" s="265" t="s">
        <v>193</v>
      </c>
      <c r="J5" s="230" t="s">
        <v>194</v>
      </c>
      <c r="L5" s="949">
        <v>5.6499000000000001E-2</v>
      </c>
      <c r="M5" s="230" t="s">
        <v>195</v>
      </c>
    </row>
    <row r="6" spans="1:17">
      <c r="B6" s="1078"/>
      <c r="C6" s="1066"/>
      <c r="D6" s="1066"/>
      <c r="E6" s="1066"/>
      <c r="F6" s="1066"/>
      <c r="G6" s="1079"/>
      <c r="I6" s="265" t="s">
        <v>22</v>
      </c>
      <c r="J6" s="230" t="s">
        <v>196</v>
      </c>
      <c r="L6" s="949">
        <f ca="1">'WACC FF Data'!B26*WACC!H19</f>
        <v>2.0873253590052095E-2</v>
      </c>
      <c r="M6" s="230" t="s">
        <v>197</v>
      </c>
    </row>
    <row r="7" spans="1:17">
      <c r="B7" s="1075" t="s">
        <v>198</v>
      </c>
      <c r="C7" s="1074"/>
      <c r="D7" s="1073">
        <v>35.49</v>
      </c>
      <c r="E7" s="1074"/>
      <c r="F7" s="1074" t="s">
        <v>199</v>
      </c>
      <c r="G7" s="1087"/>
      <c r="I7" s="265" t="s">
        <v>200</v>
      </c>
      <c r="J7" s="230" t="s">
        <v>201</v>
      </c>
      <c r="L7" s="508">
        <v>1.0689000000000001E-2</v>
      </c>
      <c r="M7" s="230" t="s">
        <v>202</v>
      </c>
    </row>
    <row r="8" spans="1:17">
      <c r="B8" s="1076" t="s">
        <v>203</v>
      </c>
      <c r="C8" s="1077"/>
      <c r="D8" s="1086">
        <v>44.25</v>
      </c>
      <c r="E8" s="1077"/>
      <c r="F8" s="1077"/>
      <c r="G8" s="1085"/>
      <c r="I8" s="265"/>
      <c r="L8" s="951"/>
    </row>
    <row r="9" spans="1:17">
      <c r="B9" s="1075" t="s">
        <v>143</v>
      </c>
      <c r="C9" s="1074"/>
      <c r="D9" s="1073">
        <v>64.45</v>
      </c>
      <c r="E9" s="1074"/>
      <c r="F9" s="1074"/>
      <c r="G9" s="1087"/>
      <c r="I9" s="607"/>
      <c r="J9" s="607"/>
      <c r="K9" s="607"/>
      <c r="L9" s="607"/>
      <c r="M9" s="607"/>
      <c r="N9" s="607"/>
      <c r="O9" s="607"/>
      <c r="P9" s="607"/>
      <c r="Q9" s="607"/>
    </row>
    <row r="10" spans="1:17">
      <c r="B10" s="1093" t="s">
        <v>204</v>
      </c>
      <c r="C10" s="1081"/>
      <c r="D10" s="1080">
        <v>99.31</v>
      </c>
      <c r="E10" s="1081"/>
      <c r="F10" s="1081" t="s">
        <v>205</v>
      </c>
      <c r="G10" s="1088"/>
      <c r="I10" s="265"/>
    </row>
    <row r="11" spans="1:17">
      <c r="B11" s="1093" t="s">
        <v>206</v>
      </c>
      <c r="C11" s="1081"/>
      <c r="D11" s="1080">
        <v>125.01</v>
      </c>
      <c r="E11" s="1081"/>
      <c r="F11" s="1081" t="s">
        <v>207</v>
      </c>
      <c r="G11" s="1088"/>
      <c r="I11" s="265"/>
    </row>
    <row r="12" spans="1:17">
      <c r="B12" s="1075" t="s">
        <v>149</v>
      </c>
      <c r="C12" s="1074"/>
      <c r="D12" s="1073">
        <v>155.35</v>
      </c>
      <c r="E12" s="1074"/>
      <c r="F12" s="1074"/>
      <c r="G12" s="1087"/>
      <c r="I12" s="265"/>
    </row>
    <row r="13" spans="1:17">
      <c r="B13" s="1076" t="s">
        <v>208</v>
      </c>
      <c r="C13" s="1077"/>
      <c r="D13" s="1086">
        <v>233.8</v>
      </c>
      <c r="E13" s="1077"/>
      <c r="F13" s="1077"/>
      <c r="G13" s="1085"/>
      <c r="I13" s="265"/>
      <c r="J13" s="385"/>
      <c r="K13" s="385"/>
      <c r="L13" s="385"/>
      <c r="M13" s="385"/>
      <c r="N13" s="385"/>
      <c r="O13" s="385"/>
      <c r="P13" s="385"/>
      <c r="Q13" s="385"/>
    </row>
    <row r="14" spans="1:17">
      <c r="B14" s="1075" t="s">
        <v>209</v>
      </c>
      <c r="C14" s="1074"/>
      <c r="D14" s="1073">
        <v>302.2</v>
      </c>
      <c r="E14" s="1074"/>
      <c r="F14" s="1074" t="s">
        <v>210</v>
      </c>
      <c r="G14" s="1087"/>
      <c r="I14" s="265"/>
    </row>
    <row r="15" spans="1:17" ht="18.75" customHeight="1">
      <c r="B15" s="1089" t="s">
        <v>211</v>
      </c>
      <c r="C15" s="1090"/>
      <c r="D15" s="1090"/>
      <c r="E15" s="1090"/>
      <c r="F15" s="1091">
        <f ca="1">'VWAP LIVE'!I5</f>
        <v>178.1217043977083</v>
      </c>
      <c r="G15" s="1092"/>
      <c r="I15" s="230">
        <v>529.5</v>
      </c>
      <c r="J15" s="230">
        <v>748.4</v>
      </c>
      <c r="K15" s="230">
        <v>1024.3</v>
      </c>
      <c r="L15" s="230">
        <v>1397</v>
      </c>
      <c r="M15" s="230">
        <v>1768</v>
      </c>
      <c r="N15" s="230">
        <v>2124</v>
      </c>
      <c r="O15" s="230">
        <v>2543</v>
      </c>
      <c r="P15" s="230">
        <v>2960</v>
      </c>
      <c r="Q15" s="230">
        <v>3261</v>
      </c>
    </row>
    <row r="16" spans="1:17" ht="18.75" customHeight="1">
      <c r="B16" s="1089"/>
      <c r="C16" s="1090"/>
      <c r="D16" s="1090"/>
      <c r="E16" s="1090"/>
      <c r="F16" s="1091"/>
      <c r="G16" s="1092"/>
      <c r="I16" s="230">
        <v>2608</v>
      </c>
      <c r="J16" s="230">
        <v>2460</v>
      </c>
      <c r="K16" s="230">
        <v>4519</v>
      </c>
      <c r="L16" s="230">
        <v>5896</v>
      </c>
      <c r="M16" s="230">
        <v>7245</v>
      </c>
      <c r="N16" s="230">
        <v>8971</v>
      </c>
      <c r="O16" s="230">
        <v>10984</v>
      </c>
      <c r="P16" s="230">
        <v>13278</v>
      </c>
      <c r="Q16" s="230">
        <v>14732</v>
      </c>
    </row>
    <row r="17" spans="2:17" ht="18.75" customHeight="1">
      <c r="B17" s="950"/>
      <c r="C17" s="922"/>
      <c r="D17" s="922"/>
      <c r="E17" s="987" t="str">
        <f>"90% Confidence Range: "&amp;TEXT(D7,"$#,##0.00")&amp;" - "&amp;TEXT(D14,"$#,##0.00")</f>
        <v>90% Confidence Range: $35.49 - $302.20</v>
      </c>
      <c r="F17" s="922"/>
      <c r="G17" s="952"/>
      <c r="I17" s="270">
        <f>I15/I16</f>
        <v>0.20302914110429449</v>
      </c>
      <c r="J17" s="270">
        <f t="shared" ref="J17:P17" si="0">J15/J16</f>
        <v>0.30422764227642274</v>
      </c>
      <c r="K17" s="270">
        <f t="shared" si="0"/>
        <v>0.22666519141402963</v>
      </c>
      <c r="L17" s="270">
        <f t="shared" si="0"/>
        <v>0.23694029850746268</v>
      </c>
      <c r="M17" s="270">
        <f t="shared" si="0"/>
        <v>0.24403036576949622</v>
      </c>
      <c r="N17" s="270">
        <f t="shared" si="0"/>
        <v>0.23676290268643407</v>
      </c>
      <c r="O17" s="270">
        <f t="shared" si="0"/>
        <v>0.23151857246904589</v>
      </c>
      <c r="P17" s="270">
        <f t="shared" si="0"/>
        <v>0.22292513932821209</v>
      </c>
      <c r="Q17" s="270">
        <f>Q15/Q16</f>
        <v>0.22135487374423024</v>
      </c>
    </row>
    <row r="18" spans="2:17" ht="18.75" customHeight="1">
      <c r="B18" s="953"/>
      <c r="C18" s="954"/>
      <c r="D18" s="954"/>
      <c r="E18" s="954"/>
      <c r="F18" s="954"/>
      <c r="G18" s="955"/>
    </row>
    <row r="19" spans="2:17" ht="18.75" customHeight="1">
      <c r="B19" s="956"/>
      <c r="C19" s="956"/>
      <c r="D19" s="956"/>
      <c r="E19" s="956"/>
      <c r="F19" s="956"/>
      <c r="G19" s="956"/>
      <c r="I19" s="230">
        <v>78.099999999999994</v>
      </c>
      <c r="J19" s="230">
        <v>161.1</v>
      </c>
      <c r="K19" s="230">
        <v>308.2</v>
      </c>
      <c r="L19" s="230">
        <v>519</v>
      </c>
      <c r="M19" s="230">
        <v>729.7</v>
      </c>
      <c r="N19" s="230">
        <v>972</v>
      </c>
      <c r="O19" s="230">
        <v>1232</v>
      </c>
      <c r="P19" s="230">
        <v>1366.6</v>
      </c>
    </row>
    <row r="20" spans="2:17">
      <c r="I20" s="230">
        <v>24.6</v>
      </c>
      <c r="J20" s="230">
        <v>43.5</v>
      </c>
      <c r="K20" s="230">
        <v>73.7</v>
      </c>
      <c r="L20" s="230">
        <v>127</v>
      </c>
      <c r="M20" s="230">
        <v>156.5</v>
      </c>
      <c r="N20" s="230">
        <v>213.7</v>
      </c>
      <c r="O20" s="230">
        <v>320.8</v>
      </c>
      <c r="P20" s="230">
        <v>355.7</v>
      </c>
    </row>
    <row r="21" spans="2:17">
      <c r="B21" s="266"/>
      <c r="I21" s="270">
        <f>I20/I19</f>
        <v>0.31498079385403333</v>
      </c>
      <c r="J21" s="270">
        <f t="shared" ref="J21:P21" si="1">J20/J19</f>
        <v>0.27001862197392923</v>
      </c>
      <c r="K21" s="270">
        <f t="shared" si="1"/>
        <v>0.2391304347826087</v>
      </c>
      <c r="L21" s="270">
        <f t="shared" si="1"/>
        <v>0.24470134874759153</v>
      </c>
      <c r="M21" s="270">
        <f t="shared" si="1"/>
        <v>0.21447170069891736</v>
      </c>
      <c r="N21" s="270">
        <f t="shared" si="1"/>
        <v>0.2198559670781893</v>
      </c>
      <c r="O21" s="270">
        <f t="shared" si="1"/>
        <v>0.26038961038961039</v>
      </c>
      <c r="P21" s="270">
        <f t="shared" si="1"/>
        <v>0.26028098931655202</v>
      </c>
    </row>
    <row r="22" spans="2:17">
      <c r="I22" s="230" t="s">
        <v>212</v>
      </c>
    </row>
    <row r="25" spans="2:17">
      <c r="H25" s="957"/>
    </row>
    <row r="42" spans="6:6">
      <c r="F42" s="948"/>
    </row>
  </sheetData>
  <mergeCells count="31">
    <mergeCell ref="B15:E16"/>
    <mergeCell ref="F15:G16"/>
    <mergeCell ref="F7:G7"/>
    <mergeCell ref="B14:C14"/>
    <mergeCell ref="D10:E10"/>
    <mergeCell ref="D12:E12"/>
    <mergeCell ref="D13:E13"/>
    <mergeCell ref="D14:E14"/>
    <mergeCell ref="B10:C10"/>
    <mergeCell ref="B12:C12"/>
    <mergeCell ref="B13:C13"/>
    <mergeCell ref="F14:G14"/>
    <mergeCell ref="F13:G13"/>
    <mergeCell ref="F12:G12"/>
    <mergeCell ref="F10:G10"/>
    <mergeCell ref="B11:C11"/>
    <mergeCell ref="D11:E11"/>
    <mergeCell ref="B3:G4"/>
    <mergeCell ref="F8:G8"/>
    <mergeCell ref="D8:E8"/>
    <mergeCell ref="D9:E9"/>
    <mergeCell ref="F9:G9"/>
    <mergeCell ref="B9:C9"/>
    <mergeCell ref="F11:G11"/>
    <mergeCell ref="B2:G2"/>
    <mergeCell ref="D7:E7"/>
    <mergeCell ref="B7:C7"/>
    <mergeCell ref="B8:C8"/>
    <mergeCell ref="B5:C6"/>
    <mergeCell ref="D5:E6"/>
    <mergeCell ref="F5:G6"/>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9FBB8-38F8-41BF-A0A1-A27E9A608AF5}">
  <sheetPr codeName="Sheet5">
    <tabColor rgb="FF0067ED"/>
  </sheetPr>
  <dimension ref="A1:U53"/>
  <sheetViews>
    <sheetView showGridLines="0" zoomScale="114" zoomScaleNormal="95" workbookViewId="0">
      <selection activeCell="O13" sqref="O13"/>
    </sheetView>
  </sheetViews>
  <sheetFormatPr defaultColWidth="8.7265625" defaultRowHeight="12"/>
  <cols>
    <col min="1" max="2" width="8.7265625" style="342"/>
    <col min="3" max="3" width="5.26953125" style="342" customWidth="1"/>
    <col min="4" max="4" width="8.7265625" style="342"/>
    <col min="5" max="5" width="5.7265625" style="342" bestFit="1" customWidth="1"/>
    <col min="6" max="10" width="6.81640625" style="342" bestFit="1" customWidth="1"/>
    <col min="11" max="11" width="7.81640625" style="342" bestFit="1" customWidth="1"/>
    <col min="12" max="14" width="8.81640625" style="342" bestFit="1" customWidth="1"/>
    <col min="15" max="15" width="7.6328125" style="342" bestFit="1" customWidth="1"/>
    <col min="16" max="16" width="8.81640625" style="342" customWidth="1"/>
    <col min="17" max="17" width="8.7265625" style="342" customWidth="1"/>
    <col min="18" max="16384" width="8.7265625" style="342"/>
  </cols>
  <sheetData>
    <row r="1" spans="1:21">
      <c r="A1" s="265" t="s">
        <v>213</v>
      </c>
    </row>
    <row r="2" spans="1:21">
      <c r="A2" s="265" t="s">
        <v>89</v>
      </c>
    </row>
    <row r="3" spans="1:21" ht="12.5" thickBot="1">
      <c r="C3" s="387"/>
      <c r="D3" s="387"/>
      <c r="E3" s="387"/>
      <c r="F3" s="387"/>
      <c r="G3" s="387"/>
      <c r="H3" s="387"/>
      <c r="I3" s="387"/>
      <c r="J3" s="387"/>
      <c r="K3" s="387"/>
    </row>
    <row r="4" spans="1:21" ht="36" customHeight="1" thickBot="1">
      <c r="C4" s="1094" t="s">
        <v>214</v>
      </c>
      <c r="D4" s="1097" t="s">
        <v>22</v>
      </c>
      <c r="E4" s="1097"/>
      <c r="F4" s="1097"/>
      <c r="G4" s="1097"/>
      <c r="H4" s="1097"/>
      <c r="I4" s="1097"/>
      <c r="J4" s="1097"/>
      <c r="K4" s="1098"/>
      <c r="M4" s="964"/>
      <c r="N4" s="964"/>
      <c r="O4" s="964"/>
      <c r="P4" s="964"/>
      <c r="Q4" s="964"/>
      <c r="R4" s="964"/>
      <c r="S4" s="964"/>
      <c r="T4" s="964"/>
      <c r="U4" s="964"/>
    </row>
    <row r="5" spans="1:21" ht="15" customHeight="1" thickBot="1">
      <c r="C5" s="1095"/>
      <c r="D5" s="965">
        <f ca="1">K49</f>
        <v>107.76789341695988</v>
      </c>
      <c r="E5" s="966">
        <v>0.08</v>
      </c>
      <c r="F5" s="967">
        <v>8.5000000000000006E-2</v>
      </c>
      <c r="G5" s="967">
        <v>0.09</v>
      </c>
      <c r="H5" s="968">
        <f ca="1">WACC!H55</f>
        <v>9.8174267939294457E-2</v>
      </c>
      <c r="I5" s="967">
        <v>0.1</v>
      </c>
      <c r="J5" s="967">
        <v>0.105</v>
      </c>
      <c r="K5" s="969">
        <v>0.11</v>
      </c>
      <c r="M5" s="964"/>
      <c r="N5" s="974"/>
      <c r="O5" s="962"/>
      <c r="P5" s="962"/>
      <c r="Q5" s="975"/>
      <c r="R5" s="962"/>
      <c r="S5" s="962"/>
      <c r="T5" s="962"/>
      <c r="U5" s="962"/>
    </row>
    <row r="6" spans="1:21" ht="14.5" customHeight="1">
      <c r="C6" s="1095"/>
      <c r="D6" s="970">
        <v>0.02</v>
      </c>
      <c r="E6" s="629">
        <f t="dataTable" ref="E6:K12" dt2D="1" dtr="1" r1="K52" r2="K53" ca="1"/>
        <v>122.02927969698905</v>
      </c>
      <c r="F6" s="629">
        <v>111.41605722093567</v>
      </c>
      <c r="G6" s="629">
        <v>102.34398878082057</v>
      </c>
      <c r="H6" s="629">
        <v>90.058526296865182</v>
      </c>
      <c r="I6" s="629">
        <v>87.66505407759513</v>
      </c>
      <c r="J6" s="629">
        <v>81.649436031973067</v>
      </c>
      <c r="K6" s="629">
        <v>76.319605343405541</v>
      </c>
      <c r="M6" s="964"/>
      <c r="N6" s="962"/>
      <c r="O6" s="629"/>
      <c r="P6" s="629"/>
      <c r="Q6" s="629"/>
      <c r="R6" s="629"/>
      <c r="S6" s="629"/>
      <c r="T6" s="629"/>
      <c r="U6" s="629"/>
    </row>
    <row r="7" spans="1:21" ht="14.5" customHeight="1">
      <c r="C7" s="1095"/>
      <c r="D7" s="971">
        <v>2.5000000000000001E-2</v>
      </c>
      <c r="E7" s="629">
        <v>131.63233491996314</v>
      </c>
      <c r="F7" s="629">
        <v>119.35620975799249</v>
      </c>
      <c r="G7" s="629">
        <v>108.9951619812216</v>
      </c>
      <c r="H7" s="629">
        <v>95.15492760015907</v>
      </c>
      <c r="I7" s="629">
        <v>92.483727208589144</v>
      </c>
      <c r="J7" s="629">
        <v>85.805879143879807</v>
      </c>
      <c r="K7" s="629">
        <v>79.931755657652204</v>
      </c>
      <c r="M7" s="964"/>
      <c r="N7" s="962"/>
      <c r="O7" s="629"/>
      <c r="P7" s="629"/>
      <c r="Q7" s="629"/>
      <c r="R7" s="629"/>
      <c r="S7" s="629"/>
      <c r="T7" s="629"/>
      <c r="U7" s="629"/>
    </row>
    <row r="8" spans="1:21" ht="14.5" customHeight="1">
      <c r="C8" s="1095"/>
      <c r="D8" s="971">
        <v>0.03</v>
      </c>
      <c r="E8" s="629">
        <v>143.15600118753201</v>
      </c>
      <c r="F8" s="629">
        <v>128.74002639269602</v>
      </c>
      <c r="G8" s="629">
        <v>116.75486404835618</v>
      </c>
      <c r="H8" s="629">
        <v>100.99888387651585</v>
      </c>
      <c r="I8" s="629">
        <v>97.990782215439467</v>
      </c>
      <c r="J8" s="629">
        <v>90.516514670707437</v>
      </c>
      <c r="K8" s="629">
        <v>83.99542476117972</v>
      </c>
      <c r="M8" s="964"/>
      <c r="N8" s="962"/>
      <c r="O8" s="629"/>
      <c r="P8" s="629"/>
      <c r="Q8" s="629"/>
      <c r="R8" s="629"/>
      <c r="S8" s="629"/>
      <c r="T8" s="629"/>
      <c r="U8" s="629"/>
    </row>
    <row r="9" spans="1:21" ht="14.5" customHeight="1" thickBot="1">
      <c r="C9" s="1095"/>
      <c r="D9" s="971">
        <v>3.2500000000000001E-2</v>
      </c>
      <c r="E9" s="629">
        <v>149.82759744770351</v>
      </c>
      <c r="F9" s="629">
        <v>134.10220732681225</v>
      </c>
      <c r="G9" s="1025">
        <v>121.14078260804092</v>
      </c>
      <c r="H9" s="1026">
        <v>104.2545518558447</v>
      </c>
      <c r="I9" s="1027">
        <v>101.05025721924518</v>
      </c>
      <c r="J9" s="629">
        <v>93.115485995853703</v>
      </c>
      <c r="K9" s="629">
        <v>86.22388846311415</v>
      </c>
      <c r="M9" s="964"/>
      <c r="N9" s="975"/>
      <c r="O9" s="629"/>
      <c r="P9" s="629"/>
      <c r="Q9" s="629"/>
      <c r="R9" s="629"/>
      <c r="S9" s="629"/>
      <c r="T9" s="629"/>
      <c r="U9" s="629"/>
    </row>
    <row r="10" spans="1:21" ht="14.5" customHeight="1" thickBot="1">
      <c r="C10" s="1095"/>
      <c r="D10" s="972">
        <f>'DCF FINAL'!J44</f>
        <v>3.5000000000000003E-2</v>
      </c>
      <c r="E10" s="629">
        <v>157.24048218122738</v>
      </c>
      <c r="F10" s="629">
        <v>140.00060635434022</v>
      </c>
      <c r="G10" s="1028">
        <v>125.92542103678795</v>
      </c>
      <c r="H10" s="1024">
        <v>107.76789341695988</v>
      </c>
      <c r="I10" s="1029">
        <v>104.34507645411291</v>
      </c>
      <c r="J10" s="629">
        <v>95.900098129939011</v>
      </c>
      <c r="K10" s="629">
        <v>88.600916411844224</v>
      </c>
      <c r="M10" s="964"/>
      <c r="N10" s="962"/>
      <c r="O10" s="629"/>
      <c r="P10" s="629"/>
      <c r="Q10" s="629"/>
      <c r="R10" s="973"/>
      <c r="S10" s="629"/>
      <c r="T10" s="629"/>
      <c r="U10" s="629"/>
    </row>
    <row r="11" spans="1:21" ht="14.5" customHeight="1">
      <c r="B11" s="387"/>
      <c r="C11" s="1095"/>
      <c r="D11" s="630">
        <v>3.7499999999999999E-2</v>
      </c>
      <c r="E11" s="629">
        <v>165.52547100104815</v>
      </c>
      <c r="F11" s="629">
        <v>146.51988949002896</v>
      </c>
      <c r="G11" s="1030">
        <v>131.16573931589184</v>
      </c>
      <c r="H11" s="1031">
        <v>111.57075981953092</v>
      </c>
      <c r="I11" s="1032">
        <v>107.90348122777003</v>
      </c>
      <c r="J11" s="629">
        <v>98.890977829512096</v>
      </c>
      <c r="K11" s="629">
        <v>91.141877322555644</v>
      </c>
      <c r="M11" s="963"/>
      <c r="N11" s="962"/>
      <c r="O11" s="629"/>
      <c r="P11" s="629"/>
      <c r="Q11" s="629"/>
      <c r="R11" s="629"/>
      <c r="S11" s="629"/>
      <c r="T11" s="629"/>
      <c r="U11" s="629"/>
    </row>
    <row r="12" spans="1:21" ht="15" customHeight="1" thickBot="1">
      <c r="B12" s="387"/>
      <c r="C12" s="1096"/>
      <c r="D12" s="1033">
        <v>0.04</v>
      </c>
      <c r="E12" s="629">
        <v>174.84608342334653</v>
      </c>
      <c r="F12" s="629">
        <v>153.76353741857204</v>
      </c>
      <c r="G12" s="629">
        <v>136.93008942290609</v>
      </c>
      <c r="H12" s="629">
        <v>115.70047746899166</v>
      </c>
      <c r="I12" s="629">
        <v>111.75841973256526</v>
      </c>
      <c r="J12" s="629">
        <v>102.11192519828313</v>
      </c>
      <c r="K12" s="629">
        <v>93.864335441175101</v>
      </c>
      <c r="M12" s="963"/>
      <c r="N12" s="962"/>
      <c r="O12" s="629"/>
      <c r="P12" s="629"/>
      <c r="Q12" s="629"/>
      <c r="R12" s="629"/>
      <c r="S12" s="629"/>
      <c r="T12" s="629"/>
      <c r="U12" s="629"/>
    </row>
    <row r="18" spans="3:18">
      <c r="F18" s="343">
        <v>43983</v>
      </c>
      <c r="G18" s="343">
        <v>44377</v>
      </c>
      <c r="H18" s="343">
        <f t="shared" ref="H18:R18" si="0">EDATE(G18,12)</f>
        <v>44742</v>
      </c>
      <c r="I18" s="343">
        <f t="shared" si="0"/>
        <v>45107</v>
      </c>
      <c r="J18" s="343">
        <f t="shared" si="0"/>
        <v>45473</v>
      </c>
      <c r="K18" s="343">
        <f t="shared" si="0"/>
        <v>45838</v>
      </c>
      <c r="L18" s="343">
        <f t="shared" si="0"/>
        <v>46203</v>
      </c>
      <c r="M18" s="343">
        <f t="shared" si="0"/>
        <v>46568</v>
      </c>
      <c r="N18" s="343">
        <f t="shared" si="0"/>
        <v>46934</v>
      </c>
      <c r="O18" s="343">
        <f t="shared" si="0"/>
        <v>47299</v>
      </c>
      <c r="P18" s="343">
        <f t="shared" si="0"/>
        <v>47664</v>
      </c>
      <c r="Q18" s="343">
        <f t="shared" si="0"/>
        <v>48029</v>
      </c>
      <c r="R18" s="343">
        <f t="shared" si="0"/>
        <v>48395</v>
      </c>
    </row>
    <row r="19" spans="3:18">
      <c r="C19" s="451" t="str">
        <f>Cover!E5</f>
        <v>Base Case</v>
      </c>
      <c r="D19" s="961"/>
      <c r="E19" s="631"/>
      <c r="F19" s="344" t="s">
        <v>16</v>
      </c>
      <c r="G19" s="344" t="s">
        <v>16</v>
      </c>
      <c r="H19" s="344" t="s">
        <v>16</v>
      </c>
      <c r="I19" s="344" t="s">
        <v>16</v>
      </c>
      <c r="J19" s="344" t="s">
        <v>16</v>
      </c>
      <c r="K19" s="344" t="s">
        <v>16</v>
      </c>
      <c r="L19" s="344" t="s">
        <v>16</v>
      </c>
      <c r="M19" s="345" t="s">
        <v>17</v>
      </c>
      <c r="N19" s="345" t="s">
        <v>17</v>
      </c>
      <c r="O19" s="345" t="s">
        <v>17</v>
      </c>
      <c r="P19" s="345" t="s">
        <v>17</v>
      </c>
      <c r="Q19" s="345" t="s">
        <v>17</v>
      </c>
      <c r="R19" s="345" t="s">
        <v>17</v>
      </c>
    </row>
    <row r="20" spans="3:18">
      <c r="L20" s="342">
        <v>0</v>
      </c>
      <c r="M20" s="342">
        <v>1</v>
      </c>
      <c r="N20" s="342">
        <v>2</v>
      </c>
      <c r="O20" s="342">
        <v>3</v>
      </c>
      <c r="P20" s="342">
        <v>4</v>
      </c>
      <c r="Q20" s="342">
        <v>5</v>
      </c>
      <c r="R20" s="342">
        <v>6</v>
      </c>
    </row>
    <row r="22" spans="3:18">
      <c r="C22" s="632" t="s">
        <v>23</v>
      </c>
      <c r="D22" s="632"/>
      <c r="E22" s="632"/>
      <c r="F22" s="634">
        <f>'IS Intergrated'!E10</f>
        <v>1614.173</v>
      </c>
      <c r="G22" s="634">
        <f>'DCF FINAL'!E11</f>
        <v>2089.1320000000001</v>
      </c>
      <c r="H22" s="634">
        <f>'DCF FINAL'!F11</f>
        <v>2802.8819999999996</v>
      </c>
      <c r="I22" s="634">
        <f>'DCF FINAL'!G11</f>
        <v>3534.6469999999999</v>
      </c>
      <c r="J22" s="634">
        <f>'DCF FINAL'!H11</f>
        <v>4358.6030000000001</v>
      </c>
      <c r="K22" s="634">
        <f>'DCF FINAL'!I11</f>
        <v>5215.3040000000001</v>
      </c>
      <c r="L22" s="634">
        <f>'DCF FINAL'!J11</f>
        <v>6572.308</v>
      </c>
      <c r="M22" s="634">
        <f>'DCF FINAL'!K11</f>
        <v>7540.3559346374768</v>
      </c>
      <c r="N22" s="634">
        <f>'DCF FINAL'!L11</f>
        <v>9131.9762775169638</v>
      </c>
      <c r="O22" s="634">
        <f>'DCF FINAL'!M11</f>
        <v>11015.518771578243</v>
      </c>
      <c r="P22" s="634">
        <f>'DCF FINAL'!N11</f>
        <v>12976.846150772262</v>
      </c>
      <c r="Q22" s="634">
        <f>'DCF FINAL'!O11</f>
        <v>14667.912469999794</v>
      </c>
      <c r="R22" s="634">
        <f>'DCF FINAL'!P11</f>
        <v>16156.083774709687</v>
      </c>
    </row>
    <row r="23" spans="3:18">
      <c r="C23" s="342" t="s">
        <v>25</v>
      </c>
      <c r="F23" s="616">
        <f>'IS Intergrated'!E17</f>
        <v>183.62799999999999</v>
      </c>
      <c r="G23" s="616">
        <f>'IS Intergrated'!F17</f>
        <v>253.85900000000001</v>
      </c>
      <c r="H23" s="616">
        <f>'IS Intergrated'!G17</f>
        <v>410.35399999999998</v>
      </c>
      <c r="I23" s="616">
        <f>'IS Intergrated'!H17</f>
        <v>581.28499999999997</v>
      </c>
      <c r="J23" s="616">
        <f>'IS Intergrated'!I17</f>
        <v>724.75700000000006</v>
      </c>
      <c r="K23" s="616">
        <f>'IS Intergrated'!J17</f>
        <v>816.11300000000006</v>
      </c>
      <c r="L23" s="616">
        <f>'IS Intergrated'!K17</f>
        <v>856.16200000000003</v>
      </c>
      <c r="M23" s="616">
        <f>'IS Intergrated'!L17</f>
        <v>1194.4376208312112</v>
      </c>
      <c r="N23" s="616">
        <f>'IS Intergrated'!M17</f>
        <v>1492.2197139678005</v>
      </c>
      <c r="O23" s="616">
        <f>'IS Intergrated'!N17</f>
        <v>1855.0794522728029</v>
      </c>
      <c r="P23" s="616">
        <f>'IS Intergrated'!O17</f>
        <v>2250.2629812958098</v>
      </c>
      <c r="Q23" s="616">
        <f>'IS Intergrated'!P17</f>
        <v>2616.843589494797</v>
      </c>
      <c r="R23" s="616">
        <f>'IS Intergrated'!Q17</f>
        <v>2963.1226978897898</v>
      </c>
    </row>
    <row r="24" spans="3:18">
      <c r="C24" s="632" t="s">
        <v>27</v>
      </c>
      <c r="D24" s="632"/>
      <c r="E24" s="632"/>
      <c r="F24" s="635">
        <f>'IS Intergrated'!E22</f>
        <v>1345.366</v>
      </c>
      <c r="G24" s="635">
        <f>'IS Intergrated'!F22</f>
        <v>1753.1110000000001</v>
      </c>
      <c r="H24" s="635">
        <f>'IS Intergrated'!G22</f>
        <v>2337.1749999999997</v>
      </c>
      <c r="I24" s="635">
        <f>'IS Intergrated'!H22</f>
        <v>2900.8820000000001</v>
      </c>
      <c r="J24" s="635">
        <f>'IS Intergrated'!I22</f>
        <v>3555.1080000000002</v>
      </c>
      <c r="K24" s="635">
        <f>'IS Intergrated'!J22</f>
        <v>4320.4530000000004</v>
      </c>
      <c r="L24" s="635">
        <f>'IS Intergrated'!K22</f>
        <v>5575.4759999999997</v>
      </c>
      <c r="M24" s="635">
        <f>'IS Intergrated'!L22</f>
        <v>6206.7683617173643</v>
      </c>
      <c r="N24" s="635">
        <f>'IS Intergrated'!M22</f>
        <v>7492.6573387235176</v>
      </c>
      <c r="O24" s="635">
        <f>'IS Intergrated'!N22</f>
        <v>9003.9328303269285</v>
      </c>
      <c r="P24" s="635">
        <f>'IS Intergrated'!O22</f>
        <v>10560.280923404858</v>
      </c>
      <c r="Q24" s="635">
        <f>'IS Intergrated'!P22</f>
        <v>11951.51268345797</v>
      </c>
      <c r="R24" s="635">
        <f>'IS Intergrated'!Q22</f>
        <v>13112.270278378284</v>
      </c>
    </row>
    <row r="25" spans="3:18">
      <c r="F25" s="616"/>
      <c r="G25" s="616"/>
      <c r="H25" s="616"/>
      <c r="I25" s="616"/>
      <c r="J25" s="616"/>
      <c r="K25" s="616"/>
      <c r="L25" s="616"/>
      <c r="M25" s="616"/>
      <c r="N25" s="616"/>
      <c r="O25" s="616"/>
      <c r="P25" s="616"/>
      <c r="Q25" s="616"/>
      <c r="R25" s="616"/>
    </row>
    <row r="26" spans="3:18">
      <c r="C26" s="632" t="s">
        <v>34</v>
      </c>
      <c r="D26" s="632"/>
      <c r="E26" s="632"/>
      <c r="F26" s="635">
        <f>'DCF FINAL'!D17</f>
        <v>99.264999999999873</v>
      </c>
      <c r="G26" s="635">
        <f>'DCF FINAL'!E17</f>
        <v>183.79600000000005</v>
      </c>
      <c r="H26" s="635">
        <f>'DCF FINAL'!F17</f>
        <v>-51.104000000000269</v>
      </c>
      <c r="I26" s="635">
        <f>'DCF FINAL'!G17</f>
        <v>-292.74200000000019</v>
      </c>
      <c r="J26" s="635">
        <f>'DCF FINAL'!H17</f>
        <v>-38.338999999999487</v>
      </c>
      <c r="K26" s="635">
        <f>'DCF FINAL'!I17</f>
        <v>-51.653999999999542</v>
      </c>
      <c r="L26" s="635">
        <f>'DCF FINAL'!J17</f>
        <v>151.02299999999923</v>
      </c>
      <c r="M26" s="635">
        <f>'DCF FINAL'!K17</f>
        <v>188.90567625895437</v>
      </c>
      <c r="N26" s="635">
        <f>'DCF FINAL'!L17</f>
        <v>365.7595809772356</v>
      </c>
      <c r="O26" s="635">
        <f>'DCF FINAL'!M17</f>
        <v>606.43317540943826</v>
      </c>
      <c r="P26" s="635">
        <f>'DCF FINAL'!N17</f>
        <v>1168.5990027238877</v>
      </c>
      <c r="Q26" s="635">
        <f>'DCF FINAL'!O17</f>
        <v>1834.2608927927267</v>
      </c>
      <c r="R26" s="635">
        <f>'DCF FINAL'!P17</f>
        <v>2585.8235464315858</v>
      </c>
    </row>
    <row r="27" spans="3:18">
      <c r="F27" s="616"/>
      <c r="G27" s="616"/>
      <c r="H27" s="616"/>
      <c r="I27" s="616"/>
      <c r="J27" s="616"/>
      <c r="K27" s="616"/>
      <c r="L27" s="616"/>
      <c r="M27" s="616"/>
      <c r="N27" s="616"/>
      <c r="O27" s="616"/>
      <c r="P27" s="616"/>
      <c r="Q27" s="616"/>
      <c r="R27" s="616"/>
    </row>
    <row r="28" spans="3:18">
      <c r="C28" s="632" t="s">
        <v>38</v>
      </c>
      <c r="D28" s="632"/>
      <c r="E28" s="632"/>
      <c r="F28" s="635">
        <f>'IS Intergrated'!E29</f>
        <v>14.085999999999785</v>
      </c>
      <c r="G28" s="635">
        <f>'IS Intergrated'!F29</f>
        <v>101.63400000000001</v>
      </c>
      <c r="H28" s="635">
        <f>'IS Intergrated'!G29</f>
        <v>-106.45700000000033</v>
      </c>
      <c r="I28" s="635">
        <f>'IS Intergrated'!H29</f>
        <v>-345.22200000000021</v>
      </c>
      <c r="J28" s="635">
        <f>'IS Intergrated'!I29</f>
        <v>-117.07699999999932</v>
      </c>
      <c r="K28" s="635">
        <f>'IS Intergrated'!J29</f>
        <v>-130.39199999999892</v>
      </c>
      <c r="L28" s="635">
        <f>'IS Intergrated'!K29</f>
        <v>10.352999999999156</v>
      </c>
      <c r="M28" s="635">
        <f>'IS Intergrated'!L29</f>
        <v>49.755724170053327</v>
      </c>
      <c r="N28" s="635">
        <f>'IS Intergrated'!M29</f>
        <v>218.66035615159035</v>
      </c>
      <c r="O28" s="635">
        <f>'IS Intergrated'!N29</f>
        <v>449.92668643092657</v>
      </c>
      <c r="P28" s="635">
        <f>'IS Intergrated'!O29</f>
        <v>1002.296756652293</v>
      </c>
      <c r="Q28" s="635">
        <f>'IS Intergrated'!P29</f>
        <v>1734.7046957456987</v>
      </c>
      <c r="R28" s="635">
        <f>'IS Intergrated'!Q29</f>
        <v>2505.1327479899737</v>
      </c>
    </row>
    <row r="29" spans="3:18">
      <c r="F29" s="616"/>
      <c r="G29" s="616"/>
      <c r="H29" s="616"/>
      <c r="I29" s="616"/>
      <c r="J29" s="616"/>
      <c r="K29" s="616"/>
      <c r="L29" s="616"/>
      <c r="M29" s="616"/>
      <c r="N29" s="616"/>
      <c r="O29" s="616"/>
      <c r="P29" s="616"/>
      <c r="Q29" s="616"/>
      <c r="R29" s="616"/>
    </row>
    <row r="30" spans="3:18">
      <c r="C30" s="632" t="s">
        <v>44</v>
      </c>
      <c r="D30" s="633"/>
      <c r="E30" s="633"/>
      <c r="F30" s="635">
        <f>'IS Intergrated'!E41</f>
        <v>-350.65400000000022</v>
      </c>
      <c r="G30" s="635">
        <f>'IS Intergrated'!F41</f>
        <v>-696.31499999999994</v>
      </c>
      <c r="H30" s="635">
        <f>'IS Intergrated'!G41</f>
        <v>-614.12400000000036</v>
      </c>
      <c r="I30" s="635">
        <f>'IS Intergrated'!H41</f>
        <v>-486.76100000000019</v>
      </c>
      <c r="J30" s="635">
        <f>'IS Intergrated'!I41</f>
        <v>-300.51899999999932</v>
      </c>
      <c r="K30" s="635">
        <f>'IS Intergrated'!J41</f>
        <v>-256.68699999999893</v>
      </c>
      <c r="L30" s="635">
        <f>'IS Intergrated'!K41</f>
        <v>-53.830000000000851</v>
      </c>
      <c r="M30" s="635">
        <f>'IS Intergrated'!L41</f>
        <v>47.013799402574691</v>
      </c>
      <c r="N30" s="635">
        <f>'IS Intergrated'!M41</f>
        <v>183.61731821018725</v>
      </c>
      <c r="O30" s="635">
        <f>'IS Intergrated'!N41</f>
        <v>369.12218642247188</v>
      </c>
      <c r="P30" s="635">
        <f>'IS Intergrated'!O41</f>
        <v>805.5294981310451</v>
      </c>
      <c r="Q30" s="635">
        <f>'IS Intergrated'!P41</f>
        <v>1385.994223106421</v>
      </c>
      <c r="R30" s="635">
        <f>'IS Intergrated'!Q41</f>
        <v>2004.8774192613892</v>
      </c>
    </row>
    <row r="31" spans="3:18">
      <c r="F31" s="616"/>
      <c r="G31" s="616"/>
      <c r="H31" s="616"/>
      <c r="I31" s="616"/>
      <c r="J31" s="616"/>
      <c r="K31" s="616"/>
      <c r="L31" s="616"/>
      <c r="M31" s="616"/>
      <c r="N31" s="616"/>
      <c r="O31" s="616"/>
      <c r="P31" s="616"/>
      <c r="Q31" s="616"/>
      <c r="R31" s="616"/>
    </row>
    <row r="32" spans="3:18">
      <c r="C32" s="632" t="s">
        <v>215</v>
      </c>
      <c r="D32" s="632"/>
      <c r="E32" s="632"/>
      <c r="F32" s="635">
        <f>'DCF FINAL'!D31</f>
        <v>-195.86860000000013</v>
      </c>
      <c r="G32" s="635">
        <f>'DCF FINAL'!E31</f>
        <v>-507.23288000000002</v>
      </c>
      <c r="H32" s="635">
        <f>'DCF FINAL'!F31</f>
        <v>-399.76124000000021</v>
      </c>
      <c r="I32" s="635">
        <f>'DCF FINAL'!G31</f>
        <v>-174.44872000000021</v>
      </c>
      <c r="J32" s="635">
        <f>'DCF FINAL'!H31</f>
        <v>296.19748000000055</v>
      </c>
      <c r="K32" s="635">
        <f>'DCF FINAL'!I31</f>
        <v>18.792000000000417</v>
      </c>
      <c r="L32" s="635">
        <f>'DCF FINAL'!J31</f>
        <v>-360.80100000000078</v>
      </c>
      <c r="M32" s="635">
        <f>'DCF FINAL'!K31</f>
        <v>499.19776033079722</v>
      </c>
      <c r="N32" s="635">
        <f>'DCF FINAL'!L31</f>
        <v>738.88113071879764</v>
      </c>
      <c r="O32" s="635">
        <f>'DCF FINAL'!M31</f>
        <v>1013.5574900531225</v>
      </c>
      <c r="P32" s="635">
        <f>'DCF FINAL'!N31</f>
        <v>1460.6229758863858</v>
      </c>
      <c r="Q32" s="635">
        <f>'DCF FINAL'!O31</f>
        <v>1888.0988637013586</v>
      </c>
      <c r="R32" s="635">
        <f>'DCF FINAL'!P31</f>
        <v>2422.7726545122505</v>
      </c>
    </row>
    <row r="33" spans="3:18">
      <c r="C33" s="636" t="s">
        <v>216</v>
      </c>
      <c r="D33" s="636"/>
      <c r="E33" s="636"/>
      <c r="F33" s="637"/>
      <c r="G33" s="637"/>
      <c r="H33" s="637"/>
      <c r="I33" s="637"/>
      <c r="J33" s="637"/>
      <c r="K33" s="637"/>
      <c r="L33" s="637"/>
      <c r="M33" s="637">
        <f ca="1">M32/(1+$K$52)^M20</f>
        <v>454.5706222633803</v>
      </c>
      <c r="N33" s="637">
        <f t="shared" ref="N33:R33" ca="1" si="1">N32/(1+$K$52)^N20</f>
        <v>612.67766615651726</v>
      </c>
      <c r="O33" s="637">
        <f t="shared" ca="1" si="1"/>
        <v>765.30508264306945</v>
      </c>
      <c r="P33" s="637">
        <f t="shared" ca="1" si="1"/>
        <v>1004.2759786882832</v>
      </c>
      <c r="Q33" s="637">
        <f t="shared" ca="1" si="1"/>
        <v>1182.138644080728</v>
      </c>
      <c r="R33" s="637">
        <f t="shared" ca="1" si="1"/>
        <v>1381.2906870649915</v>
      </c>
    </row>
    <row r="34" spans="3:18">
      <c r="M34" s="609"/>
      <c r="N34" s="609"/>
      <c r="O34" s="609"/>
      <c r="P34" s="609"/>
    </row>
    <row r="35" spans="3:18">
      <c r="C35" s="342" t="s">
        <v>76</v>
      </c>
      <c r="K35" s="608">
        <f ca="1">R32*(1+K53)/(K52-K53)</f>
        <v>39692.896795096356</v>
      </c>
    </row>
    <row r="36" spans="3:18">
      <c r="C36" s="342" t="s">
        <v>77</v>
      </c>
      <c r="K36" s="608">
        <f ca="1">K35/(1+K52)^R20</f>
        <v>22630.034470459315</v>
      </c>
    </row>
    <row r="37" spans="3:18">
      <c r="C37" s="610" t="s">
        <v>217</v>
      </c>
      <c r="D37" s="610"/>
      <c r="E37" s="610"/>
      <c r="F37" s="610"/>
      <c r="G37" s="610"/>
      <c r="H37" s="610"/>
      <c r="I37" s="610"/>
      <c r="J37" s="610"/>
      <c r="K37" s="611">
        <f ca="1">SUM(L33:R33)</f>
        <v>5400.25868089697</v>
      </c>
    </row>
    <row r="38" spans="3:18">
      <c r="K38" s="608"/>
    </row>
    <row r="39" spans="3:18">
      <c r="C39" s="537" t="s">
        <v>79</v>
      </c>
      <c r="D39" s="333"/>
      <c r="E39" s="333"/>
      <c r="F39" s="333"/>
      <c r="G39" s="333"/>
      <c r="H39" s="333"/>
      <c r="I39" s="333"/>
      <c r="J39" s="333"/>
      <c r="K39" s="333">
        <f ca="1">'DCF FINAL'!J51</f>
        <v>14641.23573452765</v>
      </c>
    </row>
    <row r="40" spans="3:18">
      <c r="C40" s="537" t="s">
        <v>80</v>
      </c>
      <c r="D40" s="333"/>
      <c r="E40" s="333"/>
      <c r="F40" s="333"/>
      <c r="G40" s="333"/>
      <c r="H40" s="333"/>
      <c r="I40" s="333"/>
      <c r="J40" s="333"/>
      <c r="K40" s="333">
        <f ca="1">'DCF FINAL'!J52</f>
        <v>8347.3794082827935</v>
      </c>
    </row>
    <row r="41" spans="3:18">
      <c r="C41" s="537" t="s">
        <v>81</v>
      </c>
      <c r="D41" s="333"/>
      <c r="E41" s="333"/>
      <c r="F41" s="333"/>
      <c r="G41" s="333"/>
      <c r="H41" s="333"/>
      <c r="I41" s="333"/>
      <c r="J41" s="333"/>
      <c r="K41" s="333">
        <f ca="1">'DCF FINAL'!J53</f>
        <v>2922.5092885663521</v>
      </c>
    </row>
    <row r="43" spans="3:18">
      <c r="C43" s="612" t="s">
        <v>82</v>
      </c>
      <c r="D43" s="612"/>
      <c r="E43" s="612"/>
      <c r="F43" s="612"/>
      <c r="G43" s="612"/>
      <c r="H43" s="612"/>
      <c r="I43" s="612"/>
      <c r="J43" s="612"/>
      <c r="K43" s="788">
        <f ca="1">(K36+K37)</f>
        <v>28030.293151356287</v>
      </c>
    </row>
    <row r="44" spans="3:18">
      <c r="C44" s="613" t="s">
        <v>83</v>
      </c>
      <c r="K44" s="608">
        <f>'BS Intergrated'!K11</f>
        <v>1239.5119999999999</v>
      </c>
    </row>
    <row r="45" spans="3:18">
      <c r="C45" s="613" t="s">
        <v>84</v>
      </c>
      <c r="K45" s="608">
        <f>'DCF FINAL'!J57</f>
        <v>1232.9099999999999</v>
      </c>
    </row>
    <row r="46" spans="3:18">
      <c r="C46" s="612" t="s">
        <v>65</v>
      </c>
      <c r="D46" s="612"/>
      <c r="E46" s="612"/>
      <c r="F46" s="612"/>
      <c r="G46" s="612"/>
      <c r="H46" s="612"/>
      <c r="I46" s="612"/>
      <c r="J46" s="612"/>
      <c r="K46" s="789">
        <f ca="1">K43+K44-K45</f>
        <v>28036.895151356286</v>
      </c>
    </row>
    <row r="47" spans="3:18">
      <c r="C47" s="614" t="s">
        <v>218</v>
      </c>
      <c r="D47" s="614"/>
      <c r="E47" s="614"/>
      <c r="F47" s="614"/>
      <c r="G47" s="614"/>
      <c r="H47" s="614"/>
      <c r="I47" s="614"/>
      <c r="J47" s="614"/>
      <c r="K47" s="615">
        <f ca="1">'Comp. Multi &amp; Imp. Val'!W13</f>
        <v>260.16000000000003</v>
      </c>
      <c r="L47" s="614"/>
      <c r="M47" s="614"/>
      <c r="N47" s="614"/>
      <c r="O47" s="614"/>
      <c r="P47" s="614"/>
    </row>
    <row r="49" spans="3:11">
      <c r="C49" s="607" t="s">
        <v>86</v>
      </c>
      <c r="D49" s="607"/>
      <c r="E49" s="607"/>
      <c r="F49" s="607"/>
      <c r="G49" s="607"/>
      <c r="H49" s="607"/>
      <c r="I49" s="607"/>
      <c r="J49" s="607"/>
      <c r="K49" s="791">
        <f ca="1">K46/K47</f>
        <v>107.76789341695988</v>
      </c>
    </row>
    <row r="50" spans="3:11">
      <c r="C50" s="614" t="s">
        <v>219</v>
      </c>
      <c r="D50" s="614"/>
      <c r="E50" s="614"/>
      <c r="F50" s="614"/>
      <c r="G50" s="614"/>
      <c r="H50" s="614"/>
      <c r="I50" s="614"/>
      <c r="J50" s="614"/>
      <c r="K50" s="791">
        <f ca="1">'VWAP LIVE'!I5</f>
        <v>178.1217043977083</v>
      </c>
    </row>
    <row r="52" spans="3:11">
      <c r="C52" s="342" t="s">
        <v>22</v>
      </c>
      <c r="D52" s="614"/>
      <c r="E52" s="614"/>
      <c r="F52" s="614"/>
      <c r="G52" s="614"/>
      <c r="H52" s="614"/>
      <c r="I52" s="614"/>
      <c r="J52" s="614"/>
      <c r="K52" s="790">
        <f ca="1">WACC!H55</f>
        <v>9.8174267939294457E-2</v>
      </c>
    </row>
    <row r="53" spans="3:11">
      <c r="C53" s="342" t="s">
        <v>74</v>
      </c>
      <c r="D53" s="614"/>
      <c r="E53" s="614"/>
      <c r="F53" s="614"/>
      <c r="G53" s="614"/>
      <c r="H53" s="614"/>
      <c r="I53" s="614"/>
      <c r="J53" s="614"/>
      <c r="K53" s="790">
        <v>3.5000000000000003E-2</v>
      </c>
    </row>
  </sheetData>
  <mergeCells count="2">
    <mergeCell ref="C4:C12"/>
    <mergeCell ref="D4:K4"/>
  </mergeCells>
  <conditionalFormatting sqref="E6:K12">
    <cfRule type="colorScale" priority="5">
      <colorScale>
        <cfvo type="min"/>
        <cfvo type="percentile" val="50"/>
        <cfvo type="max"/>
        <color rgb="FFF8696B"/>
        <color rgb="FFFFEB84"/>
        <color rgb="FF63BE7B"/>
      </colorScale>
    </cfRule>
    <cfRule type="colorScale" priority="6">
      <colorScale>
        <cfvo type="min"/>
        <cfvo type="percentile" val="50"/>
        <cfvo type="max"/>
        <color rgb="FFF8696B"/>
        <color rgb="FFFFEB84"/>
        <color rgb="FF63BE7B"/>
      </colorScale>
    </cfRule>
    <cfRule type="colorScale" priority="7">
      <colorScale>
        <cfvo type="min"/>
        <cfvo type="max"/>
        <color rgb="FF0067ED"/>
        <color rgb="FFFFEF9C"/>
      </colorScale>
    </cfRule>
    <cfRule type="colorScale" priority="8">
      <colorScale>
        <cfvo type="min"/>
        <cfvo type="max"/>
        <color rgb="FFFAC304"/>
        <color rgb="FF0067ED"/>
      </colorScale>
    </cfRule>
  </conditionalFormatting>
  <conditionalFormatting sqref="O6:U12">
    <cfRule type="colorScale" priority="1">
      <colorScale>
        <cfvo type="min"/>
        <cfvo type="percentile" val="50"/>
        <cfvo type="max"/>
        <color rgb="FFF8696B"/>
        <color rgb="FFFFEB84"/>
        <color rgb="FF63BE7B"/>
      </colorScale>
    </cfRule>
    <cfRule type="colorScale" priority="2">
      <colorScale>
        <cfvo type="min"/>
        <cfvo type="percentile" val="50"/>
        <cfvo type="max"/>
        <color rgb="FFF8696B"/>
        <color rgb="FFFFEB84"/>
        <color rgb="FF63BE7B"/>
      </colorScale>
    </cfRule>
    <cfRule type="colorScale" priority="3">
      <colorScale>
        <cfvo type="min"/>
        <cfvo type="max"/>
        <color rgb="FF0067ED"/>
        <color rgb="FFFFEF9C"/>
      </colorScale>
    </cfRule>
    <cfRule type="colorScale" priority="4">
      <colorScale>
        <cfvo type="min"/>
        <cfvo type="max"/>
        <color rgb="FFFAC304"/>
        <color rgb="FF0067ED"/>
      </colorScale>
    </cfRule>
  </conditionalFormatting>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34839C-B4C1-408C-89F8-7E876442627C}">
  <sheetPr codeName="Sheet6">
    <tabColor rgb="FF0067ED"/>
  </sheetPr>
  <dimension ref="B2:R52"/>
  <sheetViews>
    <sheetView showGridLines="0" zoomScale="84" zoomScaleNormal="89" workbookViewId="0">
      <selection activeCell="N41" sqref="N41"/>
    </sheetView>
  </sheetViews>
  <sheetFormatPr defaultColWidth="8.7265625" defaultRowHeight="12"/>
  <cols>
    <col min="1" max="5" width="8.7265625" style="303"/>
    <col min="6" max="6" width="13" style="303" bestFit="1" customWidth="1"/>
    <col min="7" max="8" width="10.453125" style="303" bestFit="1" customWidth="1"/>
    <col min="9" max="9" width="8.81640625" style="303" customWidth="1"/>
    <col min="10" max="10" width="10.453125" style="303" bestFit="1" customWidth="1"/>
    <col min="11" max="11" width="8.7265625" style="303"/>
    <col min="12" max="12" width="9.1796875" style="303" bestFit="1" customWidth="1"/>
    <col min="13" max="13" width="8.81640625" style="303" customWidth="1"/>
    <col min="14" max="16384" width="8.7265625" style="303"/>
  </cols>
  <sheetData>
    <row r="2" spans="2:18">
      <c r="B2" s="457" t="s">
        <v>220</v>
      </c>
      <c r="C2" s="457"/>
      <c r="D2" s="457"/>
      <c r="E2" s="538"/>
      <c r="F2" s="457"/>
      <c r="G2" s="343">
        <v>46174</v>
      </c>
      <c r="H2" s="343">
        <v>46539</v>
      </c>
      <c r="I2" s="343">
        <v>46905</v>
      </c>
      <c r="J2" s="343">
        <v>47270</v>
      </c>
      <c r="K2" s="343">
        <v>47635</v>
      </c>
      <c r="L2" s="343">
        <v>48000</v>
      </c>
      <c r="M2" s="343">
        <v>48366</v>
      </c>
      <c r="N2" s="343"/>
    </row>
    <row r="3" spans="2:18">
      <c r="B3" s="539" t="s">
        <v>221</v>
      </c>
      <c r="C3" s="539"/>
      <c r="D3" s="539"/>
      <c r="E3" s="540"/>
      <c r="F3" s="944" t="str">
        <f>Cover!E5</f>
        <v>Base Case</v>
      </c>
      <c r="G3" s="535" t="s">
        <v>16</v>
      </c>
      <c r="H3" s="536" t="s">
        <v>17</v>
      </c>
      <c r="I3" s="536" t="s">
        <v>17</v>
      </c>
      <c r="J3" s="536" t="s">
        <v>17</v>
      </c>
      <c r="K3" s="536" t="s">
        <v>17</v>
      </c>
      <c r="L3" s="536" t="s">
        <v>17</v>
      </c>
      <c r="M3" s="536" t="s">
        <v>17</v>
      </c>
      <c r="N3" s="780"/>
    </row>
    <row r="4" spans="2:18">
      <c r="B4" s="539"/>
      <c r="C4" s="539"/>
      <c r="D4" s="539"/>
      <c r="E4" s="540"/>
      <c r="F4" s="541"/>
      <c r="G4" s="344">
        <v>0</v>
      </c>
      <c r="H4" s="752">
        <v>1</v>
      </c>
      <c r="I4" s="752">
        <v>2</v>
      </c>
      <c r="J4" s="752">
        <v>3</v>
      </c>
      <c r="K4" s="752">
        <v>4</v>
      </c>
      <c r="L4" s="752">
        <v>5</v>
      </c>
      <c r="M4" s="752">
        <v>6</v>
      </c>
      <c r="N4" s="781"/>
    </row>
    <row r="5" spans="2:18">
      <c r="B5" s="541"/>
      <c r="C5" s="541"/>
      <c r="D5" s="541"/>
      <c r="E5" s="540"/>
      <c r="F5" s="541"/>
      <c r="G5" s="584"/>
      <c r="H5" s="594"/>
      <c r="I5" s="542"/>
      <c r="J5" s="542"/>
      <c r="K5" s="542"/>
      <c r="L5" s="542"/>
      <c r="M5" s="562"/>
      <c r="N5" s="562"/>
    </row>
    <row r="6" spans="2:18">
      <c r="B6" s="457" t="s">
        <v>222</v>
      </c>
      <c r="C6" s="457"/>
      <c r="D6" s="457"/>
      <c r="E6" s="538"/>
      <c r="F6" s="457"/>
      <c r="G6" s="585">
        <v>1.60718372814455</v>
      </c>
      <c r="H6" s="563"/>
      <c r="I6" s="562"/>
      <c r="J6" s="562"/>
      <c r="K6" s="562"/>
      <c r="L6" s="562"/>
      <c r="M6" s="562"/>
      <c r="N6" s="562"/>
    </row>
    <row r="7" spans="2:18">
      <c r="B7" s="457" t="s">
        <v>23</v>
      </c>
      <c r="E7" s="519"/>
      <c r="F7" s="519"/>
      <c r="G7" s="587">
        <f>'DCF FINAL'!J11</f>
        <v>6572.308</v>
      </c>
      <c r="H7" s="604">
        <f>G7*(1+H9)</f>
        <v>8128.1388886132909</v>
      </c>
      <c r="I7" s="595">
        <f t="shared" ref="I7:M7" si="0">H7*(1+I9)</f>
        <v>10885.567498236667</v>
      </c>
      <c r="J7" s="595">
        <f t="shared" si="0"/>
        <v>14494.071986866909</v>
      </c>
      <c r="K7" s="595">
        <f t="shared" si="0"/>
        <v>18641.712202553317</v>
      </c>
      <c r="L7" s="595">
        <f t="shared" si="0"/>
        <v>22546.008866678963</v>
      </c>
      <c r="M7" s="595">
        <f t="shared" si="0"/>
        <v>26222.383972560023</v>
      </c>
      <c r="N7" s="595"/>
    </row>
    <row r="8" spans="2:18">
      <c r="B8" s="567" t="s">
        <v>223</v>
      </c>
      <c r="E8" s="519"/>
      <c r="F8" s="794">
        <f>_xlfn.RRI('DCF FINAL'!P7,'DCF FINAL'!J11,'DCF FINAL'!P11)</f>
        <v>0.16172418708959513</v>
      </c>
      <c r="G8" s="586"/>
      <c r="H8" s="597">
        <f>'DCF FINAL'!K10</f>
        <v>0.14729193072471292</v>
      </c>
      <c r="I8" s="597">
        <f>'DCF FINAL'!L10</f>
        <v>0.21108026685692627</v>
      </c>
      <c r="J8" s="597">
        <f>'DCF FINAL'!M10</f>
        <v>0.20625792674238363</v>
      </c>
      <c r="K8" s="597">
        <f>'DCF FINAL'!N10</f>
        <v>0.17805129471110792</v>
      </c>
      <c r="L8" s="597">
        <f>'DCF FINAL'!O10</f>
        <v>0.13031412252097141</v>
      </c>
      <c r="M8" s="597">
        <f>'DCF FINAL'!P10</f>
        <v>0.10145760739666554</v>
      </c>
      <c r="N8" s="782"/>
    </row>
    <row r="9" spans="2:18">
      <c r="B9" s="567" t="s">
        <v>224</v>
      </c>
      <c r="C9" s="543"/>
      <c r="E9" s="519"/>
      <c r="F9" s="519"/>
      <c r="G9" s="586"/>
      <c r="H9" s="658">
        <f>H8*$G$6</f>
        <v>0.23672519434775291</v>
      </c>
      <c r="I9" s="659">
        <f t="shared" ref="I9:M9" si="1">I8*$G$6</f>
        <v>0.33924477022486127</v>
      </c>
      <c r="J9" s="659">
        <f t="shared" si="1"/>
        <v>0.33149438366118961</v>
      </c>
      <c r="K9" s="659">
        <f t="shared" si="1"/>
        <v>0.28616114363476242</v>
      </c>
      <c r="L9" s="659">
        <f t="shared" si="1"/>
        <v>0.2094387372631405</v>
      </c>
      <c r="M9" s="659">
        <f t="shared" si="1"/>
        <v>0.16306101570439899</v>
      </c>
      <c r="N9" s="783"/>
    </row>
    <row r="10" spans="2:18">
      <c r="B10" s="567" t="s">
        <v>225</v>
      </c>
      <c r="C10" s="543"/>
      <c r="E10" s="558"/>
      <c r="F10" s="795">
        <f>_xlfn.RRI(M4,G7,M7)</f>
        <v>0.25938653060297212</v>
      </c>
      <c r="G10" s="586"/>
      <c r="H10" s="596"/>
      <c r="I10" s="597"/>
      <c r="J10" s="597"/>
      <c r="K10" s="597"/>
      <c r="L10" s="597"/>
      <c r="M10" s="597"/>
      <c r="N10" s="782"/>
    </row>
    <row r="11" spans="2:18">
      <c r="B11" s="457" t="s">
        <v>38</v>
      </c>
      <c r="C11" s="457"/>
      <c r="D11" s="457"/>
      <c r="E11" s="538"/>
      <c r="F11" s="544"/>
      <c r="G11" s="588">
        <f>G7*G12</f>
        <v>10.352999999999156</v>
      </c>
      <c r="H11" s="605">
        <f t="shared" ref="H11:M11" si="2">H7*H12</f>
        <v>53.634263430453082</v>
      </c>
      <c r="I11" s="561">
        <f t="shared" si="2"/>
        <v>260.6491731627458</v>
      </c>
      <c r="J11" s="561">
        <f t="shared" si="2"/>
        <v>592.00750479117141</v>
      </c>
      <c r="K11" s="561">
        <f t="shared" si="2"/>
        <v>1439.8358015481851</v>
      </c>
      <c r="L11" s="561">
        <f t="shared" si="2"/>
        <v>2666.4099292482829</v>
      </c>
      <c r="M11" s="561">
        <f t="shared" si="2"/>
        <v>4065.9948126078561</v>
      </c>
      <c r="N11" s="561"/>
    </row>
    <row r="12" spans="2:18">
      <c r="B12" s="543" t="s">
        <v>226</v>
      </c>
      <c r="C12" s="543"/>
      <c r="D12" s="543"/>
      <c r="E12" s="519"/>
      <c r="F12" s="545"/>
      <c r="G12" s="849">
        <f>'IS Intergrated'!K29/'IS Intergrated'!K10</f>
        <v>1.5752457127692671E-3</v>
      </c>
      <c r="H12" s="848">
        <f>'IS Intergrated'!L29/'IS Intergrated'!L10</f>
        <v>6.5985909155156439E-3</v>
      </c>
      <c r="I12" s="848">
        <f>'IS Intergrated'!M29/'IS Intergrated'!M10</f>
        <v>2.3944472642787606E-2</v>
      </c>
      <c r="J12" s="848">
        <f>'IS Intergrated'!N29/'IS Intergrated'!N10</f>
        <v>4.084480229762829E-2</v>
      </c>
      <c r="K12" s="848">
        <f>'IS Intergrated'!O29/'IS Intergrated'!O10</f>
        <v>7.7237315215657812E-2</v>
      </c>
      <c r="L12" s="848">
        <f>'IS Intergrated'!P29/'IS Intergrated'!P10</f>
        <v>0.11826527457766614</v>
      </c>
      <c r="M12" s="848">
        <f>'IS Intergrated'!Q29/'IS Intergrated'!Q10</f>
        <v>0.15505816774182885</v>
      </c>
      <c r="N12" s="598"/>
    </row>
    <row r="13" spans="2:18">
      <c r="B13" s="537" t="s">
        <v>40</v>
      </c>
      <c r="C13" s="543"/>
      <c r="D13" s="543"/>
      <c r="E13" s="519"/>
      <c r="F13" s="545"/>
      <c r="G13" s="583">
        <f>'IS Intergrated'!K31</f>
        <v>11.694999999999993</v>
      </c>
      <c r="H13" s="333">
        <f>'IS Intergrated'!L31</f>
        <v>12.104538201755481</v>
      </c>
      <c r="I13" s="333">
        <f>'IS Intergrated'!M31</f>
        <v>22.941378335498136</v>
      </c>
      <c r="J13" s="333">
        <f>'IS Intergrated'!N31</f>
        <v>35.760400967062758</v>
      </c>
      <c r="K13" s="333">
        <f>'IS Intergrated'!O31</f>
        <v>57.610477730661167</v>
      </c>
      <c r="L13" s="333">
        <f>'IS Intergrated'!P31</f>
        <v>88.971913604855388</v>
      </c>
      <c r="M13" s="333">
        <f>'IS Intergrated'!Q31</f>
        <v>132.86385630132762</v>
      </c>
      <c r="N13" s="333"/>
    </row>
    <row r="14" spans="2:18">
      <c r="B14" s="303" t="s">
        <v>227</v>
      </c>
      <c r="E14" s="559"/>
      <c r="F14" s="560"/>
      <c r="G14" s="852">
        <f>'IS Intergrated'!K38</f>
        <v>75.878</v>
      </c>
      <c r="H14" s="850">
        <f>(H11+H13)*WACC!$H$23</f>
        <v>15.777312391730055</v>
      </c>
      <c r="I14" s="850">
        <f>(I11+I13)*WACC!$H$23</f>
        <v>68.061732359578542</v>
      </c>
      <c r="J14" s="850">
        <f>(J11+J13)*WACC!$H$23</f>
        <v>150.66429738197618</v>
      </c>
      <c r="K14" s="850">
        <f>(K11+K13)*WACC!$H$23</f>
        <v>359.3871070269231</v>
      </c>
      <c r="L14" s="850">
        <f>(L11+L13)*WACC!$H$23</f>
        <v>661.29164228475315</v>
      </c>
      <c r="M14" s="850">
        <f>(M11+M13)*WACC!$H$23</f>
        <v>1007.726080538204</v>
      </c>
      <c r="N14" s="562"/>
    </row>
    <row r="15" spans="2:18">
      <c r="B15" s="546" t="s">
        <v>44</v>
      </c>
      <c r="C15" s="546"/>
      <c r="D15" s="546"/>
      <c r="E15" s="547"/>
      <c r="F15" s="548"/>
      <c r="G15" s="589">
        <f>G11+G13-G14</f>
        <v>-53.830000000000851</v>
      </c>
      <c r="H15" s="600">
        <f t="shared" ref="H15:M15" si="3">H11+H13-H14</f>
        <v>49.961489240478507</v>
      </c>
      <c r="I15" s="600">
        <f t="shared" si="3"/>
        <v>215.5288191386654</v>
      </c>
      <c r="J15" s="600">
        <f t="shared" si="3"/>
        <v>477.10360837625797</v>
      </c>
      <c r="K15" s="600">
        <f t="shared" si="3"/>
        <v>1138.0591722519232</v>
      </c>
      <c r="L15" s="600">
        <f t="shared" si="3"/>
        <v>2094.0902005683847</v>
      </c>
      <c r="M15" s="600">
        <f t="shared" si="3"/>
        <v>3191.1325883709796</v>
      </c>
      <c r="N15" s="561"/>
    </row>
    <row r="16" spans="2:18">
      <c r="B16" s="543" t="s">
        <v>228</v>
      </c>
      <c r="C16" s="543"/>
      <c r="D16" s="543"/>
      <c r="E16" s="519"/>
      <c r="F16" s="545"/>
      <c r="G16" s="590">
        <f t="shared" ref="G16:M16" si="4">G15/G7</f>
        <v>-8.1904256465157831E-3</v>
      </c>
      <c r="H16" s="606">
        <f t="shared" si="4"/>
        <v>6.1467317334438706E-3</v>
      </c>
      <c r="I16" s="545">
        <f t="shared" si="4"/>
        <v>1.9799502338631265E-2</v>
      </c>
      <c r="J16" s="545">
        <f t="shared" si="4"/>
        <v>3.2917154600071115E-2</v>
      </c>
      <c r="K16" s="545">
        <f t="shared" si="4"/>
        <v>6.1049068877699203E-2</v>
      </c>
      <c r="L16" s="545">
        <f t="shared" si="4"/>
        <v>9.2880749446668923E-2</v>
      </c>
      <c r="M16" s="545">
        <f t="shared" si="4"/>
        <v>0.12169498363345939</v>
      </c>
      <c r="N16" s="545"/>
      <c r="P16" s="303">
        <f>26.37-25.94</f>
        <v>0.42999999999999972</v>
      </c>
      <c r="R16" s="303">
        <f>25.94-16.17</f>
        <v>9.77</v>
      </c>
    </row>
    <row r="17" spans="2:14">
      <c r="B17" s="537" t="s">
        <v>47</v>
      </c>
      <c r="E17" s="519"/>
      <c r="F17" s="549"/>
      <c r="G17" s="583">
        <f t="shared" ref="G17:M17" si="5">G18*G7</f>
        <v>140.66999999999999</v>
      </c>
      <c r="H17" s="599">
        <f t="shared" si="5"/>
        <v>149.99691615709571</v>
      </c>
      <c r="I17" s="333">
        <f t="shared" si="5"/>
        <v>175.34633162814688</v>
      </c>
      <c r="J17" s="333">
        <f t="shared" si="5"/>
        <v>205.92914094243093</v>
      </c>
      <c r="K17" s="333">
        <f t="shared" si="5"/>
        <v>238.89923436599949</v>
      </c>
      <c r="L17" s="333">
        <f t="shared" si="5"/>
        <v>153.02756312092615</v>
      </c>
      <c r="M17" s="333">
        <f t="shared" si="5"/>
        <v>130.96646002174006</v>
      </c>
      <c r="N17" s="333"/>
    </row>
    <row r="18" spans="2:14">
      <c r="B18" s="543" t="s">
        <v>229</v>
      </c>
      <c r="E18" s="519"/>
      <c r="F18" s="549"/>
      <c r="G18" s="591">
        <f>'IS Intergrated'!K18/'IS Intergrated'!K10</f>
        <v>2.1403440009202246E-2</v>
      </c>
      <c r="H18" s="601">
        <f>'IS Intergrated'!L18/'IS Intergrated'!L10</f>
        <v>1.8454029663202039E-2</v>
      </c>
      <c r="I18" s="565">
        <f>'IS Intergrated'!M18/'IS Intergrated'!M10</f>
        <v>1.6108147935929927E-2</v>
      </c>
      <c r="J18" s="565">
        <f>'IS Intergrated'!N18/'IS Intergrated'!N10</f>
        <v>1.4207818281089227E-2</v>
      </c>
      <c r="K18" s="565">
        <f>'IS Intergrated'!O18/'IS Intergrated'!O10</f>
        <v>1.2815305363059835E-2</v>
      </c>
      <c r="L18" s="565">
        <f>'IS Intergrated'!P18/'IS Intergrated'!P10</f>
        <v>6.7873460010515457E-3</v>
      </c>
      <c r="M18" s="565">
        <f>'IS Intergrated'!Q18/'IS Intergrated'!Q10</f>
        <v>4.9944528368888099E-3</v>
      </c>
      <c r="N18" s="784"/>
    </row>
    <row r="19" spans="2:14">
      <c r="B19" s="537" t="s">
        <v>48</v>
      </c>
      <c r="E19" s="519"/>
      <c r="F19" s="549"/>
      <c r="G19" s="583">
        <f t="shared" ref="G19:M19" si="6">G20*G7</f>
        <v>-34.06</v>
      </c>
      <c r="H19" s="599">
        <f t="shared" si="6"/>
        <v>-63.286165870601089</v>
      </c>
      <c r="I19" s="333">
        <f t="shared" si="6"/>
        <v>-75.838233899447275</v>
      </c>
      <c r="J19" s="333">
        <f t="shared" si="6"/>
        <v>-99.065699553111713</v>
      </c>
      <c r="K19" s="333">
        <f t="shared" si="6"/>
        <v>-112.623537125233</v>
      </c>
      <c r="L19" s="333">
        <f t="shared" si="6"/>
        <v>-103.90212565885767</v>
      </c>
      <c r="M19" s="333">
        <f t="shared" si="6"/>
        <v>-96.549811679689256</v>
      </c>
      <c r="N19" s="333"/>
    </row>
    <row r="20" spans="2:14">
      <c r="B20" s="543" t="s">
        <v>230</v>
      </c>
      <c r="E20" s="519"/>
      <c r="F20" s="549"/>
      <c r="G20" s="592">
        <f>'CF Intergrated'!K30/'IS Intergrated'!K10</f>
        <v>-5.1823499446465382E-3</v>
      </c>
      <c r="H20" s="361">
        <f>'CF Intergrated'!L30/'IS Intergrated'!L10</f>
        <v>-7.7860586215201949E-3</v>
      </c>
      <c r="I20" s="361">
        <f>'CF Intergrated'!M30/'IS Intergrated'!M10</f>
        <v>-6.9668608376855104E-3</v>
      </c>
      <c r="J20" s="361">
        <f>'CF Intergrated'!N30/'IS Intergrated'!N10</f>
        <v>-6.8349115171275005E-3</v>
      </c>
      <c r="K20" s="361">
        <f>'CF Intergrated'!O30/'IS Intergrated'!O10</f>
        <v>-6.0414803051088402E-3</v>
      </c>
      <c r="L20" s="361">
        <f>'CF Intergrated'!P30/'IS Intergrated'!P10</f>
        <v>-4.608448718052975E-3</v>
      </c>
      <c r="M20" s="361">
        <f>'CF Intergrated'!Q30/'IS Intergrated'!Q10</f>
        <v>-3.6819616317388302E-3</v>
      </c>
      <c r="N20" s="785"/>
    </row>
    <row r="21" spans="2:14">
      <c r="B21" s="537" t="s">
        <v>49</v>
      </c>
      <c r="E21" s="519"/>
      <c r="F21" s="549"/>
      <c r="G21" s="583">
        <f t="shared" ref="G21:M21" si="7">G22*G7</f>
        <v>-375.99900000000002</v>
      </c>
      <c r="H21" s="599">
        <f t="shared" si="7"/>
        <v>445.22858172779223</v>
      </c>
      <c r="I21" s="333">
        <f t="shared" si="7"/>
        <v>611.59858869009508</v>
      </c>
      <c r="J21" s="333">
        <f t="shared" si="7"/>
        <v>795.40262074468387</v>
      </c>
      <c r="K21" s="333">
        <f t="shared" si="7"/>
        <v>874.10223929354515</v>
      </c>
      <c r="L21" s="333">
        <f t="shared" si="7"/>
        <v>786.12254815749054</v>
      </c>
      <c r="M21" s="333">
        <f t="shared" si="7"/>
        <v>710.86852120335368</v>
      </c>
      <c r="N21" s="333"/>
    </row>
    <row r="22" spans="2:14">
      <c r="B22" s="543" t="s">
        <v>231</v>
      </c>
      <c r="E22" s="519"/>
      <c r="F22" s="549"/>
      <c r="G22" s="592">
        <f>'CF Intergrated'!K18/'IS Intergrated'!K10</f>
        <v>-5.7209582995806044E-2</v>
      </c>
      <c r="H22" s="602">
        <f>'CF Intergrated'!L18/'IS Intergrated'!L10</f>
        <v>5.4776202502089734E-2</v>
      </c>
      <c r="I22" s="361">
        <f>'CF Intergrated'!M18/'IS Intergrated'!M10</f>
        <v>5.6184354999329778E-2</v>
      </c>
      <c r="J22" s="361">
        <f>'CF Intergrated'!N18/'IS Intergrated'!N10</f>
        <v>5.4877788758424743E-2</v>
      </c>
      <c r="K22" s="361">
        <f>'CF Intergrated'!O18/'IS Intergrated'!O10</f>
        <v>4.6889589850755295E-2</v>
      </c>
      <c r="L22" s="361">
        <f>'CF Intergrated'!P18/'IS Intergrated'!P10</f>
        <v>3.486748154877696E-2</v>
      </c>
      <c r="M22" s="361">
        <f>'CF Intergrated'!Q18/'IS Intergrated'!Q10</f>
        <v>2.7109225535985982E-2</v>
      </c>
      <c r="N22" s="784"/>
    </row>
    <row r="23" spans="2:14">
      <c r="B23" s="537" t="s">
        <v>51</v>
      </c>
      <c r="E23" s="519"/>
      <c r="F23" s="549"/>
      <c r="G23" s="583">
        <f t="shared" ref="G23:M23" si="8">G24*G7</f>
        <v>-37.582000000000001</v>
      </c>
      <c r="H23" s="599">
        <f t="shared" si="8"/>
        <v>-44.506899183834854</v>
      </c>
      <c r="I23" s="333">
        <f t="shared" si="8"/>
        <v>-49.216912868680751</v>
      </c>
      <c r="J23" s="333">
        <f t="shared" si="8"/>
        <v>-54.326725332090611</v>
      </c>
      <c r="K23" s="333">
        <f t="shared" si="8"/>
        <v>-59.312292679231874</v>
      </c>
      <c r="L23" s="333">
        <f t="shared" si="8"/>
        <v>-63.464290972637194</v>
      </c>
      <c r="M23" s="333">
        <f t="shared" si="8"/>
        <v>-67.013784483321373</v>
      </c>
      <c r="N23" s="333"/>
    </row>
    <row r="24" spans="2:14">
      <c r="B24" s="543" t="s">
        <v>232</v>
      </c>
      <c r="E24" s="519"/>
      <c r="F24" s="549"/>
      <c r="G24" s="592">
        <f>'DCF FINAL'!J27/'DCF FINAL'!J11</f>
        <v>-5.7182347510189727E-3</v>
      </c>
      <c r="H24" s="602">
        <f>'DCF FINAL'!K27/'DCF FINAL'!K11</f>
        <v>-5.4756568254738566E-3</v>
      </c>
      <c r="I24" s="361">
        <f>'DCF FINAL'!L27/'DCF FINAL'!L11</f>
        <v>-4.5212996820471977E-3</v>
      </c>
      <c r="J24" s="361">
        <f>'DCF FINAL'!M27/'DCF FINAL'!M11</f>
        <v>-3.7482030847725955E-3</v>
      </c>
      <c r="K24" s="361">
        <f>'DCF FINAL'!N27/'DCF FINAL'!N11</f>
        <v>-3.1816976914335149E-3</v>
      </c>
      <c r="L24" s="361">
        <f>'DCF FINAL'!O27/'DCF FINAL'!O11</f>
        <v>-2.8148791809636821E-3</v>
      </c>
      <c r="M24" s="361">
        <f>'DCF FINAL'!P27/'DCF FINAL'!P11</f>
        <v>-2.5555946611660798E-3</v>
      </c>
      <c r="N24" s="784"/>
    </row>
    <row r="25" spans="2:14">
      <c r="B25" s="537" t="s">
        <v>53</v>
      </c>
      <c r="E25" s="519"/>
      <c r="F25" s="549"/>
      <c r="G25" s="853">
        <f>G26*G7</f>
        <v>1606.5609999999999</v>
      </c>
      <c r="H25" s="855">
        <f t="shared" ref="H25:M25" si="9">H26*H7</f>
        <v>1919.452212007526</v>
      </c>
      <c r="I25" s="855">
        <f t="shared" si="9"/>
        <v>2516.1884991364377</v>
      </c>
      <c r="J25" s="855">
        <f t="shared" si="9"/>
        <v>3277.8204948987104</v>
      </c>
      <c r="K25" s="855">
        <f t="shared" si="9"/>
        <v>4122.5967953356221</v>
      </c>
      <c r="L25" s="855">
        <f t="shared" si="9"/>
        <v>4873.2982180623894</v>
      </c>
      <c r="M25" s="855">
        <f t="shared" si="9"/>
        <v>5536.8312554672812</v>
      </c>
      <c r="N25" s="784"/>
    </row>
    <row r="26" spans="2:14">
      <c r="B26" s="537" t="s">
        <v>233</v>
      </c>
      <c r="E26" s="519"/>
      <c r="F26" s="549"/>
      <c r="G26" s="592">
        <f>'DCF FINAL'!J28/'DCF FINAL'!J11</f>
        <v>0.24444396093427148</v>
      </c>
      <c r="H26" s="361">
        <f>'DCF FINAL'!K28/'DCF FINAL'!K11</f>
        <v>0.23614904202688841</v>
      </c>
      <c r="I26" s="361">
        <f>'DCF FINAL'!L28/'DCF FINAL'!L11</f>
        <v>0.23114904202688838</v>
      </c>
      <c r="J26" s="361">
        <f>'DCF FINAL'!M28/'DCF FINAL'!M11</f>
        <v>0.2261490420268884</v>
      </c>
      <c r="K26" s="361">
        <f>'DCF FINAL'!N28/'DCF FINAL'!N11</f>
        <v>0.2211490420268884</v>
      </c>
      <c r="L26" s="361">
        <f>'DCF FINAL'!O28/'DCF FINAL'!O11</f>
        <v>0.21614904202688839</v>
      </c>
      <c r="M26" s="361">
        <f>'DCF FINAL'!P28/'DCF FINAL'!P11</f>
        <v>0.21114904202688839</v>
      </c>
      <c r="N26" s="784"/>
    </row>
    <row r="27" spans="2:14">
      <c r="B27" s="537" t="s">
        <v>56</v>
      </c>
      <c r="E27" s="519"/>
      <c r="F27" s="549"/>
      <c r="G27" s="854">
        <f>G28*G7</f>
        <v>-1185.6894110332896</v>
      </c>
      <c r="H27" s="856">
        <f t="shared" ref="H27:M27" si="10">H28*H7</f>
        <v>-1416.6123556850616</v>
      </c>
      <c r="I27" s="856">
        <f t="shared" si="10"/>
        <v>-1857.0213391149293</v>
      </c>
      <c r="J27" s="856">
        <f t="shared" si="10"/>
        <v>-2419.1282198866388</v>
      </c>
      <c r="K27" s="856">
        <f t="shared" si="10"/>
        <v>-3042.5980502385041</v>
      </c>
      <c r="L27" s="856">
        <f>L28*L7</f>
        <v>-3596.637845661618</v>
      </c>
      <c r="M27" s="856">
        <f t="shared" si="10"/>
        <v>-4086.3448012778294</v>
      </c>
      <c r="N27" s="784"/>
    </row>
    <row r="28" spans="2:14">
      <c r="B28" s="537" t="s">
        <v>234</v>
      </c>
      <c r="E28" s="519"/>
      <c r="F28" s="549"/>
      <c r="G28" s="592">
        <f>'DCF FINAL'!J29/'DCF FINAL'!J11</f>
        <v>-0.18040685418779667</v>
      </c>
      <c r="H28" s="361">
        <f>'DCF FINAL'!K29/'DCF FINAL'!K11</f>
        <v>-0.17428495933670546</v>
      </c>
      <c r="I28" s="361">
        <f>'DCF FINAL'!L29/'DCF FINAL'!L11</f>
        <v>-0.17059481183831204</v>
      </c>
      <c r="J28" s="361">
        <f>'DCF FINAL'!M29/'DCF FINAL'!M11</f>
        <v>-0.16690466433991863</v>
      </c>
      <c r="K28" s="361">
        <f>'DCF FINAL'!N29/'DCF FINAL'!N11</f>
        <v>-0.16321451684152519</v>
      </c>
      <c r="L28" s="361">
        <f>'DCF FINAL'!O29/'DCF FINAL'!O11</f>
        <v>-0.15952436934313174</v>
      </c>
      <c r="M28" s="361">
        <f>'DCF FINAL'!P29/'DCF FINAL'!P11</f>
        <v>-0.15583422184473833</v>
      </c>
      <c r="N28" s="784"/>
    </row>
    <row r="29" spans="2:14">
      <c r="B29" s="543"/>
      <c r="E29" s="519"/>
      <c r="F29" s="549"/>
      <c r="G29" s="592"/>
      <c r="H29" s="602"/>
      <c r="I29" s="361"/>
      <c r="J29" s="361"/>
      <c r="K29" s="361"/>
      <c r="L29" s="361"/>
      <c r="M29" s="361"/>
      <c r="N29" s="784"/>
    </row>
    <row r="30" spans="2:14">
      <c r="B30" s="546" t="s">
        <v>235</v>
      </c>
      <c r="C30" s="546"/>
      <c r="D30" s="546"/>
      <c r="E30" s="547"/>
      <c r="F30" s="851"/>
      <c r="G30" s="589">
        <f>G15+G17+G19+G21+G23</f>
        <v>-360.8010000000009</v>
      </c>
      <c r="H30" s="600">
        <f>H15+H17+H19+H21+H23</f>
        <v>537.39392207093044</v>
      </c>
      <c r="I30" s="600">
        <f t="shared" ref="I30:M30" si="11">I15+I17+I19+I21+I23</f>
        <v>877.41859268877931</v>
      </c>
      <c r="J30" s="600">
        <f t="shared" si="11"/>
        <v>1325.0429451781706</v>
      </c>
      <c r="K30" s="600">
        <f t="shared" si="11"/>
        <v>2079.1248161070025</v>
      </c>
      <c r="L30" s="600">
        <f t="shared" si="11"/>
        <v>2865.8738952153067</v>
      </c>
      <c r="M30" s="600">
        <f t="shared" si="11"/>
        <v>3869.4039734330631</v>
      </c>
      <c r="N30" s="561"/>
    </row>
    <row r="31" spans="2:14">
      <c r="B31" s="303" t="s">
        <v>236</v>
      </c>
      <c r="E31" s="559"/>
      <c r="F31" s="866">
        <f ca="1">WACC!H8</f>
        <v>9.8174267939294457E-2</v>
      </c>
      <c r="H31" s="563"/>
      <c r="I31" s="562"/>
      <c r="J31" s="562"/>
      <c r="K31" s="562"/>
      <c r="L31" s="562"/>
      <c r="M31" s="562"/>
      <c r="N31" s="562"/>
    </row>
    <row r="32" spans="2:14">
      <c r="B32" s="867" t="s">
        <v>237</v>
      </c>
      <c r="C32" s="867"/>
      <c r="D32" s="867"/>
      <c r="E32" s="868"/>
      <c r="F32" s="869"/>
      <c r="G32" s="870"/>
      <c r="H32" s="865">
        <f ca="1">(H25+H27)/(1+$F$31)^H4</f>
        <v>457.88712320316415</v>
      </c>
      <c r="I32" s="865">
        <f t="shared" ref="I32:M32" ca="1" si="12">(I25+I27)/(1+$F$31)^I4</f>
        <v>546.5791186413403</v>
      </c>
      <c r="J32" s="865">
        <f t="shared" ca="1" si="12"/>
        <v>648.37127537643255</v>
      </c>
      <c r="K32" s="865">
        <f t="shared" ca="1" si="12"/>
        <v>742.57136483583054</v>
      </c>
      <c r="L32" s="865">
        <f t="shared" ca="1" si="12"/>
        <v>799.31702232100611</v>
      </c>
      <c r="M32" s="865">
        <f t="shared" ca="1" si="12"/>
        <v>826.9630364014331</v>
      </c>
      <c r="N32" s="562"/>
    </row>
    <row r="33" spans="2:14">
      <c r="B33" s="550" t="s">
        <v>238</v>
      </c>
      <c r="C33" s="550"/>
      <c r="D33" s="550"/>
      <c r="E33" s="551"/>
      <c r="F33" s="550"/>
      <c r="G33" s="593"/>
      <c r="H33" s="603">
        <f t="shared" ref="H33:M33" ca="1" si="13">H30/(1+$F$31)^H4</f>
        <v>489.35213450169533</v>
      </c>
      <c r="I33" s="552">
        <f t="shared" ca="1" si="13"/>
        <v>727.55244823742373</v>
      </c>
      <c r="J33" s="552">
        <f t="shared" ca="1" si="13"/>
        <v>1000.4978608683037</v>
      </c>
      <c r="K33" s="552">
        <f t="shared" ca="1" si="13"/>
        <v>1429.5373576770112</v>
      </c>
      <c r="L33" s="552">
        <f t="shared" ca="1" si="13"/>
        <v>1794.3235630970839</v>
      </c>
      <c r="M33" s="552">
        <f t="shared" ca="1" si="13"/>
        <v>2206.0558026528356</v>
      </c>
      <c r="N33" s="561"/>
    </row>
    <row r="34" spans="2:14">
      <c r="B34" s="457"/>
      <c r="C34" s="457"/>
      <c r="D34" s="457"/>
      <c r="E34" s="538"/>
      <c r="F34" s="457"/>
      <c r="G34" s="561"/>
      <c r="H34" s="561"/>
      <c r="I34" s="561"/>
      <c r="J34" s="561"/>
      <c r="K34" s="561"/>
      <c r="L34" s="561"/>
      <c r="M34" s="561"/>
      <c r="N34" s="561"/>
    </row>
    <row r="35" spans="2:14">
      <c r="H35" s="561"/>
      <c r="I35" s="561"/>
      <c r="J35" s="561"/>
      <c r="K35" s="561"/>
      <c r="L35" s="561"/>
      <c r="M35" s="561"/>
      <c r="N35" s="561"/>
    </row>
    <row r="36" spans="2:14">
      <c r="E36" s="519"/>
    </row>
    <row r="37" spans="2:14">
      <c r="B37" s="553" t="s">
        <v>239</v>
      </c>
      <c r="C37" s="553"/>
      <c r="D37" s="553"/>
      <c r="E37" s="553"/>
      <c r="F37" s="553"/>
      <c r="G37" s="554"/>
      <c r="I37" s="553" t="s">
        <v>240</v>
      </c>
      <c r="J37" s="555"/>
      <c r="K37" s="555"/>
      <c r="L37" s="555"/>
    </row>
    <row r="38" spans="2:14">
      <c r="B38" s="541" t="s">
        <v>241</v>
      </c>
      <c r="C38" s="541"/>
      <c r="D38" s="541"/>
      <c r="E38" s="541"/>
      <c r="F38" s="541"/>
      <c r="G38" s="864">
        <f ca="1">+SUM(H33:M33)</f>
        <v>7647.3191670343531</v>
      </c>
      <c r="I38" s="541" t="s">
        <v>242</v>
      </c>
      <c r="J38" s="540"/>
      <c r="K38" s="540"/>
      <c r="L38" s="540">
        <f ca="1">'Comp. Multi &amp; Imp. Val'!W13</f>
        <v>260.16000000000003</v>
      </c>
    </row>
    <row r="39" spans="2:14">
      <c r="B39" s="303" t="s">
        <v>243</v>
      </c>
      <c r="G39" s="564">
        <f>'DCF FINAL'!J44</f>
        <v>3.5000000000000003E-2</v>
      </c>
      <c r="I39" s="303" t="s">
        <v>86</v>
      </c>
      <c r="J39" s="519"/>
      <c r="K39" s="519"/>
      <c r="L39" s="519">
        <f ca="1">G51/L38</f>
        <v>168.34367696539366</v>
      </c>
    </row>
    <row r="40" spans="2:14">
      <c r="B40" s="303" t="s">
        <v>244</v>
      </c>
      <c r="G40" s="860">
        <f>M30*(1+G39)</f>
        <v>4004.83311250322</v>
      </c>
      <c r="I40" s="303" t="s">
        <v>245</v>
      </c>
      <c r="J40" s="519"/>
      <c r="K40" s="519"/>
      <c r="L40" s="519">
        <f ca="1">'VWAP LIVE'!I5</f>
        <v>178.1217043977083</v>
      </c>
    </row>
    <row r="41" spans="2:14">
      <c r="B41" s="303" t="s">
        <v>246</v>
      </c>
      <c r="G41" s="860">
        <f ca="1">G40/(F31-G39)</f>
        <v>63393.423353184757</v>
      </c>
      <c r="I41" s="556" t="s">
        <v>247</v>
      </c>
      <c r="J41" s="557"/>
      <c r="K41" s="557"/>
      <c r="L41" s="566">
        <f>F10</f>
        <v>0.25938653060297212</v>
      </c>
    </row>
    <row r="42" spans="2:14">
      <c r="B42" s="303" t="s">
        <v>248</v>
      </c>
      <c r="G42" s="860">
        <f ca="1">G41/(1+F31)^M4</f>
        <v>36142.369832282457</v>
      </c>
      <c r="H42" s="538"/>
      <c r="I42" s="538"/>
      <c r="J42" s="538"/>
      <c r="K42" s="538"/>
      <c r="L42" s="568"/>
    </row>
    <row r="43" spans="2:14">
      <c r="G43" s="860"/>
      <c r="H43" s="538"/>
      <c r="I43" s="538"/>
      <c r="J43" s="538"/>
      <c r="K43" s="538"/>
      <c r="L43" s="568"/>
    </row>
    <row r="44" spans="2:14">
      <c r="B44" s="537" t="s">
        <v>79</v>
      </c>
      <c r="C44" s="333"/>
      <c r="D44" s="333"/>
      <c r="E44" s="333"/>
      <c r="F44" s="333"/>
      <c r="G44" s="333">
        <f ca="1">((M25+M27)*(1+G39))/(F31-G39)</f>
        <v>23763.686213644294</v>
      </c>
      <c r="H44" s="333"/>
      <c r="I44" s="333"/>
      <c r="J44" s="333"/>
      <c r="K44" s="538"/>
      <c r="L44" s="568"/>
    </row>
    <row r="45" spans="2:14">
      <c r="B45" s="537" t="s">
        <v>80</v>
      </c>
      <c r="C45" s="333"/>
      <c r="D45" s="333"/>
      <c r="E45" s="333"/>
      <c r="F45" s="333"/>
      <c r="G45" s="333">
        <f ca="1">G44/(1+F31)^M4</f>
        <v>13548.34445407334</v>
      </c>
      <c r="H45" s="333"/>
      <c r="I45" s="333"/>
      <c r="J45" s="333"/>
      <c r="K45" s="538"/>
      <c r="L45" s="568"/>
    </row>
    <row r="46" spans="2:14">
      <c r="B46" s="537" t="s">
        <v>81</v>
      </c>
      <c r="C46" s="333"/>
      <c r="D46" s="333"/>
      <c r="E46" s="333"/>
      <c r="F46" s="333"/>
      <c r="G46" s="333">
        <f ca="1">SUM(H32:M32)</f>
        <v>4021.6889407792069</v>
      </c>
      <c r="H46" s="333"/>
      <c r="I46" s="333"/>
      <c r="J46" s="333"/>
      <c r="K46" s="538"/>
      <c r="L46" s="568"/>
    </row>
    <row r="47" spans="2:14">
      <c r="G47" s="860"/>
      <c r="H47" s="538"/>
      <c r="I47" s="538"/>
      <c r="J47" s="538"/>
      <c r="K47" s="538"/>
      <c r="L47" s="568"/>
    </row>
    <row r="48" spans="2:14">
      <c r="B48" s="546" t="s">
        <v>249</v>
      </c>
      <c r="C48" s="546"/>
      <c r="D48" s="546"/>
      <c r="E48" s="546"/>
      <c r="F48" s="546"/>
      <c r="G48" s="861">
        <f ca="1">(G38+G42)</f>
        <v>43789.688999316808</v>
      </c>
      <c r="H48" s="538"/>
      <c r="I48" s="538"/>
      <c r="J48" s="538"/>
      <c r="K48" s="538"/>
      <c r="L48" s="538"/>
    </row>
    <row r="49" spans="2:12">
      <c r="B49" s="303" t="s">
        <v>83</v>
      </c>
      <c r="C49" s="457"/>
      <c r="D49" s="457"/>
      <c r="E49" s="457"/>
      <c r="F49" s="457"/>
      <c r="G49" s="862">
        <f>'DCF FINAL'!J56</f>
        <v>1239.5119999999999</v>
      </c>
      <c r="H49" s="538"/>
      <c r="I49" s="538"/>
      <c r="J49" s="538"/>
      <c r="K49" s="538"/>
      <c r="L49" s="538"/>
    </row>
    <row r="50" spans="2:12">
      <c r="B50" s="303" t="s">
        <v>137</v>
      </c>
      <c r="G50" s="863">
        <f>'BS Intergrated'!K58+'BS Intergrated'!K59+'BS Intergrated'!K51</f>
        <v>1232.9099999999999</v>
      </c>
      <c r="H50" s="519"/>
      <c r="I50" s="519"/>
      <c r="J50" s="519"/>
      <c r="K50" s="519"/>
      <c r="L50" s="519"/>
    </row>
    <row r="51" spans="2:12">
      <c r="B51" s="546" t="s">
        <v>65</v>
      </c>
      <c r="C51" s="546"/>
      <c r="D51" s="546"/>
      <c r="E51" s="546"/>
      <c r="F51" s="546"/>
      <c r="G51" s="861">
        <f ca="1">G48+G49-G50</f>
        <v>43796.290999316814</v>
      </c>
      <c r="H51" s="538"/>
      <c r="I51" s="538"/>
      <c r="K51" s="538"/>
      <c r="L51" s="538"/>
    </row>
    <row r="52" spans="2:12">
      <c r="G52" s="519"/>
      <c r="H52" s="519"/>
      <c r="I52" s="519"/>
      <c r="J52" s="519"/>
      <c r="K52" s="519"/>
      <c r="L52" s="519"/>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15D20-230D-4368-B233-C823090DC367}">
  <sheetPr codeName="Sheet7">
    <tabColor rgb="FF0067ED"/>
  </sheetPr>
  <dimension ref="D4:V30"/>
  <sheetViews>
    <sheetView showGridLines="0" topLeftCell="B1" zoomScale="102" workbookViewId="0">
      <selection activeCell="C34" sqref="C34"/>
    </sheetView>
  </sheetViews>
  <sheetFormatPr defaultColWidth="8.7265625" defaultRowHeight="12"/>
  <cols>
    <col min="1" max="3" width="8.7265625" style="230"/>
    <col min="4" max="4" width="11" style="230" customWidth="1"/>
    <col min="5" max="5" width="6.7265625" style="230" bestFit="1" customWidth="1"/>
    <col min="6" max="7" width="7.54296875" style="230" bestFit="1" customWidth="1"/>
    <col min="8" max="10" width="6.7265625" style="230" bestFit="1" customWidth="1"/>
    <col min="11" max="11" width="6.08984375" style="230" bestFit="1" customWidth="1"/>
    <col min="12" max="17" width="5.81640625" style="230" bestFit="1" customWidth="1"/>
    <col min="18" max="19" width="8.7265625" style="230"/>
    <col min="20" max="20" width="12.453125" style="230" customWidth="1"/>
    <col min="21" max="21" width="9.453125" style="230" bestFit="1" customWidth="1"/>
    <col min="22" max="22" width="7.1796875" style="230" customWidth="1"/>
    <col min="23" max="16384" width="8.7265625" style="230"/>
  </cols>
  <sheetData>
    <row r="4" spans="4:22">
      <c r="D4" s="265"/>
    </row>
    <row r="5" spans="4:22">
      <c r="D5" s="747" t="s">
        <v>250</v>
      </c>
      <c r="E5" s="747" t="s">
        <v>251</v>
      </c>
      <c r="F5" s="747" t="s">
        <v>252</v>
      </c>
      <c r="G5" s="754" t="s">
        <v>253</v>
      </c>
      <c r="H5" s="754" t="s">
        <v>254</v>
      </c>
      <c r="I5" s="754" t="s">
        <v>255</v>
      </c>
      <c r="J5" s="754" t="s">
        <v>256</v>
      </c>
      <c r="K5" s="754" t="s">
        <v>257</v>
      </c>
      <c r="L5" s="638" t="s">
        <v>1092</v>
      </c>
      <c r="M5" s="638" t="s">
        <v>1093</v>
      </c>
      <c r="N5" s="638" t="s">
        <v>1094</v>
      </c>
      <c r="O5" s="638" t="s">
        <v>1095</v>
      </c>
      <c r="P5" s="660" t="s">
        <v>1096</v>
      </c>
      <c r="Q5" s="638" t="s">
        <v>1097</v>
      </c>
    </row>
    <row r="6" spans="4:22">
      <c r="D6" s="661" t="s">
        <v>264</v>
      </c>
      <c r="E6" s="661"/>
      <c r="F6" s="661"/>
      <c r="G6" s="662"/>
      <c r="H6" s="662"/>
      <c r="I6" s="662"/>
      <c r="J6" s="662"/>
      <c r="K6" s="662"/>
      <c r="L6" s="662"/>
      <c r="M6" s="662"/>
      <c r="N6" s="662"/>
      <c r="O6" s="662"/>
      <c r="P6" s="663"/>
      <c r="Q6" s="662"/>
    </row>
    <row r="7" spans="4:22">
      <c r="D7" s="388" t="s">
        <v>265</v>
      </c>
      <c r="E7" s="664">
        <f>'DCF FINAL'!D13/'DCF FINAL'!D11</f>
        <v>0.88624019854129643</v>
      </c>
      <c r="F7" s="664">
        <f>'DCF FINAL'!E13/'DCF FINAL'!E11</f>
        <v>0.87848589749235573</v>
      </c>
      <c r="G7" s="664">
        <f>'DCF FINAL'!F13/'DCF FINAL'!F11</f>
        <v>0.85359569186287543</v>
      </c>
      <c r="H7" s="664">
        <f>'DCF FINAL'!G13/'DCF FINAL'!G11</f>
        <v>0.83554651992122553</v>
      </c>
      <c r="I7" s="664">
        <f>'DCF FINAL'!H13/'DCF FINAL'!H11</f>
        <v>0.83371805140316746</v>
      </c>
      <c r="J7" s="664">
        <f>'DCF FINAL'!I13/'DCF FINAL'!I11</f>
        <v>0.84351573752939424</v>
      </c>
      <c r="K7" s="664">
        <f>'DCF FINAL'!J13/'DCF FINAL'!J11</f>
        <v>0.86973191152940488</v>
      </c>
      <c r="L7" s="664">
        <f>'DCF FINAL'!K13/'DCF FINAL'!K11</f>
        <v>0.84159400017916564</v>
      </c>
      <c r="M7" s="664">
        <f>'DCF FINAL'!L13/'DCF FINAL'!L11</f>
        <v>0.83659400017916563</v>
      </c>
      <c r="N7" s="664">
        <f>'DCF FINAL'!M13/'DCF FINAL'!M11</f>
        <v>0.83159400017916563</v>
      </c>
      <c r="O7" s="664">
        <f>'DCF FINAL'!N13/'DCF FINAL'!N11</f>
        <v>0.82659400017916573</v>
      </c>
      <c r="P7" s="664">
        <f>'DCF FINAL'!O13/'DCF FINAL'!O11</f>
        <v>0.82159400017916573</v>
      </c>
      <c r="Q7" s="664">
        <f>'DCF FINAL'!P13/'DCF FINAL'!P11</f>
        <v>0.81659400017916561</v>
      </c>
    </row>
    <row r="8" spans="4:22">
      <c r="D8" s="467" t="s">
        <v>266</v>
      </c>
      <c r="E8" s="665">
        <f>'IS Intergrated'!E55/'IS Intergrated'!E10</f>
        <v>6.1495886748198496E-2</v>
      </c>
      <c r="F8" s="665">
        <f>'IS Intergrated'!F55/'IS Intergrated'!F10</f>
        <v>8.7977207759011883E-2</v>
      </c>
      <c r="G8" s="665">
        <f>'IS Intergrated'!G55/'IS Intergrated'!G10</f>
        <v>-1.8232661952947121E-2</v>
      </c>
      <c r="H8" s="665">
        <f>'IS Intergrated'!H55/'IS Intergrated'!H10</f>
        <v>-8.282071731632612E-2</v>
      </c>
      <c r="I8" s="665">
        <f>'IS Intergrated'!I55/'IS Intergrated'!I10</f>
        <v>-8.7961670287473575E-3</v>
      </c>
      <c r="J8" s="665">
        <f>'IS Intergrated'!J55/'IS Intergrated'!J10</f>
        <v>-9.9043123852413928E-3</v>
      </c>
      <c r="K8" s="665">
        <f>'IS Intergrated'!K55/'IS Intergrated'!K10</f>
        <v>2.2978685721971513E-2</v>
      </c>
      <c r="L8" s="833">
        <f>'IS Intergrated'!L55/'IS Intergrated'!L10</f>
        <v>2.5052620578717683E-2</v>
      </c>
      <c r="M8" s="833">
        <f>'IS Intergrated'!M55/'IS Intergrated'!M10</f>
        <v>4.0052620578717536E-2</v>
      </c>
      <c r="N8" s="833">
        <f>'IS Intergrated'!N55/'IS Intergrated'!N10</f>
        <v>5.5052620578717515E-2</v>
      </c>
      <c r="O8" s="833">
        <f>'IS Intergrated'!O55/'IS Intergrated'!O10</f>
        <v>9.0052620578717657E-2</v>
      </c>
      <c r="P8" s="833">
        <f>'IS Intergrated'!P55/'IS Intergrated'!P10</f>
        <v>0.12505262057871769</v>
      </c>
      <c r="Q8" s="833">
        <f>'IS Intergrated'!Q55/'IS Intergrated'!Q10</f>
        <v>0.16005262057871764</v>
      </c>
    </row>
    <row r="9" spans="4:22">
      <c r="D9" s="388" t="s">
        <v>267</v>
      </c>
      <c r="E9" s="992">
        <f>'IS Intergrated'!E41/'IS Intergrated'!E10</f>
        <v>-0.2172344599990213</v>
      </c>
      <c r="F9" s="992">
        <f>'IS Intergrated'!F41/'IS Intergrated'!F10</f>
        <v>-0.33330349638031487</v>
      </c>
      <c r="G9" s="992">
        <f>'IS Intergrated'!G41/'IS Intergrated'!G10</f>
        <v>-0.21910447888994272</v>
      </c>
      <c r="H9" s="992">
        <f>'IS Intergrated'!H41/'IS Intergrated'!H10</f>
        <v>-0.13771134713027927</v>
      </c>
      <c r="I9" s="992">
        <f>'IS Intergrated'!I41/'IS Intergrated'!I10</f>
        <v>-6.8948468121551629E-2</v>
      </c>
      <c r="J9" s="992">
        <f>'IS Intergrated'!J41/'IS Intergrated'!J10</f>
        <v>-4.9218032160732901E-2</v>
      </c>
      <c r="K9" s="992">
        <f>'IS Intergrated'!K41/'IS Intergrated'!K10</f>
        <v>-8.1904256465157831E-3</v>
      </c>
      <c r="L9" s="992">
        <f>'IS Intergrated'!L41/'IS Intergrated'!L10</f>
        <v>6.2349575815925998E-3</v>
      </c>
      <c r="M9" s="992">
        <f>'IS Intergrated'!M41/'IS Intergrated'!M10</f>
        <v>2.0107073499769739E-2</v>
      </c>
      <c r="N9" s="992">
        <f>'IS Intergrated'!N41/'IS Intergrated'!N10</f>
        <v>3.3509287585698162E-2</v>
      </c>
      <c r="O9" s="992">
        <f>'IS Intergrated'!O41/'IS Intergrated'!O10</f>
        <v>6.2074366049497121E-2</v>
      </c>
      <c r="P9" s="992">
        <f>'IS Intergrated'!P41/'IS Intergrated'!P10</f>
        <v>9.4491579898720285E-2</v>
      </c>
      <c r="Q9" s="992">
        <f>'IS Intergrated'!Q41/'IS Intergrated'!Q10</f>
        <v>0.12409426982544941</v>
      </c>
      <c r="R9" s="388"/>
    </row>
    <row r="10" spans="4:22">
      <c r="D10" s="467" t="s">
        <v>268</v>
      </c>
      <c r="E10" s="666" t="s">
        <v>269</v>
      </c>
      <c r="F10" s="834">
        <f>'IS Intergrated'!F10/(('BS Intergrated'!F42+'BS Intergrated'!E42)/2)</f>
        <v>0.61090946946347457</v>
      </c>
      <c r="G10" s="834">
        <f>'IS Intergrated'!G10/(('BS Intergrated'!G42+'BS Intergrated'!F42)/2)</f>
        <v>0.88887965686468817</v>
      </c>
      <c r="H10" s="834">
        <f>'IS Intergrated'!H10/(('BS Intergrated'!H42+'BS Intergrated'!G42)/2)</f>
        <v>0.94661204245583985</v>
      </c>
      <c r="I10" s="834">
        <f>'IS Intergrated'!I10/(('BS Intergrated'!I42+'BS Intergrated'!H42)/2)</f>
        <v>0.93543072900492152</v>
      </c>
      <c r="J10" s="834">
        <f>'IS Intergrated'!J10/(('BS Intergrated'!J42+'BS Intergrated'!I42)/2)</f>
        <v>0.92682713140265383</v>
      </c>
      <c r="K10" s="834">
        <f>'IS Intergrated'!K10/(('BS Intergrated'!K42+'BS Intergrated'!J42)/2)</f>
        <v>1.0822623261506177</v>
      </c>
      <c r="L10" s="834">
        <f>'IS Intergrated'!L10/(('BS Intergrated'!L42+'BS Intergrated'!K42)/2)</f>
        <v>1.1966915734056653</v>
      </c>
      <c r="M10" s="834">
        <f>'IS Intergrated'!M10/(('BS Intergrated'!M42+'BS Intergrated'!L42)/2)</f>
        <v>1.3016541543676428</v>
      </c>
      <c r="N10" s="834">
        <f>'IS Intergrated'!N10/(('BS Intergrated'!N42+'BS Intergrated'!M42)/2)</f>
        <v>1.3403523481467985</v>
      </c>
      <c r="O10" s="834">
        <f>'IS Intergrated'!O10/(('BS Intergrated'!O42+'BS Intergrated'!N42)/2)</f>
        <v>1.3229584457785317</v>
      </c>
      <c r="P10" s="834">
        <f>'IS Intergrated'!P10/(('BS Intergrated'!P42+'BS Intergrated'!O42)/2)</f>
        <v>1.2401037125668748</v>
      </c>
      <c r="Q10" s="834">
        <f>'IS Intergrated'!Q10/(('BS Intergrated'!Q42+'BS Intergrated'!P42)/2)</f>
        <v>1.1295075337152867</v>
      </c>
    </row>
    <row r="11" spans="4:22">
      <c r="D11" s="668" t="s">
        <v>270</v>
      </c>
      <c r="E11" s="669" t="s">
        <v>269</v>
      </c>
      <c r="F11" s="670">
        <f>'IS Intergrated'!F41/(('BS Intergrated'!F42+'BS Intergrated'!E42)/2)</f>
        <v>-0.20361826214401926</v>
      </c>
      <c r="G11" s="670">
        <f>'IS Intergrated'!G41/(('BS Intergrated'!G42+'BS Intergrated'!F42)/2)</f>
        <v>-0.19475751401320859</v>
      </c>
      <c r="H11" s="670">
        <f>'IS Intergrated'!H41/(('BS Intergrated'!H42+'BS Intergrated'!G42)/2)</f>
        <v>-0.13035921957633881</v>
      </c>
      <c r="I11" s="670">
        <f>'IS Intergrated'!I41/(('BS Intergrated'!I42+'BS Intergrated'!H42)/2)</f>
        <v>-6.449651579871564E-2</v>
      </c>
      <c r="J11" s="670">
        <f>'IS Intergrated'!J41/(('BS Intergrated'!J42+'BS Intergrated'!I42)/2)</f>
        <v>-4.5616607560815634E-2</v>
      </c>
      <c r="K11" s="670">
        <f>'IS Intergrated'!K41/(('BS Intergrated'!K42+'BS Intergrated'!J42)/2)</f>
        <v>-8.864189112361847E-3</v>
      </c>
      <c r="L11" s="670">
        <f>'IS Intergrated'!L41/(('BS Intergrated'!L42+'BS Intergrated'!K42)/2)</f>
        <v>7.4613211984336306E-3</v>
      </c>
      <c r="M11" s="670">
        <f>'IS Intergrated'!M41/(('BS Intergrated'!M42+'BS Intergrated'!L42)/2)</f>
        <v>2.6172455753150817E-2</v>
      </c>
      <c r="N11" s="670">
        <f>'IS Intergrated'!N41/(('BS Intergrated'!N42+'BS Intergrated'!M42)/2)</f>
        <v>4.4914252300216895E-2</v>
      </c>
      <c r="O11" s="670">
        <f>'IS Intergrated'!O41/(('BS Intergrated'!O42+'BS Intergrated'!N42)/2)</f>
        <v>8.2121806831530378E-2</v>
      </c>
      <c r="P11" s="670">
        <f>'IS Intergrated'!P41/(('BS Intergrated'!P42+'BS Intergrated'!O42)/2)</f>
        <v>0.1171793590387125</v>
      </c>
      <c r="Q11" s="670">
        <f>'IS Intergrated'!Q41/(('BS Intergrated'!Q42+'BS Intergrated'!P42)/2)</f>
        <v>0.14016541265874266</v>
      </c>
    </row>
    <row r="12" spans="4:22">
      <c r="D12" s="671" t="s">
        <v>271</v>
      </c>
      <c r="E12" s="672" t="s">
        <v>269</v>
      </c>
      <c r="F12" s="667">
        <f>(AVERAGE('BS Intergrated'!E42:F42)/AVERAGE('BS Intergrated'!E72:F72))</f>
        <v>7.8594102640711574</v>
      </c>
      <c r="G12" s="667">
        <f>(AVERAGE('BS Intergrated'!F42:G42)/AVERAGE('BS Intergrated'!F72:G72))</f>
        <v>10.002188680083162</v>
      </c>
      <c r="H12" s="667">
        <f>(AVERAGE('BS Intergrated'!G42:H42)/AVERAGE('BS Intergrated'!G72:H72))</f>
        <v>7.5412583246237173</v>
      </c>
      <c r="I12" s="667">
        <f>(AVERAGE('BS Intergrated'!H42:I42)/AVERAGE('BS Intergrated'!H72:I72))</f>
        <v>5.5222161581432774</v>
      </c>
      <c r="J12" s="667">
        <f>(AVERAGE('BS Intergrated'!I42:J42)/AVERAGE('BS Intergrated'!I72:J72))</f>
        <v>4.7315928260728812</v>
      </c>
      <c r="K12" s="667">
        <f>(AVERAGE('BS Intergrated'!J42:K42)/AVERAGE('BS Intergrated'!J72:K72))</f>
        <v>5.0520151075874855</v>
      </c>
      <c r="L12" s="667">
        <f>(AVERAGE('BS Intergrated'!K42:L42)/AVERAGE('BS Intergrated'!K72:L72))</f>
        <v>5.8237680361677038</v>
      </c>
      <c r="M12" s="667">
        <f>(AVERAGE('BS Intergrated'!L42:M42)/AVERAGE('BS Intergrated'!L72:M72))</f>
        <v>5.8597645171400359</v>
      </c>
      <c r="N12" s="667">
        <f>(AVERAGE('BS Intergrated'!M42:N42)/AVERAGE('BS Intergrated'!M72:N72))</f>
        <v>5.5769553089591284</v>
      </c>
      <c r="O12" s="667">
        <f>(AVERAGE('BS Intergrated'!N42:O42)/AVERAGE('BS Intergrated'!N72:O72))</f>
        <v>4.7594197749918612</v>
      </c>
      <c r="P12" s="667">
        <f>(AVERAGE('BS Intergrated'!O42:P42)/AVERAGE('BS Intergrated'!O72:P72))</f>
        <v>3.746919732445293</v>
      </c>
      <c r="Q12" s="667">
        <f>(AVERAGE('BS Intergrated'!P42:Q42)/AVERAGE('BS Intergrated'!P72:Q72))</f>
        <v>2.9478971175883579</v>
      </c>
    </row>
    <row r="13" spans="4:22" ht="12.5" thickBot="1">
      <c r="D13" s="388" t="s">
        <v>272</v>
      </c>
      <c r="E13" s="993" t="s">
        <v>269</v>
      </c>
      <c r="F13" s="992">
        <f>'IS Intergrated'!F41/(AVERAGE('BS Intergrated'!E72:F72))</f>
        <v>-1.6003194594470367</v>
      </c>
      <c r="G13" s="992">
        <f>'IS Intergrated'!G41/(AVERAGE('BS Intergrated'!F72:G72))</f>
        <v>-1.9480014020240528</v>
      </c>
      <c r="H13" s="992">
        <f>'IS Intergrated'!H41/(AVERAGE('BS Intergrated'!G72:H72))</f>
        <v>-0.98307254982151615</v>
      </c>
      <c r="I13" s="992">
        <f>'IS Intergrated'!I41/(AVERAGE('BS Intergrated'!H72:I72))</f>
        <v>-0.35616370168761063</v>
      </c>
      <c r="J13" s="992">
        <f>'IS Intergrated'!J41/(AVERAGE('BS Intergrated'!I72:J72))</f>
        <v>-0.21583921308453718</v>
      </c>
      <c r="K13" s="1012">
        <f>'IS Intergrated'!K41/(AVERAGE('BS Intergrated'!J72:K72))</f>
        <v>-4.4782017312164558E-2</v>
      </c>
      <c r="L13" s="992">
        <f>'IS Intergrated'!L41/(AVERAGE('BS Intergrated'!K72:L72))</f>
        <v>4.3453003903018282E-2</v>
      </c>
      <c r="M13" s="992">
        <f>'IS Intergrated'!M41/(AVERAGE('BS Intergrated'!L72:M72))</f>
        <v>0.15336442754873075</v>
      </c>
      <c r="N13" s="992">
        <f>'IS Intergrated'!N41/(AVERAGE('BS Intergrated'!M72:N72))</f>
        <v>0.25048477781362438</v>
      </c>
      <c r="O13" s="992">
        <f>'IS Intergrated'!O41/(AVERAGE('BS Intergrated'!N72:O72))</f>
        <v>0.39085215139204738</v>
      </c>
      <c r="P13" s="992">
        <f>'IS Intergrated'!P41/(AVERAGE('BS Intergrated'!O72:P72))</f>
        <v>0.43906165261744357</v>
      </c>
      <c r="Q13" s="992">
        <f>'IS Intergrated'!Q41/(AVERAGE('BS Intergrated'!P72:Q72))</f>
        <v>0.41319321596229031</v>
      </c>
      <c r="T13" s="1009"/>
      <c r="U13" s="1013" t="s">
        <v>273</v>
      </c>
      <c r="V13" s="1013" t="s">
        <v>274</v>
      </c>
    </row>
    <row r="14" spans="4:22" ht="12.5" thickTop="1">
      <c r="D14" s="388" t="s">
        <v>122</v>
      </c>
      <c r="E14" s="673" t="s">
        <v>269</v>
      </c>
      <c r="F14" s="664">
        <f>('DCF FINAL'!E11/'DCF FINAL'!D11-1)+('CF Intergrated'!F53/'DCF FINAL'!E11)</f>
        <v>0.62375921188118966</v>
      </c>
      <c r="G14" s="664">
        <f>('DCF FINAL'!F11/'DCF FINAL'!E11-1)+('CF Intergrated'!G53/'DCF FINAL'!F11)</f>
        <v>0.57420577178630616</v>
      </c>
      <c r="H14" s="664">
        <f>('DCF FINAL'!G11/'DCF FINAL'!F11-1)+('CF Intergrated'!H53/'DCF FINAL'!G11)</f>
        <v>0.49937383320989825</v>
      </c>
      <c r="I14" s="664">
        <f>('DCF FINAL'!H11/'DCF FINAL'!G11-1)+('CF Intergrated'!I53/'DCF FINAL'!H11)</f>
        <v>0.55776451458673915</v>
      </c>
      <c r="J14" s="664">
        <f>('DCF FINAL'!I11/'DCF FINAL'!H11-1)+('CF Intergrated'!J53/'DCF FINAL'!I11)</f>
        <v>0.46797502830874349</v>
      </c>
      <c r="K14" s="664">
        <f>('DCF FINAL'!J11/'DCF FINAL'!I11-1)+('CF Intergrated'!K53/'DCF FINAL'!J11)</f>
        <v>0.46089756156203598</v>
      </c>
      <c r="L14" s="664">
        <f>('DCF FINAL'!K11/'DCF FINAL'!J11-1)+('CF Intergrated'!L53/'DCF FINAL'!K11)</f>
        <v>0.4551201038769655</v>
      </c>
      <c r="M14" s="664">
        <f>('DCF FINAL'!L11/'DCF FINAL'!K11-1)+('CF Intergrated'!M53/'DCF FINAL'!L11)</f>
        <v>0.52766202448115862</v>
      </c>
      <c r="N14" s="664">
        <f>('DCF FINAL'!M11/'DCF FINAL'!L11-1)+('CF Intergrated'!N53/'DCF FINAL'!M11)</f>
        <v>0.52816695187735663</v>
      </c>
      <c r="O14" s="664">
        <f>('DCF FINAL'!N11/'DCF FINAL'!M11-1)+('CF Intergrated'!O53/'DCF FINAL'!N11)</f>
        <v>0.51493811769619979</v>
      </c>
      <c r="P14" s="664">
        <f>('DCF FINAL'!O11/'DCF FINAL'!N11-1)+('CF Intergrated'!P53/'DCF FINAL'!O11)</f>
        <v>0.47800112327835559</v>
      </c>
      <c r="Q14" s="664">
        <f>('DCF FINAL'!P11/'DCF FINAL'!O11-1)+('CF Intergrated'!Q53/'DCF FINAL'!P11)</f>
        <v>0.46512263599013937</v>
      </c>
      <c r="T14" s="1010" t="s">
        <v>275</v>
      </c>
      <c r="U14" s="1014">
        <v>1</v>
      </c>
      <c r="V14" s="1015">
        <f ca="1">'DCF FINAL'!J61</f>
        <v>107.76789341695988</v>
      </c>
    </row>
    <row r="15" spans="4:22">
      <c r="D15" s="661" t="s">
        <v>276</v>
      </c>
      <c r="E15" s="674"/>
      <c r="F15" s="674"/>
      <c r="G15" s="675"/>
      <c r="H15" s="675"/>
      <c r="I15" s="675"/>
      <c r="J15" s="675"/>
      <c r="K15" s="675"/>
      <c r="L15" s="675"/>
      <c r="M15" s="675"/>
      <c r="N15" s="675"/>
      <c r="O15" s="675"/>
      <c r="P15" s="675"/>
      <c r="Q15" s="675"/>
      <c r="T15" s="1010" t="s">
        <v>277</v>
      </c>
      <c r="U15" s="1016">
        <v>0</v>
      </c>
      <c r="V15" s="1015">
        <f>83.6</f>
        <v>83.6</v>
      </c>
    </row>
    <row r="16" spans="4:22" ht="12.5" thickBot="1">
      <c r="D16" s="388" t="s">
        <v>278</v>
      </c>
      <c r="E16" s="676">
        <f>'BS Intergrated'!E18/'BS Intergrated'!E54</f>
        <v>0.87577990969196506</v>
      </c>
      <c r="F16" s="676">
        <f>'BS Intergrated'!F18/'BS Intergrated'!F54</f>
        <v>0.70454469697330446</v>
      </c>
      <c r="G16" s="676">
        <f>'BS Intergrated'!G18/'BS Intergrated'!G54</f>
        <v>1.1914600239891195</v>
      </c>
      <c r="H16" s="676">
        <f>'BS Intergrated'!H18/'BS Intergrated'!H54</f>
        <v>1.3495647542155957</v>
      </c>
      <c r="I16" s="676">
        <f>'BS Intergrated'!I18/'BS Intergrated'!I54</f>
        <v>1.1785883133611172</v>
      </c>
      <c r="J16" s="676">
        <f>'BS Intergrated'!J18/'BS Intergrated'!J54</f>
        <v>1.223327827488272</v>
      </c>
      <c r="K16" s="676">
        <f>'BS Intergrated'!K18/'BS Intergrated'!K54</f>
        <v>0.78325942117497227</v>
      </c>
      <c r="L16" s="676">
        <f>'BS Intergrated'!L18/'BS Intergrated'!L54</f>
        <v>0.725803077263798</v>
      </c>
      <c r="M16" s="676">
        <f>'BS Intergrated'!M18/'BS Intergrated'!M54</f>
        <v>0.68962085983192267</v>
      </c>
      <c r="N16" s="676">
        <f>'BS Intergrated'!N18/'BS Intergrated'!N54</f>
        <v>0.66119021444900072</v>
      </c>
      <c r="O16" s="676">
        <f>'BS Intergrated'!O18/'BS Intergrated'!O54</f>
        <v>0.66434341286729548</v>
      </c>
      <c r="P16" s="676">
        <f>'BS Intergrated'!P18/'BS Intergrated'!P54</f>
        <v>0.68945027110072843</v>
      </c>
      <c r="Q16" s="676">
        <f>'BS Intergrated'!Q18/'BS Intergrated'!Q54</f>
        <v>0.74253798524345827</v>
      </c>
      <c r="T16" s="1018" t="s">
        <v>279</v>
      </c>
      <c r="U16" s="1019" t="s">
        <v>269</v>
      </c>
      <c r="V16" s="1020">
        <v>108.26452465624638</v>
      </c>
    </row>
    <row r="17" spans="4:22" ht="13" thickTop="1" thickBot="1">
      <c r="D17" s="388" t="s">
        <v>280</v>
      </c>
      <c r="E17" s="676">
        <f>('BS Intergrated'!E11+'BS Intergrated'!E12+'BS Intergrated'!E13)/'BS Intergrated'!E54</f>
        <v>0.7513170059815576</v>
      </c>
      <c r="F17" s="676">
        <f>('BS Intergrated'!F11+'BS Intergrated'!F12+'BS Intergrated'!F13)/'BS Intergrated'!F54</f>
        <v>0.60852567368726818</v>
      </c>
      <c r="G17" s="676">
        <f>('BS Intergrated'!G11+'BS Intergrated'!G12+'BS Intergrated'!G13)/'BS Intergrated'!G54</f>
        <v>1.1082960698996773</v>
      </c>
      <c r="H17" s="676">
        <f>('BS Intergrated'!H11+'BS Intergrated'!H12+'BS Intergrated'!H13)/'BS Intergrated'!H54</f>
        <v>1.2774910114964071</v>
      </c>
      <c r="I17" s="676">
        <f>('BS Intergrated'!I11+'BS Intergrated'!I12+'BS Intergrated'!I13)/'BS Intergrated'!I54</f>
        <v>1.1367083428156339</v>
      </c>
      <c r="J17" s="676">
        <f>('BS Intergrated'!J11+'BS Intergrated'!J12+'BS Intergrated'!J13)/'BS Intergrated'!J54</f>
        <v>1.1680619907433896</v>
      </c>
      <c r="K17" s="676">
        <f>('BS Intergrated'!K11+'BS Intergrated'!K12+'BS Intergrated'!K13)/'BS Intergrated'!K54</f>
        <v>0.70270706955303519</v>
      </c>
      <c r="L17" s="676">
        <f>('BS Intergrated'!L11+'BS Intergrated'!L12+'BS Intergrated'!L13)/'BS Intergrated'!L54</f>
        <v>0.63779783448710059</v>
      </c>
      <c r="M17" s="676">
        <f>('BS Intergrated'!M11+'BS Intergrated'!M12+'BS Intergrated'!M13)/'BS Intergrated'!M54</f>
        <v>0.60316875631513767</v>
      </c>
      <c r="N17" s="676">
        <f>('BS Intergrated'!N11+'BS Intergrated'!N12+'BS Intergrated'!N13)/'BS Intergrated'!N54</f>
        <v>0.57634997763545115</v>
      </c>
      <c r="O17" s="676">
        <f>('BS Intergrated'!O11+'BS Intergrated'!O12+'BS Intergrated'!O13)/'BS Intergrated'!O54</f>
        <v>0.58298498553195055</v>
      </c>
      <c r="P17" s="676">
        <f>('BS Intergrated'!P11+'BS Intergrated'!P12+'BS Intergrated'!P13)/'BS Intergrated'!P54</f>
        <v>0.61168933286725602</v>
      </c>
      <c r="Q17" s="676">
        <f>('BS Intergrated'!Q11+'BS Intergrated'!Q12+'BS Intergrated'!Q13)/'BS Intergrated'!Q54</f>
        <v>0.66847179521564948</v>
      </c>
      <c r="T17" s="1011" t="s">
        <v>281</v>
      </c>
      <c r="U17" s="1017" t="s">
        <v>269</v>
      </c>
      <c r="V17" s="1021">
        <v>-0.36850965769586813</v>
      </c>
    </row>
    <row r="18" spans="4:22" ht="12.5" thickTop="1">
      <c r="D18" s="661" t="s">
        <v>282</v>
      </c>
      <c r="E18" s="674"/>
      <c r="F18" s="674"/>
      <c r="G18" s="675"/>
      <c r="H18" s="675"/>
      <c r="I18" s="675"/>
      <c r="J18" s="675"/>
      <c r="K18" s="675"/>
      <c r="L18" s="675"/>
      <c r="M18" s="675"/>
      <c r="N18" s="675"/>
      <c r="O18" s="675"/>
      <c r="P18" s="675"/>
      <c r="Q18" s="675"/>
    </row>
    <row r="19" spans="4:22">
      <c r="D19" s="388" t="s">
        <v>283</v>
      </c>
      <c r="E19" s="676">
        <f>-('IS Intergrated'!E29/'IS Intergrated'!E34)</f>
        <v>0.28393469058657095</v>
      </c>
      <c r="F19" s="676">
        <f>-('IS Intergrated'!F29/'IS Intergrated'!F34)</f>
        <v>0.82822520841312675</v>
      </c>
      <c r="G19" s="676">
        <f>-('IS Intergrated'!G29/'IS Intergrated'!G34)</f>
        <v>-4.1224055142503229</v>
      </c>
      <c r="H19" s="676">
        <f>-('IS Intergrated'!H29/'IS Intergrated'!H34)</f>
        <v>-11.451288685441344</v>
      </c>
      <c r="I19" s="676">
        <f>-('IS Intergrated'!I29/'IS Intergrated'!I34)</f>
        <v>-3.4356604161164221</v>
      </c>
      <c r="J19" s="676">
        <f>-('IS Intergrated'!J29/'IS Intergrated'!J34)</f>
        <v>-4.268150572831388</v>
      </c>
      <c r="K19" s="676">
        <f>-('IS Intergrated'!K29/'IS Intergrated'!K34)</f>
        <v>0.20936299292212651</v>
      </c>
      <c r="L19" s="676">
        <f>-('IS Intergrated'!L29/'IS Intergrated'!L34)</f>
        <v>0.91585891074499604</v>
      </c>
      <c r="M19" s="676">
        <f>-('IS Intergrated'!M29/'IS Intergrated'!M34)</f>
        <v>4.0249044496601041</v>
      </c>
      <c r="N19" s="676">
        <f>-('IS Intergrated'!N29/'IS Intergrated'!N34)</f>
        <v>8.2818484068562235</v>
      </c>
      <c r="O19" s="676">
        <f>-('IS Intergrated'!O29/'IS Intergrated'!O34)</f>
        <v>18.449383083108838</v>
      </c>
      <c r="P19" s="676">
        <f>-('IS Intergrated'!P29/'IS Intergrated'!P34)</f>
        <v>31.930893974730036</v>
      </c>
      <c r="Q19" s="676">
        <f>-('IS Intergrated'!Q29/'IS Intergrated'!Q34)</f>
        <v>46.112245135940043</v>
      </c>
    </row>
    <row r="20" spans="4:22">
      <c r="D20" s="388" t="s">
        <v>284</v>
      </c>
      <c r="E20" s="676">
        <f>('BS Intergrated'!E59+'BS Intergrated'!E48)/'IS Intergrated'!E55</f>
        <v>2.5125472220823095</v>
      </c>
      <c r="F20" s="676">
        <f>('BS Intergrated'!F59+'BS Intergrated'!F48)/'IS Intergrated'!F55</f>
        <v>1.393686478487018</v>
      </c>
      <c r="G20" s="676">
        <f>('BS Intergrated'!G59+'BS Intergrated'!G48)/'IS Intergrated'!G55</f>
        <v>-5.8860558860362815</v>
      </c>
      <c r="H20" s="676">
        <f>('BS Intergrated'!H59+'BS Intergrated'!H48)/'IS Intergrated'!H55</f>
        <v>-0.81243893940739575</v>
      </c>
      <c r="I20" s="676">
        <f>('BS Intergrated'!I59+'BS Intergrated'!I48)/'IS Intergrated'!I55</f>
        <v>-5.5941469521897762</v>
      </c>
      <c r="J20" s="676">
        <f>('BS Intergrated'!J59+'BS Intergrated'!J48)/'IS Intergrated'!J55</f>
        <v>-3.9006272505518256</v>
      </c>
      <c r="K20" s="676">
        <f>('BS Intergrated'!K59+'BS Intergrated'!K48)/'IS Intergrated'!K55</f>
        <v>1.2901412367652683</v>
      </c>
      <c r="L20" s="676">
        <f>('BS Intergrated'!L59+'BS Intergrated'!L48)/'IS Intergrated'!L55</f>
        <v>1.0314195097711565</v>
      </c>
      <c r="M20" s="676">
        <f>('BS Intergrated'!M59+'BS Intergrated'!M48)/'IS Intergrated'!M55</f>
        <v>0.53270238192920039</v>
      </c>
      <c r="N20" s="676">
        <f>('BS Intergrated'!N59+'BS Intergrated'!N48)/'IS Intergrated'!N55</f>
        <v>0.3212901402837201</v>
      </c>
      <c r="O20" s="676">
        <f>('BS Intergrated'!O59+'BS Intergrated'!O48)/'IS Intergrated'!O55</f>
        <v>0.16673041783010695</v>
      </c>
      <c r="P20" s="676">
        <f>('BS Intergrated'!P59+'BS Intergrated'!P48)/'IS Intergrated'!P55</f>
        <v>0.10622316638030037</v>
      </c>
      <c r="Q20" s="676">
        <f>('BS Intergrated'!Q59+'BS Intergrated'!Q48)/'IS Intergrated'!Q55</f>
        <v>7.534968898743262E-2</v>
      </c>
    </row>
    <row r="25" spans="4:22" ht="20.149999999999999" customHeight="1"/>
    <row r="26" spans="4:22" ht="13.5" customHeight="1">
      <c r="T26" s="646" t="s">
        <v>285</v>
      </c>
      <c r="U26" s="1007">
        <f>'VWAP LIVE'!I7</f>
        <v>0</v>
      </c>
    </row>
    <row r="27" spans="4:22" ht="16" customHeight="1">
      <c r="T27" s="646" t="s">
        <v>286</v>
      </c>
      <c r="U27" s="644" t="s">
        <v>287</v>
      </c>
    </row>
    <row r="28" spans="4:22" ht="15" customHeight="1">
      <c r="T28" s="646" t="s">
        <v>288</v>
      </c>
      <c r="U28" s="644" t="s">
        <v>289</v>
      </c>
    </row>
    <row r="29" spans="4:22" ht="16" customHeight="1">
      <c r="T29" s="646" t="s">
        <v>290</v>
      </c>
      <c r="U29" s="1008">
        <v>198.6</v>
      </c>
    </row>
    <row r="30" spans="4:22" ht="14.5" customHeight="1">
      <c r="T30" s="646" t="s">
        <v>291</v>
      </c>
      <c r="U30" s="1008">
        <v>56.01</v>
      </c>
    </row>
  </sheetData>
  <conditionalFormatting sqref="P5:P6">
    <cfRule type="colorScale" priority="1">
      <colorScale>
        <cfvo type="min"/>
        <cfvo type="num" val="$W$29"/>
        <cfvo type="max"/>
        <color rgb="FFB3D1FA"/>
        <color rgb="FFFFFFFF"/>
        <color rgb="FF0067ED"/>
      </colorScale>
    </cfRule>
    <cfRule type="colorScale" priority="2">
      <colorScale>
        <cfvo type="min"/>
        <cfvo type="percentile" val="50"/>
        <cfvo type="max"/>
        <color rgb="FFF8696B"/>
        <color rgb="FFFCFCFF"/>
        <color rgb="FF5A8AC6"/>
      </colorScale>
    </cfRule>
    <cfRule type="colorScale" priority="3">
      <colorScale>
        <cfvo type="min"/>
        <cfvo type="percentile" val="50"/>
        <cfvo type="max"/>
        <color rgb="FF5A8AC6"/>
        <color rgb="FFFCFCFF"/>
        <color rgb="FFF8696B"/>
      </colorScale>
    </cfRule>
  </conditionalFormatting>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E44E7C-0AD3-4D10-A38C-74AA34A5D1BF}">
  <sheetPr codeName="Sheet8">
    <tabColor rgb="FF0067ED"/>
  </sheetPr>
  <dimension ref="A1:I18"/>
  <sheetViews>
    <sheetView showGridLines="0" topLeftCell="A17" zoomScale="113" workbookViewId="0">
      <selection activeCell="F24" sqref="F24"/>
    </sheetView>
  </sheetViews>
  <sheetFormatPr defaultColWidth="8.7265625" defaultRowHeight="12"/>
  <cols>
    <col min="1" max="2" width="8.7265625" style="230"/>
    <col min="3" max="3" width="15.26953125" style="230" bestFit="1" customWidth="1"/>
    <col min="4" max="4" width="12.1796875" style="230" customWidth="1"/>
    <col min="5" max="5" width="8.7265625" style="230"/>
    <col min="6" max="6" width="18.81640625" style="230" customWidth="1"/>
    <col min="7" max="7" width="5.7265625" style="230" customWidth="1"/>
    <col min="8" max="8" width="8.7265625" style="230" customWidth="1"/>
    <col min="9" max="16384" width="8.7265625" style="230"/>
  </cols>
  <sheetData>
    <row r="1" spans="1:9">
      <c r="A1" s="265" t="s">
        <v>292</v>
      </c>
    </row>
    <row r="4" spans="1:9">
      <c r="C4" s="1101" t="s">
        <v>293</v>
      </c>
      <c r="D4" s="1101"/>
      <c r="F4" s="1101" t="s">
        <v>294</v>
      </c>
      <c r="G4" s="1101"/>
      <c r="H4" s="1101"/>
      <c r="I4" s="1101"/>
    </row>
    <row r="5" spans="1:9">
      <c r="C5" s="1102" t="s">
        <v>295</v>
      </c>
      <c r="D5" s="1102"/>
      <c r="F5" s="533"/>
      <c r="G5" s="533"/>
      <c r="H5" s="534" t="s">
        <v>184</v>
      </c>
      <c r="I5" s="534" t="s">
        <v>296</v>
      </c>
    </row>
    <row r="6" spans="1:9">
      <c r="C6" s="528" t="s">
        <v>297</v>
      </c>
      <c r="D6" s="529">
        <f>'DCF FINAL'!J11</f>
        <v>6572.308</v>
      </c>
      <c r="F6" s="528" t="s">
        <v>298</v>
      </c>
      <c r="G6" s="528"/>
      <c r="H6" s="530">
        <f>(D10-D12)/D11</f>
        <v>-0.12681335666628274</v>
      </c>
      <c r="I6" s="531">
        <v>1.2</v>
      </c>
    </row>
    <row r="7" spans="1:9">
      <c r="C7" s="528" t="s">
        <v>299</v>
      </c>
      <c r="D7" s="529">
        <f>'DCF FINAL'!J19</f>
        <v>10.352999999999241</v>
      </c>
      <c r="F7" s="528" t="s">
        <v>300</v>
      </c>
      <c r="G7" s="528"/>
      <c r="H7" s="530">
        <f>D14/D11</f>
        <v>-1.0003029394961505</v>
      </c>
      <c r="I7" s="531">
        <v>1.4</v>
      </c>
    </row>
    <row r="8" spans="1:9">
      <c r="C8" s="528"/>
      <c r="D8" s="529"/>
      <c r="F8" s="528" t="s">
        <v>301</v>
      </c>
      <c r="G8" s="528"/>
      <c r="H8" s="832">
        <f>D7/D11</f>
        <v>1.6962318029453522E-3</v>
      </c>
      <c r="I8" s="531">
        <v>3.3</v>
      </c>
    </row>
    <row r="9" spans="1:9">
      <c r="C9" s="1102" t="s">
        <v>302</v>
      </c>
      <c r="D9" s="1102"/>
      <c r="F9" s="528" t="s">
        <v>303</v>
      </c>
      <c r="G9" s="528"/>
      <c r="H9" s="530">
        <f>D6/D11</f>
        <v>1.0768045830535089</v>
      </c>
      <c r="I9" s="531">
        <v>1</v>
      </c>
    </row>
    <row r="10" spans="1:9">
      <c r="C10" s="528" t="s">
        <v>304</v>
      </c>
      <c r="D10" s="529">
        <f>'BS Intergrated'!K18</f>
        <v>2797.1219999999998</v>
      </c>
      <c r="F10" s="528" t="s">
        <v>305</v>
      </c>
      <c r="G10" s="528"/>
      <c r="H10" s="530">
        <f ca="1">D16/D13</f>
        <v>9.1851964218889641</v>
      </c>
      <c r="I10" s="531">
        <v>0.6</v>
      </c>
    </row>
    <row r="11" spans="1:9">
      <c r="C11" s="528" t="s">
        <v>306</v>
      </c>
      <c r="D11" s="529">
        <f>'BS Intergrated'!K42</f>
        <v>6103.5289999999995</v>
      </c>
      <c r="F11" s="528"/>
      <c r="G11" s="528"/>
      <c r="H11" s="528"/>
      <c r="I11" s="528"/>
    </row>
    <row r="12" spans="1:9">
      <c r="C12" s="528" t="s">
        <v>307</v>
      </c>
      <c r="D12" s="529">
        <f>'BS Intergrated'!K54</f>
        <v>3571.1309999999999</v>
      </c>
      <c r="F12" s="1103" t="s">
        <v>308</v>
      </c>
      <c r="G12" s="1104">
        <f ca="1">SUMPRODUCT(H6:H10,I6:I10)</f>
        <v>5.0409198578424572</v>
      </c>
      <c r="H12" s="1104"/>
      <c r="I12" s="1104"/>
    </row>
    <row r="13" spans="1:9">
      <c r="C13" s="528" t="s">
        <v>309</v>
      </c>
      <c r="D13" s="529">
        <f>'BS Intergrated'!K65</f>
        <v>5045.09</v>
      </c>
      <c r="F13" s="1103"/>
      <c r="G13" s="1104"/>
      <c r="H13" s="1104"/>
      <c r="I13" s="1104"/>
    </row>
    <row r="14" spans="1:9">
      <c r="C14" s="528" t="s">
        <v>310</v>
      </c>
      <c r="D14" s="529">
        <f>'BS Intergrated'!K70</f>
        <v>-6105.3779999999997</v>
      </c>
    </row>
    <row r="15" spans="1:9">
      <c r="C15" s="528"/>
      <c r="D15" s="529"/>
      <c r="F15" s="1100" t="s">
        <v>311</v>
      </c>
      <c r="G15" s="1100"/>
      <c r="H15" s="1100"/>
    </row>
    <row r="16" spans="1:9">
      <c r="C16" s="528" t="s">
        <v>312</v>
      </c>
      <c r="D16" s="532">
        <f ca="1">'Comp. Multi &amp; Imp. Val'!W9</f>
        <v>46340.142616107798</v>
      </c>
      <c r="F16" s="753" t="s">
        <v>313</v>
      </c>
      <c r="G16" s="1099" t="s">
        <v>314</v>
      </c>
      <c r="H16" s="1099"/>
    </row>
    <row r="17" spans="3:8">
      <c r="C17" s="528" t="s">
        <v>315</v>
      </c>
      <c r="D17" s="529">
        <f>D11-D13</f>
        <v>1058.4389999999994</v>
      </c>
      <c r="F17" s="753" t="s">
        <v>316</v>
      </c>
      <c r="G17" s="1099" t="s">
        <v>317</v>
      </c>
      <c r="H17" s="1099"/>
    </row>
    <row r="18" spans="3:8">
      <c r="F18" s="753" t="s">
        <v>318</v>
      </c>
      <c r="G18" s="1099" t="s">
        <v>319</v>
      </c>
      <c r="H18" s="1099"/>
    </row>
  </sheetData>
  <mergeCells count="10">
    <mergeCell ref="G16:H16"/>
    <mergeCell ref="G17:H17"/>
    <mergeCell ref="G18:H18"/>
    <mergeCell ref="F15:H15"/>
    <mergeCell ref="C4:D4"/>
    <mergeCell ref="F4:I4"/>
    <mergeCell ref="C5:D5"/>
    <mergeCell ref="C9:D9"/>
    <mergeCell ref="F12:F13"/>
    <mergeCell ref="G12:I1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866731-BA4F-499C-9CDA-F7E64F0F06B4}">
  <sheetPr codeName="Sheet9">
    <tabColor rgb="FF0067ED"/>
  </sheetPr>
  <dimension ref="A1:N540"/>
  <sheetViews>
    <sheetView showGridLines="0" topLeftCell="A8" zoomScale="112" zoomScaleNormal="140" workbookViewId="0">
      <selection activeCell="B44" sqref="B44"/>
    </sheetView>
  </sheetViews>
  <sheetFormatPr defaultColWidth="8.7265625" defaultRowHeight="12"/>
  <cols>
    <col min="1" max="1" width="4.453125" style="230" customWidth="1"/>
    <col min="2" max="2" width="9.81640625" style="230" customWidth="1"/>
    <col min="3" max="3" width="26.26953125" style="230" bestFit="1" customWidth="1"/>
    <col min="4" max="5" width="8.7265625" style="230"/>
    <col min="6" max="6" width="12.26953125" style="230" bestFit="1" customWidth="1"/>
    <col min="7" max="7" width="9.453125" style="230" bestFit="1" customWidth="1"/>
    <col min="8" max="8" width="8.7265625" style="230"/>
    <col min="9" max="9" width="12.453125" style="230" bestFit="1" customWidth="1"/>
    <col min="10" max="10" width="8.7265625" style="230"/>
    <col min="11" max="11" width="10.1796875" style="230" bestFit="1" customWidth="1"/>
    <col min="12" max="12" width="10.26953125" style="230" bestFit="1" customWidth="1"/>
    <col min="13" max="16384" width="8.7265625" style="230"/>
  </cols>
  <sheetData>
    <row r="1" spans="1:14">
      <c r="A1" s="265" t="s">
        <v>320</v>
      </c>
    </row>
    <row r="2" spans="1:14">
      <c r="A2" s="265" t="s">
        <v>321</v>
      </c>
    </row>
    <row r="3" spans="1:14">
      <c r="A3" s="265" t="s">
        <v>1</v>
      </c>
    </row>
    <row r="4" spans="1:14">
      <c r="B4" s="265"/>
    </row>
    <row r="6" spans="1:14">
      <c r="B6" s="1105" t="s">
        <v>322</v>
      </c>
      <c r="C6" s="1105"/>
      <c r="F6" s="845" t="s">
        <v>323</v>
      </c>
      <c r="I6" s="845" t="s">
        <v>324</v>
      </c>
      <c r="L6" s="230" t="s">
        <v>325</v>
      </c>
      <c r="M6" s="845" t="s">
        <v>326</v>
      </c>
      <c r="N6" s="845" t="s">
        <v>327</v>
      </c>
    </row>
    <row r="7" spans="1:14">
      <c r="B7" s="230">
        <v>1</v>
      </c>
      <c r="C7" s="269">
        <v>0.25</v>
      </c>
      <c r="F7" s="1105" t="s">
        <v>328</v>
      </c>
      <c r="G7" s="1105"/>
      <c r="I7" s="1105" t="s">
        <v>329</v>
      </c>
      <c r="J7" s="1105"/>
    </row>
    <row r="8" spans="1:14">
      <c r="B8" s="230">
        <v>2</v>
      </c>
      <c r="C8" s="269">
        <v>0.25</v>
      </c>
      <c r="F8" s="230" t="s">
        <v>330</v>
      </c>
      <c r="G8" s="270">
        <f>_xlfn.STDEV.S(C15:C540)*SQRT(52)</f>
        <v>0.50953948414055583</v>
      </c>
      <c r="I8" s="230" t="s">
        <v>330</v>
      </c>
      <c r="J8" s="270">
        <f>_xlfn.STDEV.S(C15:C540)*SQRT(52)</f>
        <v>0.50953948414055583</v>
      </c>
    </row>
    <row r="9" spans="1:14">
      <c r="B9" s="230">
        <v>3</v>
      </c>
      <c r="C9" s="269">
        <v>0.25</v>
      </c>
      <c r="F9" s="230" t="s">
        <v>331</v>
      </c>
      <c r="G9" s="844">
        <f>SUMPRODUCT(B7:B10,C7:C10)/SUM(C7:C10)</f>
        <v>2.5</v>
      </c>
      <c r="I9" s="230" t="s">
        <v>332</v>
      </c>
      <c r="J9" s="230">
        <v>0</v>
      </c>
      <c r="K9" s="230" t="s">
        <v>333</v>
      </c>
    </row>
    <row r="10" spans="1:14">
      <c r="B10" s="230">
        <v>4</v>
      </c>
      <c r="C10" s="269">
        <v>0.25</v>
      </c>
      <c r="F10" s="230" t="s">
        <v>334</v>
      </c>
      <c r="G10" s="270">
        <f ca="1">'DCS Detail'!D5</f>
        <v>4.9749999999999996E-2</v>
      </c>
      <c r="I10" s="230" t="s">
        <v>335</v>
      </c>
      <c r="J10" s="844">
        <f>SUMPRODUCT(B7:B10,C7:C10)/SUM(C7:C10)</f>
        <v>2.5</v>
      </c>
    </row>
    <row r="11" spans="1:14">
      <c r="F11" s="230" t="s">
        <v>336</v>
      </c>
      <c r="G11" s="844">
        <f ca="1">'VWAP LIVE'!I5</f>
        <v>178.1217043977083</v>
      </c>
      <c r="I11" s="230" t="s">
        <v>337</v>
      </c>
      <c r="J11" s="230">
        <f>SQRT(J8^2+LN(2*(EXP(J8^2)-J8^2-1))-2*LN(EXP(J8^2)-1))</f>
        <v>0.28778984955493392</v>
      </c>
      <c r="K11" s="230" t="s">
        <v>338</v>
      </c>
    </row>
    <row r="12" spans="1:14">
      <c r="F12" s="230" t="s">
        <v>339</v>
      </c>
      <c r="G12" s="844">
        <f ca="1">G11</f>
        <v>178.1217043977083</v>
      </c>
      <c r="I12" s="230" t="s">
        <v>340</v>
      </c>
      <c r="J12" s="270">
        <f>_xlfn.NORM.S.DIST(J11/2,TRUE) - _xlfn.NORM.S.DIST(-J11/2,TRUE)</f>
        <v>0.11441655657894284</v>
      </c>
      <c r="K12" s="230" t="s">
        <v>341</v>
      </c>
    </row>
    <row r="13" spans="1:14">
      <c r="B13" s="841" t="s">
        <v>342</v>
      </c>
      <c r="C13" s="841" t="s">
        <v>343</v>
      </c>
      <c r="F13" s="230" t="s">
        <v>344</v>
      </c>
      <c r="G13" s="844">
        <f ca="1">(LN(G11/G12)+(G10+G8^2/2)*G9)/(G8*SQRT(G9))</f>
        <v>0.55720427365747327</v>
      </c>
      <c r="I13" s="230" t="s">
        <v>345</v>
      </c>
      <c r="J13" s="270">
        <f>-LN(1-J12)</f>
        <v>0.12150859308647914</v>
      </c>
      <c r="K13" s="230" t="s">
        <v>346</v>
      </c>
    </row>
    <row r="14" spans="1:14">
      <c r="B14" s="678">
        <v>42552</v>
      </c>
      <c r="C14" s="842"/>
      <c r="F14" s="230" t="s">
        <v>347</v>
      </c>
      <c r="G14" s="844">
        <f ca="1">G13-(G8*SQRT(G9))</f>
        <v>-0.24844839017822673</v>
      </c>
      <c r="I14" s="230" t="s">
        <v>348</v>
      </c>
      <c r="J14" s="270">
        <f>1-EXP(-J13*J10)</f>
        <v>0.26197050032131386</v>
      </c>
      <c r="K14" s="230" t="s">
        <v>349</v>
      </c>
    </row>
    <row r="15" spans="1:14">
      <c r="B15" s="682">
        <v>42559</v>
      </c>
      <c r="C15" s="642">
        <v>5.3083528493364597E-2</v>
      </c>
      <c r="F15" s="230" t="s">
        <v>350</v>
      </c>
      <c r="G15" s="303">
        <f ca="1">G12*EXP(-G10*G9)*_xlfn.NORM.S.DIST(-G14,TRUE)-G11*_xlfn.NORM.S.DIST(-G13,TRUE)</f>
        <v>42.65355310951859</v>
      </c>
      <c r="I15" s="230" t="s">
        <v>351</v>
      </c>
      <c r="J15" s="270">
        <f>1-J14</f>
        <v>0.73802949967868614</v>
      </c>
    </row>
    <row r="16" spans="1:14">
      <c r="B16" s="678">
        <v>42566</v>
      </c>
      <c r="C16" s="843">
        <v>1.5567086730911599E-2</v>
      </c>
      <c r="F16" s="230" t="s">
        <v>352</v>
      </c>
      <c r="G16" s="270">
        <f ca="1">G15/G11</f>
        <v>0.23946297422734164</v>
      </c>
    </row>
    <row r="17" spans="2:13">
      <c r="B17" s="682">
        <v>42573</v>
      </c>
      <c r="C17" s="642">
        <v>2.7737226277372198E-2</v>
      </c>
      <c r="F17" s="230" t="s">
        <v>351</v>
      </c>
      <c r="G17" s="270">
        <f ca="1">1-G16</f>
        <v>0.76053702577265836</v>
      </c>
    </row>
    <row r="18" spans="2:13">
      <c r="B18" s="678">
        <v>42580</v>
      </c>
      <c r="C18" s="843">
        <v>6.4275568181818107E-2</v>
      </c>
    </row>
    <row r="19" spans="2:13">
      <c r="B19" s="682">
        <v>42587</v>
      </c>
      <c r="C19" s="642">
        <v>6.6733400066733395E-2</v>
      </c>
      <c r="J19" s="296"/>
    </row>
    <row r="20" spans="2:13">
      <c r="B20" s="678">
        <v>42594</v>
      </c>
      <c r="C20" s="843">
        <v>-6.1620269002189504E-2</v>
      </c>
    </row>
    <row r="21" spans="2:13">
      <c r="B21" s="682">
        <v>42601</v>
      </c>
      <c r="C21" s="642">
        <v>-1.93333333333333E-2</v>
      </c>
    </row>
    <row r="22" spans="2:13">
      <c r="B22" s="678">
        <v>42608</v>
      </c>
      <c r="C22" s="843">
        <v>-1.6315431679129799E-2</v>
      </c>
      <c r="M22" s="230" t="s">
        <v>179</v>
      </c>
    </row>
    <row r="23" spans="2:13">
      <c r="B23" s="682">
        <v>42615</v>
      </c>
      <c r="C23" s="642">
        <v>4.0082930200414604E-2</v>
      </c>
    </row>
    <row r="24" spans="2:13">
      <c r="B24" s="678">
        <v>42622</v>
      </c>
      <c r="C24" s="843">
        <v>-2.0598006644518198E-2</v>
      </c>
    </row>
    <row r="25" spans="2:13">
      <c r="B25" s="682">
        <v>42629</v>
      </c>
      <c r="C25" s="642">
        <v>1.7639077340569898E-2</v>
      </c>
    </row>
    <row r="26" spans="2:13">
      <c r="B26" s="678">
        <v>42636</v>
      </c>
      <c r="C26" s="843">
        <v>2.4999999999999897E-2</v>
      </c>
    </row>
    <row r="27" spans="2:13">
      <c r="B27" s="682">
        <v>42643</v>
      </c>
      <c r="C27" s="642">
        <v>-2.5365853658536597E-2</v>
      </c>
    </row>
    <row r="28" spans="2:13">
      <c r="B28" s="678">
        <v>42650</v>
      </c>
      <c r="C28" s="843">
        <v>-5.6723390056723305E-2</v>
      </c>
    </row>
    <row r="29" spans="2:13">
      <c r="B29" s="682">
        <v>42657</v>
      </c>
      <c r="C29" s="642">
        <v>5.30597806862398E-3</v>
      </c>
    </row>
    <row r="30" spans="2:13">
      <c r="B30" s="678">
        <v>42664</v>
      </c>
      <c r="C30" s="843">
        <v>2.18156228008443E-2</v>
      </c>
    </row>
    <row r="31" spans="2:13">
      <c r="B31" s="682">
        <v>42671</v>
      </c>
      <c r="C31" s="642">
        <v>-6.3360881542699601E-2</v>
      </c>
    </row>
    <row r="32" spans="2:13">
      <c r="B32" s="678">
        <v>42678</v>
      </c>
      <c r="C32" s="843">
        <v>-1.10294117647059E-2</v>
      </c>
    </row>
    <row r="33" spans="2:3">
      <c r="B33" s="682">
        <v>42685</v>
      </c>
      <c r="C33" s="642">
        <v>2.1933085501858601E-2</v>
      </c>
    </row>
    <row r="34" spans="2:3">
      <c r="B34" s="678">
        <v>42692</v>
      </c>
      <c r="C34" s="843">
        <v>4.6198617679156201E-2</v>
      </c>
    </row>
    <row r="35" spans="2:3">
      <c r="B35" s="682">
        <v>42699</v>
      </c>
      <c r="C35" s="642">
        <v>-4.6592489568845596E-2</v>
      </c>
    </row>
    <row r="36" spans="2:3">
      <c r="B36" s="678">
        <v>42706</v>
      </c>
      <c r="C36" s="843">
        <v>-7.9868708971553598E-2</v>
      </c>
    </row>
    <row r="37" spans="2:3">
      <c r="B37" s="682">
        <v>42713</v>
      </c>
      <c r="C37" s="642">
        <v>5.2318668252080799E-2</v>
      </c>
    </row>
    <row r="38" spans="2:3">
      <c r="B38" s="678">
        <v>42720</v>
      </c>
      <c r="C38" s="843">
        <v>-8.8888888888888892E-2</v>
      </c>
    </row>
    <row r="39" spans="2:3">
      <c r="B39" s="682">
        <v>42727</v>
      </c>
      <c r="C39" s="642">
        <v>-2.4803637866888102E-3</v>
      </c>
    </row>
    <row r="40" spans="2:3">
      <c r="B40" s="678">
        <v>42734</v>
      </c>
      <c r="C40" s="843">
        <v>-2.0721094073767802E-3</v>
      </c>
    </row>
    <row r="41" spans="2:3">
      <c r="B41" s="682">
        <v>42741</v>
      </c>
      <c r="C41" s="642">
        <v>2.65780730897009E-2</v>
      </c>
    </row>
    <row r="42" spans="2:3">
      <c r="B42" s="678">
        <v>42748</v>
      </c>
      <c r="C42" s="843">
        <v>8.859223300970881E-2</v>
      </c>
    </row>
    <row r="43" spans="2:3">
      <c r="B43" s="682">
        <v>42755</v>
      </c>
      <c r="C43" s="642">
        <v>4.1620215533259002E-2</v>
      </c>
    </row>
    <row r="44" spans="2:3">
      <c r="B44" s="678">
        <v>42762</v>
      </c>
      <c r="C44" s="843">
        <v>-9.6325365679629203E-3</v>
      </c>
    </row>
    <row r="45" spans="2:3">
      <c r="B45" s="682">
        <v>42769</v>
      </c>
      <c r="C45" s="642">
        <v>1.4409221902017299E-2</v>
      </c>
    </row>
    <row r="46" spans="2:3">
      <c r="B46" s="678">
        <v>42776</v>
      </c>
      <c r="C46" s="843">
        <v>1.7045454545454499E-2</v>
      </c>
    </row>
    <row r="47" spans="2:3">
      <c r="B47" s="682">
        <v>42783</v>
      </c>
      <c r="C47" s="642">
        <v>4.3645251396648099E-2</v>
      </c>
    </row>
    <row r="48" spans="2:3">
      <c r="B48" s="678">
        <v>42790</v>
      </c>
      <c r="C48" s="843">
        <v>-2.0742723318835702E-2</v>
      </c>
    </row>
    <row r="49" spans="2:3">
      <c r="B49" s="682">
        <v>42797</v>
      </c>
      <c r="C49" s="642">
        <v>-1.6399043389135601E-2</v>
      </c>
    </row>
    <row r="50" spans="2:3">
      <c r="B50" s="678">
        <v>42804</v>
      </c>
      <c r="C50" s="843">
        <v>-4.1681139284472897E-3</v>
      </c>
    </row>
    <row r="51" spans="2:3">
      <c r="B51" s="682">
        <v>42811</v>
      </c>
      <c r="C51" s="642">
        <v>3.4530868503662202E-2</v>
      </c>
    </row>
    <row r="52" spans="2:3">
      <c r="B52" s="678">
        <v>42818</v>
      </c>
      <c r="C52" s="843">
        <v>-7.7545515846257898E-3</v>
      </c>
    </row>
    <row r="53" spans="2:3">
      <c r="B53" s="682">
        <v>42825</v>
      </c>
      <c r="C53" s="642">
        <v>1.7669045191980901E-2</v>
      </c>
    </row>
    <row r="54" spans="2:3">
      <c r="B54" s="678">
        <v>42832</v>
      </c>
      <c r="C54" s="843">
        <v>4.57429048414024E-2</v>
      </c>
    </row>
    <row r="55" spans="2:3">
      <c r="B55" s="682">
        <v>42838</v>
      </c>
      <c r="C55" s="642">
        <v>-2.8735632183908202E-3</v>
      </c>
    </row>
    <row r="56" spans="2:3">
      <c r="B56" s="678">
        <v>42846</v>
      </c>
      <c r="C56" s="843">
        <v>9.9263528658339803E-3</v>
      </c>
    </row>
    <row r="57" spans="2:3">
      <c r="B57" s="682">
        <v>42853</v>
      </c>
      <c r="C57" s="642">
        <v>9.3214965123652405E-2</v>
      </c>
    </row>
    <row r="58" spans="2:3">
      <c r="B58" s="678">
        <v>42860</v>
      </c>
      <c r="C58" s="843">
        <v>6.7575406032482604E-2</v>
      </c>
    </row>
    <row r="59" spans="2:3">
      <c r="B59" s="682">
        <v>42867</v>
      </c>
      <c r="C59" s="642">
        <v>8.1499592502032303E-4</v>
      </c>
    </row>
    <row r="60" spans="2:3">
      <c r="B60" s="678">
        <v>42874</v>
      </c>
      <c r="C60" s="843">
        <v>-4.3159609120521303E-2</v>
      </c>
    </row>
    <row r="61" spans="2:3">
      <c r="B61" s="682">
        <v>42881</v>
      </c>
      <c r="C61" s="642">
        <v>9.3617021276595196E-3</v>
      </c>
    </row>
    <row r="62" spans="2:3">
      <c r="B62" s="678">
        <v>42888</v>
      </c>
      <c r="C62" s="843">
        <v>3.2602585722316002E-2</v>
      </c>
    </row>
    <row r="63" spans="2:3">
      <c r="B63" s="682">
        <v>42895</v>
      </c>
      <c r="C63" s="642">
        <v>-5.7702776265650603E-2</v>
      </c>
    </row>
    <row r="64" spans="2:3">
      <c r="B64" s="678">
        <v>42902</v>
      </c>
      <c r="C64" s="843">
        <v>4.9104563835933304E-3</v>
      </c>
    </row>
    <row r="65" spans="2:3">
      <c r="B65" s="682">
        <v>42909</v>
      </c>
      <c r="C65" s="642">
        <v>3.4780109226789403E-2</v>
      </c>
    </row>
    <row r="66" spans="2:3">
      <c r="B66" s="678">
        <v>42916</v>
      </c>
      <c r="C66" s="843">
        <v>-2.2777777777777702E-2</v>
      </c>
    </row>
    <row r="67" spans="2:3">
      <c r="B67" s="682">
        <v>42923</v>
      </c>
      <c r="C67" s="642">
        <v>3.6952814098920499E-3</v>
      </c>
    </row>
    <row r="68" spans="2:3">
      <c r="B68" s="678">
        <v>42930</v>
      </c>
      <c r="C68" s="843">
        <v>9.6290002832057891E-3</v>
      </c>
    </row>
    <row r="69" spans="2:3">
      <c r="B69" s="682">
        <v>42937</v>
      </c>
      <c r="C69" s="642">
        <v>2.8050490883591E-3</v>
      </c>
    </row>
    <row r="70" spans="2:3">
      <c r="B70" s="678">
        <v>42944</v>
      </c>
      <c r="C70" s="843">
        <v>3.8881118881118802E-2</v>
      </c>
    </row>
    <row r="71" spans="2:3">
      <c r="B71" s="682">
        <v>42951</v>
      </c>
      <c r="C71" s="642">
        <v>-4.8734518039849198E-2</v>
      </c>
    </row>
    <row r="72" spans="2:3">
      <c r="B72" s="678">
        <v>42958</v>
      </c>
      <c r="C72" s="843">
        <v>3.67959241437887E-3</v>
      </c>
    </row>
    <row r="73" spans="2:3">
      <c r="B73" s="682">
        <v>42965</v>
      </c>
      <c r="C73" s="642">
        <v>2.4816694867456399E-2</v>
      </c>
    </row>
    <row r="74" spans="2:3">
      <c r="B74" s="678">
        <v>42972</v>
      </c>
      <c r="C74" s="843">
        <v>-4.6780407264722094E-2</v>
      </c>
    </row>
    <row r="75" spans="2:3">
      <c r="B75" s="682">
        <v>42979</v>
      </c>
      <c r="C75" s="642">
        <v>7.5057736720554004E-3</v>
      </c>
    </row>
    <row r="76" spans="2:3">
      <c r="B76" s="678">
        <v>42986</v>
      </c>
      <c r="C76" s="843">
        <v>-1.5759312320916801E-2</v>
      </c>
    </row>
    <row r="77" spans="2:3">
      <c r="B77" s="682">
        <v>42993</v>
      </c>
      <c r="C77" s="642">
        <v>5.2401746724890702E-2</v>
      </c>
    </row>
    <row r="78" spans="2:3">
      <c r="B78" s="678">
        <v>43000</v>
      </c>
      <c r="C78" s="843">
        <v>-2.7109266943291698E-2</v>
      </c>
    </row>
    <row r="79" spans="2:3">
      <c r="B79" s="682">
        <v>43007</v>
      </c>
      <c r="C79" s="642">
        <v>-5.6866647711129004E-4</v>
      </c>
    </row>
    <row r="80" spans="2:3">
      <c r="B80" s="678">
        <v>43014</v>
      </c>
      <c r="C80" s="843">
        <v>0.100142247510668</v>
      </c>
    </row>
    <row r="81" spans="2:3">
      <c r="B81" s="682">
        <v>43021</v>
      </c>
      <c r="C81" s="642">
        <v>2.5084044478924202E-2</v>
      </c>
    </row>
    <row r="82" spans="2:3">
      <c r="B82" s="678">
        <v>43028</v>
      </c>
      <c r="C82" s="843">
        <v>0.26564076690211896</v>
      </c>
    </row>
    <row r="83" spans="2:3">
      <c r="B83" s="682">
        <v>43035</v>
      </c>
      <c r="C83" s="642">
        <v>-6.2587203508072509E-2</v>
      </c>
    </row>
    <row r="84" spans="2:3">
      <c r="B84" s="678">
        <v>43042</v>
      </c>
      <c r="C84" s="843">
        <v>8.4201573463746404E-2</v>
      </c>
    </row>
    <row r="85" spans="2:3">
      <c r="B85" s="682">
        <v>43049</v>
      </c>
      <c r="C85" s="642">
        <v>2.76524808786036E-2</v>
      </c>
    </row>
    <row r="86" spans="2:3">
      <c r="B86" s="678">
        <v>43056</v>
      </c>
      <c r="C86" s="843">
        <v>-5.7251908396949104E-4</v>
      </c>
    </row>
    <row r="87" spans="2:3">
      <c r="B87" s="682">
        <v>43063</v>
      </c>
      <c r="C87" s="642">
        <v>-2.6732862325758999E-3</v>
      </c>
    </row>
    <row r="88" spans="2:3">
      <c r="B88" s="678">
        <v>43070</v>
      </c>
      <c r="C88" s="843">
        <v>-9.9942561746122913E-2</v>
      </c>
    </row>
    <row r="89" spans="2:3">
      <c r="B89" s="682">
        <v>43077</v>
      </c>
      <c r="C89" s="642">
        <v>-1.1699638374813802E-2</v>
      </c>
    </row>
    <row r="90" spans="2:3">
      <c r="B90" s="678">
        <v>43084</v>
      </c>
      <c r="C90" s="843">
        <v>1.22686181661644E-2</v>
      </c>
    </row>
    <row r="91" spans="2:3">
      <c r="B91" s="682">
        <v>43091</v>
      </c>
      <c r="C91" s="642">
        <v>-1.63725281735063E-2</v>
      </c>
    </row>
    <row r="92" spans="2:3">
      <c r="B92" s="678">
        <v>43098</v>
      </c>
      <c r="C92" s="843">
        <v>-1.5996541288370001E-2</v>
      </c>
    </row>
    <row r="93" spans="2:3">
      <c r="B93" s="682">
        <v>43105</v>
      </c>
      <c r="C93" s="642">
        <v>0.139499121265377</v>
      </c>
    </row>
    <row r="94" spans="2:3">
      <c r="B94" s="678">
        <v>43112</v>
      </c>
      <c r="C94" s="843">
        <v>1.34952766531715E-2</v>
      </c>
    </row>
    <row r="95" spans="2:3">
      <c r="B95" s="682">
        <v>43119</v>
      </c>
      <c r="C95" s="642">
        <v>9.5111280197830387E-3</v>
      </c>
    </row>
    <row r="96" spans="2:3">
      <c r="B96" s="678">
        <v>43126</v>
      </c>
      <c r="C96" s="843">
        <v>1.4697569248162701E-2</v>
      </c>
    </row>
    <row r="97" spans="2:3">
      <c r="B97" s="682">
        <v>43133</v>
      </c>
      <c r="C97" s="642">
        <v>-2.0984215413184799E-2</v>
      </c>
    </row>
    <row r="98" spans="2:3">
      <c r="B98" s="678">
        <v>43140</v>
      </c>
      <c r="C98" s="843">
        <v>-4.7989377845219998E-2</v>
      </c>
    </row>
    <row r="99" spans="2:3">
      <c r="B99" s="682">
        <v>43147</v>
      </c>
      <c r="C99" s="642">
        <v>6.0569834628411999E-2</v>
      </c>
    </row>
    <row r="100" spans="2:3">
      <c r="B100" s="678">
        <v>43154</v>
      </c>
      <c r="C100" s="843">
        <v>7.5145594589520704E-4</v>
      </c>
    </row>
    <row r="101" spans="2:3">
      <c r="B101" s="682">
        <v>43161</v>
      </c>
      <c r="C101" s="642">
        <v>9.1984231274638603E-2</v>
      </c>
    </row>
    <row r="102" spans="2:3">
      <c r="B102" s="678">
        <v>43168</v>
      </c>
      <c r="C102" s="843">
        <v>5.3120165033522397E-2</v>
      </c>
    </row>
    <row r="103" spans="2:3">
      <c r="B103" s="682">
        <v>43175</v>
      </c>
      <c r="C103" s="642">
        <v>-3.2647730982696598E-2</v>
      </c>
    </row>
    <row r="104" spans="2:3">
      <c r="B104" s="678">
        <v>43182</v>
      </c>
      <c r="C104" s="843">
        <v>-6.5811677354032996E-2</v>
      </c>
    </row>
    <row r="105" spans="2:3">
      <c r="B105" s="682">
        <v>43188</v>
      </c>
      <c r="C105" s="642">
        <v>-2.6011560693641501E-2</v>
      </c>
    </row>
    <row r="106" spans="2:3">
      <c r="B106" s="678">
        <v>43196</v>
      </c>
      <c r="C106" s="843">
        <v>1.2425816023738901E-2</v>
      </c>
    </row>
    <row r="107" spans="2:3">
      <c r="B107" s="682">
        <v>43203</v>
      </c>
      <c r="C107" s="642">
        <v>0.103681993039018</v>
      </c>
    </row>
    <row r="108" spans="2:3">
      <c r="B108" s="678">
        <v>43210</v>
      </c>
      <c r="C108" s="843">
        <v>-3.3941908713692903E-2</v>
      </c>
    </row>
    <row r="109" spans="2:3">
      <c r="B109" s="682">
        <v>43217</v>
      </c>
      <c r="C109" s="642">
        <v>-4.7848123013486704E-2</v>
      </c>
    </row>
    <row r="110" spans="2:3">
      <c r="B110" s="678">
        <v>43224</v>
      </c>
      <c r="C110" s="843">
        <v>8.2461205341032004E-2</v>
      </c>
    </row>
    <row r="111" spans="2:3">
      <c r="B111" s="682">
        <v>43231</v>
      </c>
      <c r="C111" s="642">
        <v>8.1346891148524794E-2</v>
      </c>
    </row>
    <row r="112" spans="2:3">
      <c r="B112" s="678">
        <v>43238</v>
      </c>
      <c r="C112" s="843">
        <v>-2.2660706027439602E-2</v>
      </c>
    </row>
    <row r="113" spans="2:3">
      <c r="B113" s="682">
        <v>43245</v>
      </c>
      <c r="C113" s="642">
        <v>-7.2555205047318801E-3</v>
      </c>
    </row>
    <row r="114" spans="2:3">
      <c r="B114" s="678">
        <v>43252</v>
      </c>
      <c r="C114" s="843">
        <v>1.7000317762948899E-2</v>
      </c>
    </row>
    <row r="115" spans="2:3">
      <c r="B115" s="682">
        <v>43259</v>
      </c>
      <c r="C115" s="642">
        <v>4.2180909232931701E-3</v>
      </c>
    </row>
    <row r="116" spans="2:3">
      <c r="B116" s="678">
        <v>43266</v>
      </c>
      <c r="C116" s="843">
        <v>2.8624766645923998E-2</v>
      </c>
    </row>
    <row r="117" spans="2:3">
      <c r="B117" s="682">
        <v>43273</v>
      </c>
      <c r="C117" s="642">
        <v>-2.91893526920751E-2</v>
      </c>
    </row>
    <row r="118" spans="2:3">
      <c r="B118" s="678">
        <v>43280</v>
      </c>
      <c r="C118" s="843">
        <v>-2.6016513475619098E-2</v>
      </c>
    </row>
    <row r="119" spans="2:3">
      <c r="B119" s="682">
        <v>43287</v>
      </c>
      <c r="C119" s="642">
        <v>4.3346129238643602E-2</v>
      </c>
    </row>
    <row r="120" spans="2:3">
      <c r="B120" s="678">
        <v>43294</v>
      </c>
      <c r="C120" s="843">
        <v>3.0047524145331697E-2</v>
      </c>
    </row>
    <row r="121" spans="2:3">
      <c r="B121" s="682">
        <v>43301</v>
      </c>
      <c r="C121" s="642">
        <v>1.0120553653817499E-2</v>
      </c>
    </row>
    <row r="122" spans="2:3">
      <c r="B122" s="678">
        <v>43308</v>
      </c>
      <c r="C122" s="843">
        <v>8.7962280831000286E-2</v>
      </c>
    </row>
    <row r="123" spans="2:3">
      <c r="B123" s="682">
        <v>43315</v>
      </c>
      <c r="C123" s="642">
        <v>3.79198266522218E-3</v>
      </c>
    </row>
    <row r="124" spans="2:3">
      <c r="B124" s="678">
        <v>43322</v>
      </c>
      <c r="C124" s="843">
        <v>5.3291958985428795E-2</v>
      </c>
    </row>
    <row r="125" spans="2:3">
      <c r="B125" s="682">
        <v>43329</v>
      </c>
      <c r="C125" s="642">
        <v>-6.4045087741770802E-4</v>
      </c>
    </row>
    <row r="126" spans="2:3">
      <c r="B126" s="678">
        <v>43336</v>
      </c>
      <c r="C126" s="843">
        <v>0.103691361189438</v>
      </c>
    </row>
    <row r="127" spans="2:3">
      <c r="B127" s="682">
        <v>43343</v>
      </c>
      <c r="C127" s="642">
        <v>4.5290906979444899E-2</v>
      </c>
    </row>
    <row r="128" spans="2:3">
      <c r="B128" s="678">
        <v>43350</v>
      </c>
      <c r="C128" s="843">
        <v>-3.3329630041106499E-2</v>
      </c>
    </row>
    <row r="129" spans="2:3">
      <c r="B129" s="682">
        <v>43357</v>
      </c>
      <c r="C129" s="642">
        <v>8.2404321342374395E-2</v>
      </c>
    </row>
    <row r="130" spans="2:3">
      <c r="B130" s="678">
        <v>43364</v>
      </c>
      <c r="C130" s="843">
        <v>-3.7056699936292299E-2</v>
      </c>
    </row>
    <row r="131" spans="2:3">
      <c r="B131" s="682">
        <v>43371</v>
      </c>
      <c r="C131" s="642">
        <v>6.0094828536773698E-2</v>
      </c>
    </row>
    <row r="132" spans="2:3">
      <c r="B132" s="678">
        <v>43378</v>
      </c>
      <c r="C132" s="843">
        <v>-0.11212814645308899</v>
      </c>
    </row>
    <row r="133" spans="2:3">
      <c r="B133" s="682">
        <v>43385</v>
      </c>
      <c r="C133" s="642">
        <v>-4.2760074976569806E-2</v>
      </c>
    </row>
    <row r="134" spans="2:3">
      <c r="B134" s="678">
        <v>43392</v>
      </c>
      <c r="C134" s="843">
        <v>-0.141108799412556</v>
      </c>
    </row>
    <row r="135" spans="2:3">
      <c r="B135" s="682">
        <v>43399</v>
      </c>
      <c r="C135" s="642">
        <v>-1.7953833000854999E-2</v>
      </c>
    </row>
    <row r="136" spans="2:3">
      <c r="B136" s="678">
        <v>43406</v>
      </c>
      <c r="C136" s="843">
        <v>0.109692396982008</v>
      </c>
    </row>
    <row r="137" spans="2:3">
      <c r="B137" s="682">
        <v>43413</v>
      </c>
      <c r="C137" s="642">
        <v>-4.1710251046025097E-2</v>
      </c>
    </row>
    <row r="138" spans="2:3">
      <c r="B138" s="678">
        <v>43420</v>
      </c>
      <c r="C138" s="843">
        <v>3.6294173829990402E-2</v>
      </c>
    </row>
    <row r="139" spans="2:3">
      <c r="B139" s="682">
        <v>43427</v>
      </c>
      <c r="C139" s="642">
        <v>-3.6208031599736602E-2</v>
      </c>
    </row>
    <row r="140" spans="2:3">
      <c r="B140" s="678">
        <v>43434</v>
      </c>
      <c r="C140" s="843">
        <v>0.17404371584699402</v>
      </c>
    </row>
    <row r="141" spans="2:3">
      <c r="B141" s="682">
        <v>43441</v>
      </c>
      <c r="C141" s="642">
        <v>-6.3765417733302299E-2</v>
      </c>
    </row>
    <row r="142" spans="2:3">
      <c r="B142" s="678">
        <v>43448</v>
      </c>
      <c r="C142" s="843">
        <v>3.3929903057419802E-2</v>
      </c>
    </row>
    <row r="143" spans="2:3">
      <c r="B143" s="682">
        <v>43455</v>
      </c>
      <c r="C143" s="642">
        <v>-2.4762591657651097E-2</v>
      </c>
    </row>
    <row r="144" spans="2:3">
      <c r="B144" s="678">
        <v>43462</v>
      </c>
      <c r="C144" s="843">
        <v>7.9748551707136697E-2</v>
      </c>
    </row>
    <row r="145" spans="2:3">
      <c r="B145" s="682">
        <v>43469</v>
      </c>
      <c r="C145" s="642">
        <v>-5.8219178082190501E-3</v>
      </c>
    </row>
    <row r="146" spans="2:3">
      <c r="B146" s="678">
        <v>43476</v>
      </c>
      <c r="C146" s="843">
        <v>9.8289126191296303E-2</v>
      </c>
    </row>
    <row r="147" spans="2:3">
      <c r="B147" s="682">
        <v>43483</v>
      </c>
      <c r="C147" s="642">
        <v>-5.2064819654992205E-2</v>
      </c>
    </row>
    <row r="148" spans="2:3">
      <c r="B148" s="678">
        <v>43490</v>
      </c>
      <c r="C148" s="843">
        <v>5.7240542627109203E-2</v>
      </c>
    </row>
    <row r="149" spans="2:3">
      <c r="B149" s="682">
        <v>43497</v>
      </c>
      <c r="C149" s="642">
        <v>3.2547465053202697E-2</v>
      </c>
    </row>
    <row r="150" spans="2:3">
      <c r="B150" s="678">
        <v>43504</v>
      </c>
      <c r="C150" s="843">
        <v>5.4152354010911202E-2</v>
      </c>
    </row>
    <row r="151" spans="2:3">
      <c r="B151" s="682">
        <v>43511</v>
      </c>
      <c r="C151" s="642">
        <v>5.3670691968563597E-3</v>
      </c>
    </row>
    <row r="152" spans="2:3">
      <c r="B152" s="678">
        <v>43518</v>
      </c>
      <c r="C152" s="843">
        <v>3.3365109628216098E-3</v>
      </c>
    </row>
    <row r="153" spans="2:3">
      <c r="B153" s="682">
        <v>43525</v>
      </c>
      <c r="C153" s="642">
        <v>5.41567695961995E-2</v>
      </c>
    </row>
    <row r="154" spans="2:3">
      <c r="B154" s="678">
        <v>43532</v>
      </c>
      <c r="C154" s="843">
        <v>-6.0387561964848999E-2</v>
      </c>
    </row>
    <row r="155" spans="2:3">
      <c r="B155" s="682">
        <v>43539</v>
      </c>
      <c r="C155" s="642">
        <v>5.77458033573141E-2</v>
      </c>
    </row>
    <row r="156" spans="2:3">
      <c r="B156" s="678">
        <v>43546</v>
      </c>
      <c r="C156" s="843">
        <v>-3.9902058583476301E-3</v>
      </c>
    </row>
    <row r="157" spans="2:3">
      <c r="B157" s="682">
        <v>43553</v>
      </c>
      <c r="C157" s="642">
        <v>2.3308749886187599E-2</v>
      </c>
    </row>
    <row r="158" spans="2:3">
      <c r="B158" s="678">
        <v>43560</v>
      </c>
      <c r="C158" s="843">
        <v>-9.4314440786546997E-3</v>
      </c>
    </row>
    <row r="159" spans="2:3">
      <c r="B159" s="682">
        <v>43567</v>
      </c>
      <c r="C159" s="642">
        <v>1.21261115602264E-2</v>
      </c>
    </row>
    <row r="160" spans="2:3">
      <c r="B160" s="678">
        <v>43573</v>
      </c>
      <c r="C160" s="843">
        <v>-9.5314164004259891E-2</v>
      </c>
    </row>
    <row r="161" spans="2:3">
      <c r="B161" s="682">
        <v>43581</v>
      </c>
      <c r="C161" s="642">
        <v>6.1506768687462993E-2</v>
      </c>
    </row>
    <row r="162" spans="2:3">
      <c r="B162" s="678">
        <v>43588</v>
      </c>
      <c r="C162" s="843">
        <v>2.0330838185010598E-2</v>
      </c>
    </row>
    <row r="163" spans="2:3">
      <c r="B163" s="682">
        <v>43595</v>
      </c>
      <c r="C163" s="642">
        <v>0.16719500045285698</v>
      </c>
    </row>
    <row r="164" spans="2:3">
      <c r="B164" s="678">
        <v>43602</v>
      </c>
      <c r="C164" s="843">
        <v>2.17273221075497E-3</v>
      </c>
    </row>
    <row r="165" spans="2:3">
      <c r="B165" s="682">
        <v>43609</v>
      </c>
      <c r="C165" s="642">
        <v>2.86488579171506E-3</v>
      </c>
    </row>
    <row r="166" spans="2:3">
      <c r="B166" s="678">
        <v>43616</v>
      </c>
      <c r="C166" s="843">
        <v>-2.8103767757875299E-2</v>
      </c>
    </row>
    <row r="167" spans="2:3">
      <c r="B167" s="682">
        <v>43623</v>
      </c>
      <c r="C167" s="642">
        <v>4.4089609151572999E-2</v>
      </c>
    </row>
    <row r="168" spans="2:3">
      <c r="B168" s="678">
        <v>43630</v>
      </c>
      <c r="C168" s="843">
        <v>-1.15650916837861E-2</v>
      </c>
    </row>
    <row r="169" spans="2:3">
      <c r="B169" s="682">
        <v>43637</v>
      </c>
      <c r="C169" s="642">
        <v>2.27850050034639E-2</v>
      </c>
    </row>
    <row r="170" spans="2:3">
      <c r="B170" s="678">
        <v>43644</v>
      </c>
      <c r="C170" s="843">
        <v>-1.5278091367502E-2</v>
      </c>
    </row>
    <row r="171" spans="2:3">
      <c r="B171" s="682">
        <v>43651</v>
      </c>
      <c r="C171" s="642">
        <v>3.2635279730969205E-2</v>
      </c>
    </row>
    <row r="172" spans="2:3">
      <c r="B172" s="678">
        <v>43658</v>
      </c>
      <c r="C172" s="843">
        <v>2.54977425801199E-2</v>
      </c>
    </row>
    <row r="173" spans="2:3">
      <c r="B173" s="682">
        <v>43665</v>
      </c>
      <c r="C173" s="642">
        <v>-3.1720255494208004E-2</v>
      </c>
    </row>
    <row r="174" spans="2:3">
      <c r="B174" s="678">
        <v>43672</v>
      </c>
      <c r="C174" s="843">
        <v>8.8550983899820995E-2</v>
      </c>
    </row>
    <row r="175" spans="2:3">
      <c r="B175" s="682">
        <v>43679</v>
      </c>
      <c r="C175" s="642">
        <v>-3.3141605039715104E-2</v>
      </c>
    </row>
    <row r="176" spans="2:3">
      <c r="B176" s="678">
        <v>43686</v>
      </c>
      <c r="C176" s="843">
        <v>3.3923512747875396E-2</v>
      </c>
    </row>
    <row r="177" spans="2:3">
      <c r="B177" s="682">
        <v>43693</v>
      </c>
      <c r="C177" s="642">
        <v>-2.3426262072744702E-2</v>
      </c>
    </row>
    <row r="178" spans="2:3">
      <c r="B178" s="678">
        <v>43700</v>
      </c>
      <c r="C178" s="843">
        <v>-1.0661429473241099E-2</v>
      </c>
    </row>
    <row r="179" spans="2:3">
      <c r="B179" s="682">
        <v>43707</v>
      </c>
      <c r="C179" s="642">
        <v>-4.6366536689117499E-2</v>
      </c>
    </row>
    <row r="180" spans="2:3">
      <c r="B180" s="678">
        <v>43714</v>
      </c>
      <c r="C180" s="843">
        <v>-1.70991004386289E-2</v>
      </c>
    </row>
    <row r="181" spans="2:3">
      <c r="B181" s="682">
        <v>43721</v>
      </c>
      <c r="C181" s="642">
        <v>-3.7969896376976099E-2</v>
      </c>
    </row>
    <row r="182" spans="2:3">
      <c r="B182" s="678">
        <v>43728</v>
      </c>
      <c r="C182" s="843">
        <v>7.6106612155043704E-2</v>
      </c>
    </row>
    <row r="183" spans="2:3">
      <c r="B183" s="682">
        <v>43735</v>
      </c>
      <c r="C183" s="642">
        <v>-0.10111784905384599</v>
      </c>
    </row>
    <row r="184" spans="2:3">
      <c r="B184" s="678">
        <v>43742</v>
      </c>
      <c r="C184" s="843">
        <v>7.1852393725107599E-2</v>
      </c>
    </row>
    <row r="185" spans="2:3">
      <c r="B185" s="682">
        <v>43749</v>
      </c>
      <c r="C185" s="642">
        <v>-3.3290361719875601E-2</v>
      </c>
    </row>
    <row r="186" spans="2:3">
      <c r="B186" s="678">
        <v>43756</v>
      </c>
      <c r="C186" s="843">
        <v>-8.3307185440853401E-2</v>
      </c>
    </row>
    <row r="187" spans="2:3">
      <c r="B187" s="682">
        <v>43763</v>
      </c>
      <c r="C187" s="642">
        <v>-2.6014033886701999E-2</v>
      </c>
    </row>
    <row r="188" spans="2:3">
      <c r="B188" s="678">
        <v>43770</v>
      </c>
      <c r="C188" s="843">
        <v>7.50307503075031E-2</v>
      </c>
    </row>
    <row r="189" spans="2:3">
      <c r="B189" s="682">
        <v>43777</v>
      </c>
      <c r="C189" s="642">
        <v>-2.7868584504739998E-2</v>
      </c>
    </row>
    <row r="190" spans="2:3">
      <c r="B190" s="678">
        <v>43784</v>
      </c>
      <c r="C190" s="843">
        <v>3.1778058007566098E-2</v>
      </c>
    </row>
    <row r="191" spans="2:3">
      <c r="B191" s="682">
        <v>43791</v>
      </c>
      <c r="C191" s="642">
        <v>2.6480893017192201E-2</v>
      </c>
    </row>
    <row r="192" spans="2:3">
      <c r="B192" s="678">
        <v>43798</v>
      </c>
      <c r="C192" s="843">
        <v>8.9696777266232691E-3</v>
      </c>
    </row>
    <row r="193" spans="2:3">
      <c r="B193" s="682">
        <v>43805</v>
      </c>
      <c r="C193" s="642">
        <v>-2.9502006136417198E-2</v>
      </c>
    </row>
    <row r="194" spans="2:3">
      <c r="B194" s="678">
        <v>43812</v>
      </c>
      <c r="C194" s="843">
        <v>-2.8777561608300899E-2</v>
      </c>
    </row>
    <row r="195" spans="2:3">
      <c r="B195" s="682">
        <v>43819</v>
      </c>
      <c r="C195" s="642">
        <v>1.0683582338703E-2</v>
      </c>
    </row>
    <row r="196" spans="2:3">
      <c r="B196" s="678">
        <v>43826</v>
      </c>
      <c r="C196" s="843">
        <v>2.4774960772977402E-4</v>
      </c>
    </row>
    <row r="197" spans="2:3">
      <c r="B197" s="682">
        <v>43833</v>
      </c>
      <c r="C197" s="642">
        <v>1.5852047556142702E-2</v>
      </c>
    </row>
    <row r="198" spans="2:3">
      <c r="B198" s="678">
        <v>43840</v>
      </c>
      <c r="C198" s="843">
        <v>8.8263979193758002E-2</v>
      </c>
    </row>
    <row r="199" spans="2:3">
      <c r="B199" s="682">
        <v>43847</v>
      </c>
      <c r="C199" s="642">
        <v>-7.8416728902166392E-3</v>
      </c>
    </row>
    <row r="200" spans="2:3">
      <c r="B200" s="678">
        <v>43854</v>
      </c>
      <c r="C200" s="843">
        <v>0.104930372600677</v>
      </c>
    </row>
    <row r="201" spans="2:3">
      <c r="B201" s="682">
        <v>43861</v>
      </c>
      <c r="C201" s="642">
        <v>1.4306151645206899E-3</v>
      </c>
    </row>
    <row r="202" spans="2:3">
      <c r="B202" s="678">
        <v>43868</v>
      </c>
      <c r="C202" s="843">
        <v>6.8027210884353791E-3</v>
      </c>
    </row>
    <row r="203" spans="2:3">
      <c r="B203" s="682">
        <v>43875</v>
      </c>
      <c r="C203" s="642">
        <v>4.3378378378378296E-2</v>
      </c>
    </row>
    <row r="204" spans="2:3">
      <c r="B204" s="678">
        <v>43882</v>
      </c>
      <c r="C204" s="843">
        <v>-5.49799248801967E-2</v>
      </c>
    </row>
    <row r="205" spans="2:3">
      <c r="B205" s="682">
        <v>43889</v>
      </c>
      <c r="C205" s="642">
        <v>-6.6470225450558891E-3</v>
      </c>
    </row>
    <row r="206" spans="2:3">
      <c r="B206" s="678">
        <v>43896</v>
      </c>
      <c r="C206" s="843">
        <v>-4.13907284768211E-3</v>
      </c>
    </row>
    <row r="207" spans="2:3">
      <c r="B207" s="682">
        <v>43903</v>
      </c>
      <c r="C207" s="642">
        <v>-0.11374341922970301</v>
      </c>
    </row>
    <row r="208" spans="2:3">
      <c r="B208" s="678">
        <v>43910</v>
      </c>
      <c r="C208" s="843">
        <v>-1.5944974206659298E-2</v>
      </c>
    </row>
    <row r="209" spans="2:3">
      <c r="B209" s="682">
        <v>43917</v>
      </c>
      <c r="C209" s="642">
        <v>0.129864972200158</v>
      </c>
    </row>
    <row r="210" spans="2:3">
      <c r="B210" s="678">
        <v>43924</v>
      </c>
      <c r="C210" s="843">
        <v>-8.6397188049208998E-2</v>
      </c>
    </row>
    <row r="211" spans="2:3">
      <c r="B211" s="682">
        <v>43930</v>
      </c>
      <c r="C211" s="642">
        <v>6.1480455524776698E-2</v>
      </c>
    </row>
    <row r="212" spans="2:3">
      <c r="B212" s="678">
        <v>43938</v>
      </c>
      <c r="C212" s="843">
        <v>0.103660746647336</v>
      </c>
    </row>
    <row r="213" spans="2:3">
      <c r="B213" s="682">
        <v>43945</v>
      </c>
      <c r="C213" s="642">
        <v>4.5977011494247001E-4</v>
      </c>
    </row>
    <row r="214" spans="2:3">
      <c r="B214" s="678">
        <v>43952</v>
      </c>
      <c r="C214" s="843">
        <v>1.4902836134453801E-2</v>
      </c>
    </row>
    <row r="215" spans="2:3">
      <c r="B215" s="682">
        <v>43959</v>
      </c>
      <c r="C215" s="642">
        <v>0.139724432369493</v>
      </c>
    </row>
    <row r="216" spans="2:3">
      <c r="B216" s="678">
        <v>43966</v>
      </c>
      <c r="C216" s="843">
        <v>5.8516374368579399E-2</v>
      </c>
    </row>
    <row r="217" spans="2:3">
      <c r="B217" s="682">
        <v>43973</v>
      </c>
      <c r="C217" s="642">
        <v>-2.0911528150134001E-2</v>
      </c>
    </row>
    <row r="218" spans="2:3">
      <c r="B218" s="678">
        <v>43980</v>
      </c>
      <c r="C218" s="843">
        <v>1.47864184008763E-2</v>
      </c>
    </row>
    <row r="219" spans="2:3">
      <c r="B219" s="682">
        <v>43987</v>
      </c>
      <c r="C219" s="642">
        <v>-5.9579060982191095E-2</v>
      </c>
    </row>
    <row r="220" spans="2:3">
      <c r="B220" s="678">
        <v>43994</v>
      </c>
      <c r="C220" s="843">
        <v>-1.5149776196487901E-2</v>
      </c>
    </row>
    <row r="221" spans="2:3">
      <c r="B221" s="682">
        <v>44001</v>
      </c>
      <c r="C221" s="642">
        <v>5.94336324437705E-3</v>
      </c>
    </row>
    <row r="222" spans="2:3">
      <c r="B222" s="678">
        <v>44008</v>
      </c>
      <c r="C222" s="843">
        <v>4.8482391102873106E-2</v>
      </c>
    </row>
    <row r="223" spans="2:3">
      <c r="B223" s="682">
        <v>44014</v>
      </c>
      <c r="C223" s="642">
        <v>5.0107728854759497E-2</v>
      </c>
    </row>
    <row r="224" spans="2:3">
      <c r="B224" s="678">
        <v>44022</v>
      </c>
      <c r="C224" s="843">
        <v>1.0101010101009899E-2</v>
      </c>
    </row>
    <row r="225" spans="2:3">
      <c r="B225" s="682">
        <v>44029</v>
      </c>
      <c r="C225" s="642">
        <v>-9.9687499999999887E-2</v>
      </c>
    </row>
    <row r="226" spans="2:3">
      <c r="B226" s="678">
        <v>44036</v>
      </c>
      <c r="C226" s="843">
        <v>6.6412125419414506E-2</v>
      </c>
    </row>
    <row r="227" spans="2:3">
      <c r="B227" s="682">
        <v>44043</v>
      </c>
      <c r="C227" s="642">
        <v>-4.1716393620483794E-2</v>
      </c>
    </row>
    <row r="228" spans="2:3">
      <c r="B228" s="678">
        <v>44050</v>
      </c>
      <c r="C228" s="843">
        <v>-3.2380413246532701E-2</v>
      </c>
    </row>
    <row r="229" spans="2:3">
      <c r="B229" s="682">
        <v>44057</v>
      </c>
      <c r="C229" s="642">
        <v>-4.8206868308664302E-2</v>
      </c>
    </row>
    <row r="230" spans="2:3">
      <c r="B230" s="678">
        <v>44064</v>
      </c>
      <c r="C230" s="843">
        <v>2.4279304198168102E-2</v>
      </c>
    </row>
    <row r="231" spans="2:3">
      <c r="B231" s="682">
        <v>44071</v>
      </c>
      <c r="C231" s="642">
        <v>0.154764762361978</v>
      </c>
    </row>
    <row r="232" spans="2:3">
      <c r="B232" s="678">
        <v>44078</v>
      </c>
      <c r="C232" s="843">
        <v>-8.7772176895494505E-2</v>
      </c>
    </row>
    <row r="233" spans="2:3">
      <c r="B233" s="682">
        <v>44085</v>
      </c>
      <c r="C233" s="642">
        <v>-4.5060954768143896E-2</v>
      </c>
    </row>
    <row r="234" spans="2:3">
      <c r="B234" s="678">
        <v>44092</v>
      </c>
      <c r="C234" s="843">
        <v>2.0938972737576802E-2</v>
      </c>
    </row>
    <row r="235" spans="2:3">
      <c r="B235" s="682">
        <v>44099</v>
      </c>
      <c r="C235" s="642">
        <v>5.9308168750730396E-2</v>
      </c>
    </row>
    <row r="236" spans="2:3">
      <c r="B236" s="678">
        <v>44106</v>
      </c>
      <c r="C236" s="843">
        <v>1.9306084174526901E-2</v>
      </c>
    </row>
    <row r="237" spans="2:3">
      <c r="B237" s="682">
        <v>44113</v>
      </c>
      <c r="C237" s="642">
        <v>7.6086368309973493E-2</v>
      </c>
    </row>
    <row r="238" spans="2:3">
      <c r="B238" s="678">
        <v>44120</v>
      </c>
      <c r="C238" s="843">
        <v>4.3248679909479497E-2</v>
      </c>
    </row>
    <row r="239" spans="2:3">
      <c r="B239" s="682">
        <v>44127</v>
      </c>
      <c r="C239" s="642">
        <v>5.0132562063147602E-3</v>
      </c>
    </row>
    <row r="240" spans="2:3">
      <c r="B240" s="678">
        <v>44134</v>
      </c>
      <c r="C240" s="843">
        <v>-8.0915151805841995E-2</v>
      </c>
    </row>
    <row r="241" spans="2:3">
      <c r="B241" s="682">
        <v>44141</v>
      </c>
      <c r="C241" s="642">
        <v>3.4234422294123698E-2</v>
      </c>
    </row>
    <row r="242" spans="2:3">
      <c r="B242" s="678">
        <v>44148</v>
      </c>
      <c r="C242" s="843">
        <v>-2.7046119689171401E-2</v>
      </c>
    </row>
    <row r="243" spans="2:3">
      <c r="B243" s="682">
        <v>44155</v>
      </c>
      <c r="C243" s="642">
        <v>8.0956332330671205E-2</v>
      </c>
    </row>
    <row r="244" spans="2:3">
      <c r="B244" s="678">
        <v>44162</v>
      </c>
      <c r="C244" s="843">
        <v>7.4701338578899198E-2</v>
      </c>
    </row>
    <row r="245" spans="2:3">
      <c r="B245" s="682">
        <v>44169</v>
      </c>
      <c r="C245" s="642">
        <v>4.5089285714285899E-3</v>
      </c>
    </row>
    <row r="246" spans="2:3">
      <c r="B246" s="678">
        <v>44176</v>
      </c>
      <c r="C246" s="843">
        <v>3.11097284565129E-2</v>
      </c>
    </row>
    <row r="247" spans="2:3">
      <c r="B247" s="682">
        <v>44183</v>
      </c>
      <c r="C247" s="642">
        <v>6.7971208137580202E-2</v>
      </c>
    </row>
    <row r="248" spans="2:3">
      <c r="B248" s="678">
        <v>44189</v>
      </c>
      <c r="C248" s="843">
        <v>-2.4174671079183099E-2</v>
      </c>
    </row>
    <row r="249" spans="2:3">
      <c r="B249" s="682">
        <v>44196</v>
      </c>
      <c r="C249" s="642">
        <v>-3.2755697092518202E-2</v>
      </c>
    </row>
    <row r="250" spans="2:3">
      <c r="B250" s="678">
        <v>44204</v>
      </c>
      <c r="C250" s="843">
        <v>6.8841664172403201E-3</v>
      </c>
    </row>
    <row r="251" spans="2:3">
      <c r="B251" s="682">
        <v>44211</v>
      </c>
      <c r="C251" s="642">
        <v>-5.3295396636656903E-2</v>
      </c>
    </row>
    <row r="252" spans="2:3">
      <c r="B252" s="678">
        <v>44218</v>
      </c>
      <c r="C252" s="843">
        <v>5.6161126811106597E-2</v>
      </c>
    </row>
    <row r="253" spans="2:3">
      <c r="B253" s="682">
        <v>44225</v>
      </c>
      <c r="C253" s="642">
        <v>-1.8347844552983602E-2</v>
      </c>
    </row>
    <row r="254" spans="2:3">
      <c r="B254" s="678">
        <v>44232</v>
      </c>
      <c r="C254" s="843">
        <v>5.4817635097131404E-2</v>
      </c>
    </row>
    <row r="255" spans="2:3">
      <c r="B255" s="682">
        <v>44239</v>
      </c>
      <c r="C255" s="642">
        <v>3.7612797374897401E-2</v>
      </c>
    </row>
    <row r="256" spans="2:3">
      <c r="B256" s="678">
        <v>44246</v>
      </c>
      <c r="C256" s="843">
        <v>2.1504526228406502E-2</v>
      </c>
    </row>
    <row r="257" spans="2:3">
      <c r="B257" s="682">
        <v>44253</v>
      </c>
      <c r="C257" s="642">
        <v>-8.0143957277195199E-2</v>
      </c>
    </row>
    <row r="258" spans="2:3">
      <c r="B258" s="678">
        <v>44260</v>
      </c>
      <c r="C258" s="843">
        <v>-3.9924274295330103E-2</v>
      </c>
    </row>
    <row r="259" spans="2:3">
      <c r="B259" s="682">
        <v>44267</v>
      </c>
      <c r="C259" s="642">
        <v>4.6010253713684099E-3</v>
      </c>
    </row>
    <row r="260" spans="2:3">
      <c r="B260" s="678">
        <v>44274</v>
      </c>
      <c r="C260" s="843">
        <v>-4.4360115153101197E-2</v>
      </c>
    </row>
    <row r="261" spans="2:3">
      <c r="B261" s="682">
        <v>44281</v>
      </c>
      <c r="C261" s="642">
        <v>-2.8070655894837801E-2</v>
      </c>
    </row>
    <row r="262" spans="2:3">
      <c r="B262" s="678">
        <v>44287</v>
      </c>
      <c r="C262" s="843">
        <v>4.7525124448201304E-2</v>
      </c>
    </row>
    <row r="263" spans="2:3">
      <c r="B263" s="682">
        <v>44295</v>
      </c>
      <c r="C263" s="642">
        <v>1.0490450999730999E-2</v>
      </c>
    </row>
    <row r="264" spans="2:3">
      <c r="B264" s="678">
        <v>44302</v>
      </c>
      <c r="C264" s="843">
        <v>4.1526175687666297E-2</v>
      </c>
    </row>
    <row r="265" spans="2:3">
      <c r="B265" s="682">
        <v>44309</v>
      </c>
      <c r="C265" s="642">
        <v>-1.6783097631623702E-2</v>
      </c>
    </row>
    <row r="266" spans="2:3">
      <c r="B266" s="678">
        <v>44316</v>
      </c>
      <c r="C266" s="843">
        <v>2.92002426132917E-2</v>
      </c>
    </row>
    <row r="267" spans="2:3">
      <c r="B267" s="682">
        <v>44323</v>
      </c>
      <c r="C267" s="642">
        <v>-7.5475669304596801E-2</v>
      </c>
    </row>
    <row r="268" spans="2:3">
      <c r="B268" s="678">
        <v>44330</v>
      </c>
      <c r="C268" s="843">
        <v>-2.1126439921686301E-2</v>
      </c>
    </row>
    <row r="269" spans="2:3">
      <c r="B269" s="682">
        <v>44337</v>
      </c>
      <c r="C269" s="642">
        <v>4.0280943299688197E-2</v>
      </c>
    </row>
    <row r="270" spans="2:3">
      <c r="B270" s="678">
        <v>44344</v>
      </c>
      <c r="C270" s="843">
        <v>4.3058350100603597E-2</v>
      </c>
    </row>
    <row r="271" spans="2:3">
      <c r="B271" s="682">
        <v>44351</v>
      </c>
      <c r="C271" s="642">
        <v>-3.1721536351166001E-2</v>
      </c>
    </row>
    <row r="272" spans="2:3">
      <c r="B272" s="678">
        <v>44358</v>
      </c>
      <c r="C272" s="843">
        <v>8.0618027271117401E-2</v>
      </c>
    </row>
    <row r="273" spans="2:3">
      <c r="B273" s="682">
        <v>44365</v>
      </c>
      <c r="C273" s="642">
        <v>9.2056208775451703E-2</v>
      </c>
    </row>
    <row r="274" spans="2:3">
      <c r="B274" s="678">
        <v>44372</v>
      </c>
      <c r="C274" s="843">
        <v>-7.0153061224490498E-3</v>
      </c>
    </row>
    <row r="275" spans="2:3">
      <c r="B275" s="682">
        <v>44379</v>
      </c>
      <c r="C275" s="642">
        <v>-7.4426687823490002E-3</v>
      </c>
    </row>
    <row r="276" spans="2:3">
      <c r="B276" s="678">
        <v>44386</v>
      </c>
      <c r="C276" s="843">
        <v>2.2533495736906103E-2</v>
      </c>
    </row>
    <row r="277" spans="2:3">
      <c r="B277" s="682">
        <v>44393</v>
      </c>
      <c r="C277" s="642">
        <v>-2.9779630732578898E-2</v>
      </c>
    </row>
    <row r="278" spans="2:3">
      <c r="B278" s="678">
        <v>44400</v>
      </c>
      <c r="C278" s="843">
        <v>4.0860957642725598E-2</v>
      </c>
    </row>
    <row r="279" spans="2:3">
      <c r="B279" s="682">
        <v>44407</v>
      </c>
      <c r="C279" s="642">
        <v>0.19842235246415199</v>
      </c>
    </row>
    <row r="280" spans="2:3">
      <c r="B280" s="678">
        <v>44414</v>
      </c>
      <c r="C280" s="843">
        <v>2.8881643700787198E-2</v>
      </c>
    </row>
    <row r="281" spans="2:3">
      <c r="B281" s="682">
        <v>44421</v>
      </c>
      <c r="C281" s="642">
        <v>1.02538040716271E-2</v>
      </c>
    </row>
    <row r="282" spans="2:3">
      <c r="B282" s="678">
        <v>44428</v>
      </c>
      <c r="C282" s="843">
        <v>2.3850387642776898E-2</v>
      </c>
    </row>
    <row r="283" spans="2:3">
      <c r="B283" s="682">
        <v>44435</v>
      </c>
      <c r="C283" s="642">
        <v>3.5664739884392997E-2</v>
      </c>
    </row>
    <row r="284" spans="2:3">
      <c r="B284" s="678">
        <v>44442</v>
      </c>
      <c r="C284" s="843">
        <v>7.325445107997991E-2</v>
      </c>
    </row>
    <row r="285" spans="2:3">
      <c r="B285" s="682">
        <v>44449</v>
      </c>
      <c r="C285" s="642">
        <v>-1.20127928443275E-2</v>
      </c>
    </row>
    <row r="286" spans="2:3">
      <c r="B286" s="678">
        <v>44456</v>
      </c>
      <c r="C286" s="843">
        <v>6.4820906913703707E-2</v>
      </c>
    </row>
    <row r="287" spans="2:3">
      <c r="B287" s="682">
        <v>44463</v>
      </c>
      <c r="C287" s="642">
        <v>2.3084527928818498E-2</v>
      </c>
    </row>
    <row r="288" spans="2:3">
      <c r="B288" s="678">
        <v>44470</v>
      </c>
      <c r="C288" s="843">
        <v>-5.2471372662704602E-2</v>
      </c>
    </row>
    <row r="289" spans="2:3">
      <c r="B289" s="682">
        <v>44477</v>
      </c>
      <c r="C289" s="642">
        <v>-3.7733924838101399E-3</v>
      </c>
    </row>
    <row r="290" spans="2:3">
      <c r="B290" s="678">
        <v>44484</v>
      </c>
      <c r="C290" s="843">
        <v>4.8625684598454198E-2</v>
      </c>
    </row>
    <row r="291" spans="2:3">
      <c r="B291" s="682">
        <v>44491</v>
      </c>
      <c r="C291" s="642">
        <v>3.2850100063454901E-2</v>
      </c>
    </row>
    <row r="292" spans="2:3">
      <c r="B292" s="678">
        <v>44498</v>
      </c>
      <c r="C292" s="843">
        <v>8.2537807183364897E-2</v>
      </c>
    </row>
    <row r="293" spans="2:3">
      <c r="B293" s="682">
        <v>44505</v>
      </c>
      <c r="C293" s="642">
        <v>-3.9093707026389798E-2</v>
      </c>
    </row>
    <row r="294" spans="2:3">
      <c r="B294" s="678">
        <v>44512</v>
      </c>
      <c r="C294" s="843">
        <v>1.1130798237245E-2</v>
      </c>
    </row>
    <row r="295" spans="2:3">
      <c r="B295" s="682">
        <v>44519</v>
      </c>
      <c r="C295" s="642">
        <v>-3.4282890007189003E-2</v>
      </c>
    </row>
    <row r="296" spans="2:3">
      <c r="B296" s="678">
        <v>44526</v>
      </c>
      <c r="C296" s="843">
        <v>-8.9145303121946601E-2</v>
      </c>
    </row>
    <row r="297" spans="2:3">
      <c r="B297" s="682">
        <v>44533</v>
      </c>
      <c r="C297" s="642">
        <v>-0.107370894416917</v>
      </c>
    </row>
    <row r="298" spans="2:3">
      <c r="B298" s="678">
        <v>44540</v>
      </c>
      <c r="C298" s="843">
        <v>6.6151645207439103E-2</v>
      </c>
    </row>
    <row r="299" spans="2:3">
      <c r="B299" s="682">
        <v>44547</v>
      </c>
      <c r="C299" s="642">
        <v>-5.8128924910096094E-2</v>
      </c>
    </row>
    <row r="300" spans="2:3">
      <c r="B300" s="678">
        <v>44553</v>
      </c>
      <c r="C300" s="843">
        <v>0.105311146569409</v>
      </c>
    </row>
    <row r="301" spans="2:3">
      <c r="B301" s="682">
        <v>44561</v>
      </c>
      <c r="C301" s="642">
        <v>-1.7091152815013298E-2</v>
      </c>
    </row>
    <row r="302" spans="2:3">
      <c r="B302" s="678">
        <v>44568</v>
      </c>
      <c r="C302" s="843">
        <v>-0.20346717721419399</v>
      </c>
    </row>
    <row r="303" spans="2:3">
      <c r="B303" s="682">
        <v>44575</v>
      </c>
      <c r="C303" s="642">
        <v>-2.0809324684732098E-2</v>
      </c>
    </row>
    <row r="304" spans="2:3">
      <c r="B304" s="678">
        <v>44582</v>
      </c>
      <c r="C304" s="843">
        <v>-4.8387639127072106E-2</v>
      </c>
    </row>
    <row r="305" spans="2:3">
      <c r="B305" s="682">
        <v>44589</v>
      </c>
      <c r="C305" s="642">
        <v>0.127809187279152</v>
      </c>
    </row>
    <row r="306" spans="2:3">
      <c r="B306" s="678">
        <v>44596</v>
      </c>
      <c r="C306" s="843">
        <v>5.4516401917472602E-3</v>
      </c>
    </row>
    <row r="307" spans="2:3">
      <c r="B307" s="682">
        <v>44603</v>
      </c>
      <c r="C307" s="642">
        <v>2.6487177090148599E-3</v>
      </c>
    </row>
    <row r="308" spans="2:3">
      <c r="B308" s="678">
        <v>44610</v>
      </c>
      <c r="C308" s="843">
        <v>-7.3626305320735996E-2</v>
      </c>
    </row>
    <row r="309" spans="2:3">
      <c r="B309" s="682">
        <v>44617</v>
      </c>
      <c r="C309" s="642">
        <v>2.33502197470392E-2</v>
      </c>
    </row>
    <row r="310" spans="2:3">
      <c r="B310" s="678">
        <v>44624</v>
      </c>
      <c r="C310" s="843">
        <v>-0.122676458053306</v>
      </c>
    </row>
    <row r="311" spans="2:3">
      <c r="B311" s="682">
        <v>44631</v>
      </c>
      <c r="C311" s="642">
        <v>-7.9294495721385597E-2</v>
      </c>
    </row>
    <row r="312" spans="2:3">
      <c r="B312" s="678">
        <v>44638</v>
      </c>
      <c r="C312" s="843">
        <v>0.19619302731442001</v>
      </c>
    </row>
    <row r="313" spans="2:3">
      <c r="B313" s="682">
        <v>44645</v>
      </c>
      <c r="C313" s="642">
        <v>-3.5693685746276398E-2</v>
      </c>
    </row>
    <row r="314" spans="2:3">
      <c r="B314" s="678">
        <v>44652</v>
      </c>
      <c r="C314" s="843">
        <v>7.5789029238943095E-2</v>
      </c>
    </row>
    <row r="315" spans="2:3">
      <c r="B315" s="682">
        <v>44659</v>
      </c>
      <c r="C315" s="642">
        <v>-0.11031888798037601</v>
      </c>
    </row>
    <row r="316" spans="2:3">
      <c r="B316" s="678">
        <v>44665</v>
      </c>
      <c r="C316" s="843">
        <v>-2.45202558635393E-2</v>
      </c>
    </row>
    <row r="317" spans="2:3">
      <c r="B317" s="682">
        <v>44673</v>
      </c>
      <c r="C317" s="642">
        <v>-7.5598266440550302E-2</v>
      </c>
    </row>
    <row r="318" spans="2:3">
      <c r="B318" s="678">
        <v>44680</v>
      </c>
      <c r="C318" s="843">
        <v>-8.3411472135023701E-2</v>
      </c>
    </row>
    <row r="319" spans="2:3">
      <c r="B319" s="682">
        <v>44687</v>
      </c>
      <c r="C319" s="642">
        <v>-0.10038695903571501</v>
      </c>
    </row>
    <row r="320" spans="2:3">
      <c r="B320" s="678">
        <v>44694</v>
      </c>
      <c r="C320" s="843">
        <v>-6.6053594383466793E-2</v>
      </c>
    </row>
    <row r="321" spans="2:3">
      <c r="B321" s="682">
        <v>44701</v>
      </c>
      <c r="C321" s="642">
        <v>-6.0878771836950694E-2</v>
      </c>
    </row>
    <row r="322" spans="2:3">
      <c r="B322" s="678">
        <v>44708</v>
      </c>
      <c r="C322" s="843">
        <v>4.1600901916572598E-2</v>
      </c>
    </row>
    <row r="323" spans="2:3">
      <c r="B323" s="682">
        <v>44715</v>
      </c>
      <c r="C323" s="642">
        <v>3.1334560017317797E-2</v>
      </c>
    </row>
    <row r="324" spans="2:3">
      <c r="B324" s="678">
        <v>44722</v>
      </c>
      <c r="C324" s="843">
        <v>-3.5472529779083703E-2</v>
      </c>
    </row>
    <row r="325" spans="2:3">
      <c r="B325" s="682">
        <v>44729</v>
      </c>
      <c r="C325" s="642">
        <v>-2.8616506174854402E-2</v>
      </c>
    </row>
    <row r="326" spans="2:3">
      <c r="B326" s="678">
        <v>44736</v>
      </c>
      <c r="C326" s="843">
        <v>0.14992999159899101</v>
      </c>
    </row>
    <row r="327" spans="2:3">
      <c r="B327" s="682">
        <v>44743</v>
      </c>
      <c r="C327" s="642">
        <v>-3.8038184297681597E-2</v>
      </c>
    </row>
    <row r="328" spans="2:3">
      <c r="B328" s="678">
        <v>44750</v>
      </c>
      <c r="C328" s="843">
        <v>8.3894486355121409E-2</v>
      </c>
    </row>
    <row r="329" spans="2:3">
      <c r="B329" s="682">
        <v>44757</v>
      </c>
      <c r="C329" s="642">
        <v>-0.117666292974589</v>
      </c>
    </row>
    <row r="330" spans="2:3">
      <c r="B330" s="678">
        <v>44764</v>
      </c>
      <c r="C330" s="843">
        <v>7.0834877441897398E-2</v>
      </c>
    </row>
    <row r="331" spans="2:3">
      <c r="B331" s="682">
        <v>44771</v>
      </c>
      <c r="C331" s="642">
        <v>3.485440253127E-2</v>
      </c>
    </row>
    <row r="332" spans="2:3">
      <c r="B332" s="678">
        <v>44778</v>
      </c>
      <c r="C332" s="843">
        <v>0.28315497802407702</v>
      </c>
    </row>
    <row r="333" spans="2:3">
      <c r="B333" s="682">
        <v>44785</v>
      </c>
      <c r="C333" s="642">
        <v>5.4581332141926397E-2</v>
      </c>
    </row>
    <row r="334" spans="2:3">
      <c r="B334" s="678">
        <v>44792</v>
      </c>
      <c r="C334" s="843">
        <v>-4.91085613415711E-2</v>
      </c>
    </row>
    <row r="335" spans="2:3">
      <c r="B335" s="682">
        <v>44799</v>
      </c>
      <c r="C335" s="642">
        <v>-4.5630058661914094E-2</v>
      </c>
    </row>
    <row r="336" spans="2:3">
      <c r="B336" s="678">
        <v>44806</v>
      </c>
      <c r="C336" s="843">
        <v>-9.5817934254036188E-2</v>
      </c>
    </row>
    <row r="337" spans="2:3">
      <c r="B337" s="682">
        <v>44813</v>
      </c>
      <c r="C337" s="642">
        <v>0.11406075208673901</v>
      </c>
    </row>
    <row r="338" spans="2:3">
      <c r="B338" s="678">
        <v>44820</v>
      </c>
      <c r="C338" s="843">
        <v>-6.19086239524195E-2</v>
      </c>
    </row>
    <row r="339" spans="2:3">
      <c r="B339" s="682">
        <v>44827</v>
      </c>
      <c r="C339" s="642">
        <v>-0.10432276657060501</v>
      </c>
    </row>
    <row r="340" spans="2:3">
      <c r="B340" s="678">
        <v>44834</v>
      </c>
      <c r="C340" s="843">
        <v>-3.2037139179996198E-2</v>
      </c>
    </row>
    <row r="341" spans="2:3">
      <c r="B341" s="682">
        <v>44841</v>
      </c>
      <c r="C341" s="642">
        <v>8.3812146825585201E-2</v>
      </c>
    </row>
    <row r="342" spans="2:3">
      <c r="B342" s="678">
        <v>44848</v>
      </c>
      <c r="C342" s="843">
        <v>-0.17192429022081998</v>
      </c>
    </row>
    <row r="343" spans="2:3">
      <c r="B343" s="682">
        <v>44855</v>
      </c>
      <c r="C343" s="642">
        <v>2.6984126984126798E-2</v>
      </c>
    </row>
    <row r="344" spans="2:3">
      <c r="B344" s="678">
        <v>44862</v>
      </c>
      <c r="C344" s="843">
        <v>3.4621329211746502E-2</v>
      </c>
    </row>
    <row r="345" spans="2:3">
      <c r="B345" s="682">
        <v>44869</v>
      </c>
      <c r="C345" s="642">
        <v>-0.38387610795737404</v>
      </c>
    </row>
    <row r="346" spans="2:3">
      <c r="B346" s="678">
        <v>44876</v>
      </c>
      <c r="C346" s="843">
        <v>0.150650610199628</v>
      </c>
    </row>
    <row r="347" spans="2:3">
      <c r="B347" s="682">
        <v>44883</v>
      </c>
      <c r="C347" s="642">
        <v>-0.16583549905176601</v>
      </c>
    </row>
    <row r="348" spans="2:3">
      <c r="B348" s="678">
        <v>44890</v>
      </c>
      <c r="C348" s="843">
        <v>4.52172448635903E-2</v>
      </c>
    </row>
    <row r="349" spans="2:3">
      <c r="B349" s="682">
        <v>44897</v>
      </c>
      <c r="C349" s="642">
        <v>0.13590590509949199</v>
      </c>
    </row>
    <row r="350" spans="2:3">
      <c r="B350" s="678">
        <v>44904</v>
      </c>
      <c r="C350" s="843">
        <v>-2.6028368794326101E-2</v>
      </c>
    </row>
    <row r="351" spans="2:3">
      <c r="B351" s="682">
        <v>44911</v>
      </c>
      <c r="C351" s="642">
        <v>7.2307580281074604E-2</v>
      </c>
    </row>
    <row r="352" spans="2:3">
      <c r="B352" s="678">
        <v>44918</v>
      </c>
      <c r="C352" s="843">
        <v>-0.13608583457829598</v>
      </c>
    </row>
    <row r="353" spans="2:3">
      <c r="B353" s="682">
        <v>44925</v>
      </c>
      <c r="C353" s="642">
        <v>1.1476182990096E-2</v>
      </c>
    </row>
    <row r="354" spans="2:3">
      <c r="B354" s="678">
        <v>44932</v>
      </c>
      <c r="C354" s="843">
        <v>-5.7506994093876197E-2</v>
      </c>
    </row>
    <row r="355" spans="2:3">
      <c r="B355" s="682">
        <v>44939</v>
      </c>
      <c r="C355" s="642">
        <v>0.22031662269129199</v>
      </c>
    </row>
    <row r="356" spans="2:3">
      <c r="B356" s="678">
        <v>44946</v>
      </c>
      <c r="C356" s="843">
        <v>6.5878378378378205E-2</v>
      </c>
    </row>
    <row r="357" spans="2:3">
      <c r="B357" s="682">
        <v>44953</v>
      </c>
      <c r="C357" s="642">
        <v>4.1204437400950804E-2</v>
      </c>
    </row>
    <row r="358" spans="2:3">
      <c r="B358" s="678">
        <v>44960</v>
      </c>
      <c r="C358" s="843">
        <v>3.07458143074581E-2</v>
      </c>
    </row>
    <row r="359" spans="2:3">
      <c r="B359" s="682">
        <v>44967</v>
      </c>
      <c r="C359" s="642">
        <v>1.7306556408741701E-2</v>
      </c>
    </row>
    <row r="360" spans="2:3">
      <c r="B360" s="678">
        <v>44974</v>
      </c>
      <c r="C360" s="843">
        <v>-2.1308715090286201E-2</v>
      </c>
    </row>
    <row r="361" spans="2:3">
      <c r="B361" s="682">
        <v>44981</v>
      </c>
      <c r="C361" s="642">
        <v>-3.5654959658281901E-2</v>
      </c>
    </row>
    <row r="362" spans="2:3">
      <c r="B362" s="678">
        <v>44988</v>
      </c>
      <c r="C362" s="843">
        <v>9.2156259612426794E-2</v>
      </c>
    </row>
    <row r="363" spans="2:3">
      <c r="B363" s="682">
        <v>44995</v>
      </c>
      <c r="C363" s="642">
        <v>-0.12251450459077301</v>
      </c>
    </row>
    <row r="364" spans="2:3">
      <c r="B364" s="678">
        <v>45002</v>
      </c>
      <c r="C364" s="843">
        <v>1.5855693927333301E-2</v>
      </c>
    </row>
    <row r="365" spans="2:3">
      <c r="B365" s="682">
        <v>45009</v>
      </c>
      <c r="C365" s="642">
        <v>-3.4944707740916202E-2</v>
      </c>
    </row>
    <row r="366" spans="2:3">
      <c r="B366" s="678">
        <v>45016</v>
      </c>
      <c r="C366" s="843">
        <v>0.12080932425353501</v>
      </c>
    </row>
    <row r="367" spans="2:3">
      <c r="B367" s="682">
        <v>45022</v>
      </c>
      <c r="C367" s="642">
        <v>-7.3786294327276902E-2</v>
      </c>
    </row>
    <row r="368" spans="2:3">
      <c r="B368" s="678">
        <v>45030</v>
      </c>
      <c r="C368" s="843">
        <v>4.4089819603885402E-2</v>
      </c>
    </row>
    <row r="369" spans="2:3">
      <c r="B369" s="682">
        <v>45037</v>
      </c>
      <c r="C369" s="642">
        <v>-4.2167582915483504E-2</v>
      </c>
    </row>
    <row r="370" spans="2:3">
      <c r="B370" s="678">
        <v>45044</v>
      </c>
      <c r="C370" s="843">
        <v>-6.8684957426679294E-2</v>
      </c>
    </row>
    <row r="371" spans="2:3">
      <c r="B371" s="682">
        <v>45051</v>
      </c>
      <c r="C371" s="642">
        <v>-8.0793715291886808E-2</v>
      </c>
    </row>
    <row r="372" spans="2:3">
      <c r="B372" s="678">
        <v>45058</v>
      </c>
      <c r="C372" s="843">
        <v>-5.2309732557281798E-3</v>
      </c>
    </row>
    <row r="373" spans="2:3">
      <c r="B373" s="682">
        <v>45065</v>
      </c>
      <c r="C373" s="642">
        <v>8.8653532809954E-2</v>
      </c>
    </row>
    <row r="374" spans="2:3">
      <c r="B374" s="678">
        <v>45072</v>
      </c>
      <c r="C374" s="843">
        <v>0.13034900333356</v>
      </c>
    </row>
    <row r="375" spans="2:3">
      <c r="B375" s="682">
        <v>45079</v>
      </c>
      <c r="C375" s="642">
        <v>0.106831176647607</v>
      </c>
    </row>
    <row r="376" spans="2:3">
      <c r="B376" s="678">
        <v>45086</v>
      </c>
      <c r="C376" s="843">
        <v>-6.4763458401304999E-2</v>
      </c>
    </row>
    <row r="377" spans="2:3">
      <c r="B377" s="682">
        <v>45093</v>
      </c>
      <c r="C377" s="642">
        <v>3.3781033781033802E-2</v>
      </c>
    </row>
    <row r="378" spans="2:3">
      <c r="B378" s="678">
        <v>45100</v>
      </c>
      <c r="C378" s="843">
        <v>-8.6557930258717691E-2</v>
      </c>
    </row>
    <row r="379" spans="2:3">
      <c r="B379" s="682">
        <v>45107</v>
      </c>
      <c r="C379" s="642">
        <v>3.3249184163536699E-2</v>
      </c>
    </row>
    <row r="380" spans="2:3">
      <c r="B380" s="678">
        <v>45114</v>
      </c>
      <c r="C380" s="843">
        <v>9.7729575114713294E-3</v>
      </c>
    </row>
    <row r="381" spans="2:3">
      <c r="B381" s="682">
        <v>45121</v>
      </c>
      <c r="C381" s="642">
        <v>5.6181764532310295E-2</v>
      </c>
    </row>
    <row r="382" spans="2:3">
      <c r="B382" s="678">
        <v>45128</v>
      </c>
      <c r="C382" s="843">
        <v>-2.5423255294183399E-2</v>
      </c>
    </row>
    <row r="383" spans="2:3">
      <c r="B383" s="682">
        <v>45135</v>
      </c>
      <c r="C383" s="642">
        <v>-1.2039903680769399E-3</v>
      </c>
    </row>
    <row r="384" spans="2:3">
      <c r="B384" s="678">
        <v>45142</v>
      </c>
      <c r="C384" s="843">
        <v>0.14138109178577499</v>
      </c>
    </row>
    <row r="385" spans="2:3">
      <c r="B385" s="682">
        <v>45149</v>
      </c>
      <c r="C385" s="642">
        <v>-5.9344196338765301E-3</v>
      </c>
    </row>
    <row r="386" spans="2:3">
      <c r="B386" s="678">
        <v>45156</v>
      </c>
      <c r="C386" s="843">
        <v>-5.7472427400586702E-2</v>
      </c>
    </row>
    <row r="387" spans="2:3">
      <c r="B387" s="682">
        <v>45163</v>
      </c>
      <c r="C387" s="642">
        <v>2.53354804079442E-2</v>
      </c>
    </row>
    <row r="388" spans="2:3">
      <c r="B388" s="678">
        <v>45170</v>
      </c>
      <c r="C388" s="843">
        <v>7.0306774159773808E-2</v>
      </c>
    </row>
    <row r="389" spans="2:3">
      <c r="B389" s="682">
        <v>45177</v>
      </c>
      <c r="C389" s="642">
        <v>1.0516018586451402E-2</v>
      </c>
    </row>
    <row r="390" spans="2:3">
      <c r="B390" s="678">
        <v>45184</v>
      </c>
      <c r="C390" s="843">
        <v>-1.7279767666989302E-2</v>
      </c>
    </row>
    <row r="391" spans="2:3">
      <c r="B391" s="682">
        <v>45191</v>
      </c>
      <c r="C391" s="642">
        <v>-3.7285130276313798E-2</v>
      </c>
    </row>
    <row r="392" spans="2:3">
      <c r="B392" s="678">
        <v>45198</v>
      </c>
      <c r="C392" s="843">
        <v>3.0952624577918503E-2</v>
      </c>
    </row>
    <row r="393" spans="2:3">
      <c r="B393" s="682">
        <v>45205</v>
      </c>
      <c r="C393" s="642">
        <v>-1.1413825616594599E-2</v>
      </c>
    </row>
    <row r="394" spans="2:3">
      <c r="B394" s="678">
        <v>45212</v>
      </c>
      <c r="C394" s="843">
        <v>-5.4716128708398107E-2</v>
      </c>
    </row>
    <row r="395" spans="2:3">
      <c r="B395" s="682">
        <v>45219</v>
      </c>
      <c r="C395" s="642">
        <v>-6.58488662312151E-3</v>
      </c>
    </row>
    <row r="396" spans="2:3">
      <c r="B396" s="678">
        <v>45226</v>
      </c>
      <c r="C396" s="843">
        <v>-5.6716737050301995E-2</v>
      </c>
    </row>
    <row r="397" spans="2:3">
      <c r="B397" s="682">
        <v>45233</v>
      </c>
      <c r="C397" s="642">
        <v>2.4934829423097701E-3</v>
      </c>
    </row>
    <row r="398" spans="2:3">
      <c r="B398" s="678">
        <v>45240</v>
      </c>
      <c r="C398" s="843">
        <v>-3.44827586206908E-3</v>
      </c>
    </row>
    <row r="399" spans="2:3">
      <c r="B399" s="682">
        <v>45247</v>
      </c>
      <c r="C399" s="642">
        <v>4.9350502013727399E-2</v>
      </c>
    </row>
    <row r="400" spans="2:3">
      <c r="B400" s="678">
        <v>45254</v>
      </c>
      <c r="C400" s="843">
        <v>-1.8379371857938202E-2</v>
      </c>
    </row>
    <row r="401" spans="2:3">
      <c r="B401" s="682">
        <v>45261</v>
      </c>
      <c r="C401" s="642">
        <v>7.4453439066027804E-2</v>
      </c>
    </row>
    <row r="402" spans="2:3">
      <c r="B402" s="678">
        <v>45268</v>
      </c>
      <c r="C402" s="843">
        <v>-1.40946132950643E-2</v>
      </c>
    </row>
    <row r="403" spans="2:3">
      <c r="B403" s="682">
        <v>45275</v>
      </c>
      <c r="C403" s="642">
        <v>0.19338739862757301</v>
      </c>
    </row>
    <row r="404" spans="2:3">
      <c r="B404" s="678">
        <v>45282</v>
      </c>
      <c r="C404" s="843">
        <v>4.8963234012894201E-2</v>
      </c>
    </row>
    <row r="405" spans="2:3">
      <c r="B405" s="682">
        <v>45289</v>
      </c>
      <c r="C405" s="642">
        <v>-1.22093023255813E-2</v>
      </c>
    </row>
    <row r="406" spans="2:3">
      <c r="B406" s="678">
        <v>45296</v>
      </c>
      <c r="C406" s="843">
        <v>-4.9440847557386702E-2</v>
      </c>
    </row>
    <row r="407" spans="2:3">
      <c r="B407" s="682">
        <v>45303</v>
      </c>
      <c r="C407" s="642">
        <v>4.8208757187085199E-2</v>
      </c>
    </row>
    <row r="408" spans="2:3">
      <c r="B408" s="678">
        <v>45310</v>
      </c>
      <c r="C408" s="843">
        <v>2.5147679324894499E-2</v>
      </c>
    </row>
    <row r="409" spans="2:3">
      <c r="B409" s="682">
        <v>45317</v>
      </c>
      <c r="C409" s="642">
        <v>1.9879815607507199E-2</v>
      </c>
    </row>
    <row r="410" spans="2:3">
      <c r="B410" s="678">
        <v>45324</v>
      </c>
      <c r="C410" s="843">
        <v>-0.122684531256305</v>
      </c>
    </row>
    <row r="411" spans="2:3">
      <c r="B411" s="682">
        <v>45331</v>
      </c>
      <c r="C411" s="642">
        <v>6.3020378122269306E-3</v>
      </c>
    </row>
    <row r="412" spans="2:3">
      <c r="B412" s="678">
        <v>45338</v>
      </c>
      <c r="C412" s="843">
        <v>-4.9917718047174903E-2</v>
      </c>
    </row>
    <row r="413" spans="2:3">
      <c r="B413" s="682">
        <v>45345</v>
      </c>
      <c r="C413" s="642">
        <v>-1.6358737490377098E-2</v>
      </c>
    </row>
    <row r="414" spans="2:3">
      <c r="B414" s="678">
        <v>45352</v>
      </c>
      <c r="C414" s="843">
        <v>2.3283114850322702E-2</v>
      </c>
    </row>
    <row r="415" spans="2:3">
      <c r="B415" s="682">
        <v>45359</v>
      </c>
      <c r="C415" s="642">
        <v>-1.9120458891012098E-3</v>
      </c>
    </row>
    <row r="416" spans="2:3">
      <c r="B416" s="678">
        <v>45366</v>
      </c>
      <c r="C416" s="843">
        <v>-6.8821839080459801E-2</v>
      </c>
    </row>
    <row r="417" spans="2:3">
      <c r="B417" s="682">
        <v>45373</v>
      </c>
      <c r="C417" s="642">
        <v>-9.7721545029059095E-3</v>
      </c>
    </row>
    <row r="418" spans="2:3">
      <c r="B418" s="678">
        <v>45379</v>
      </c>
      <c r="C418" s="843">
        <v>1.34005090115827E-2</v>
      </c>
    </row>
    <row r="419" spans="2:3">
      <c r="B419" s="682">
        <v>45387</v>
      </c>
      <c r="C419" s="642">
        <v>7.7392240274716199E-3</v>
      </c>
    </row>
    <row r="420" spans="2:3">
      <c r="B420" s="678">
        <v>45394</v>
      </c>
      <c r="C420" s="843">
        <v>5.0401790255314799E-2</v>
      </c>
    </row>
    <row r="421" spans="2:3">
      <c r="B421" s="682">
        <v>45401</v>
      </c>
      <c r="C421" s="642">
        <v>-7.253183556868241E-2</v>
      </c>
    </row>
    <row r="422" spans="2:3">
      <c r="B422" s="678">
        <v>45408</v>
      </c>
      <c r="C422" s="843">
        <v>-6.3168885408509595E-2</v>
      </c>
    </row>
    <row r="423" spans="2:3">
      <c r="B423" s="682">
        <v>45415</v>
      </c>
      <c r="C423" s="642">
        <v>2.26804123711341E-2</v>
      </c>
    </row>
    <row r="424" spans="2:3">
      <c r="B424" s="678">
        <v>45422</v>
      </c>
      <c r="C424" s="843">
        <v>-2.0542720139494399E-2</v>
      </c>
    </row>
    <row r="425" spans="2:3">
      <c r="B425" s="682">
        <v>45429</v>
      </c>
      <c r="C425" s="642">
        <v>-1.6689847009732E-4</v>
      </c>
    </row>
    <row r="426" spans="2:3">
      <c r="B426" s="678">
        <v>45436</v>
      </c>
      <c r="C426" s="843">
        <v>-6.0427331404406794E-2</v>
      </c>
    </row>
    <row r="427" spans="2:3">
      <c r="B427" s="682">
        <v>45443</v>
      </c>
      <c r="C427" s="642">
        <v>-7.1064787397844303E-2</v>
      </c>
    </row>
    <row r="428" spans="2:3">
      <c r="B428" s="678">
        <v>45450</v>
      </c>
      <c r="C428" s="843">
        <v>4.1438225168940399E-2</v>
      </c>
    </row>
    <row r="429" spans="2:3">
      <c r="B429" s="682">
        <v>45457</v>
      </c>
      <c r="C429" s="642">
        <v>-2.0017140058765901E-2</v>
      </c>
    </row>
    <row r="430" spans="2:3">
      <c r="B430" s="678">
        <v>45464</v>
      </c>
      <c r="C430" s="843">
        <v>1.48041726528826E-2</v>
      </c>
    </row>
    <row r="431" spans="2:3">
      <c r="B431" s="682">
        <v>45471</v>
      </c>
      <c r="C431" s="642">
        <v>8.8760310230210304E-2</v>
      </c>
    </row>
    <row r="432" spans="2:3">
      <c r="B432" s="678">
        <v>45478</v>
      </c>
      <c r="C432" s="843">
        <v>5.9023066485752895E-2</v>
      </c>
    </row>
    <row r="433" spans="2:3">
      <c r="B433" s="682">
        <v>45485</v>
      </c>
      <c r="C433" s="642">
        <v>-3.1336749946615304E-2</v>
      </c>
    </row>
    <row r="434" spans="2:3">
      <c r="B434" s="678">
        <v>45492</v>
      </c>
      <c r="C434" s="843">
        <v>-2.7280242491044299E-2</v>
      </c>
    </row>
    <row r="435" spans="2:3">
      <c r="B435" s="682">
        <v>45499</v>
      </c>
      <c r="C435" s="642">
        <v>4.64589235127466E-3</v>
      </c>
    </row>
    <row r="436" spans="2:3">
      <c r="B436" s="678">
        <v>45506</v>
      </c>
      <c r="C436" s="843">
        <v>-0.18971351229415701</v>
      </c>
    </row>
    <row r="437" spans="2:3">
      <c r="B437" s="682">
        <v>45513</v>
      </c>
      <c r="C437" s="642">
        <v>-1.56597995545656E-2</v>
      </c>
    </row>
    <row r="438" spans="2:3">
      <c r="B438" s="678">
        <v>45520</v>
      </c>
      <c r="C438" s="843">
        <v>9.0362723608852405E-2</v>
      </c>
    </row>
    <row r="439" spans="2:3">
      <c r="B439" s="682">
        <v>45527</v>
      </c>
      <c r="C439" s="642">
        <v>3.7546203229362501E-2</v>
      </c>
    </row>
    <row r="440" spans="2:3">
      <c r="B440" s="678">
        <v>45534</v>
      </c>
      <c r="C440" s="843">
        <v>3.4999999999999899E-2</v>
      </c>
    </row>
    <row r="441" spans="2:3">
      <c r="B441" s="682">
        <v>45541</v>
      </c>
      <c r="C441" s="642">
        <v>-2.5905797101449201E-2</v>
      </c>
    </row>
    <row r="442" spans="2:3">
      <c r="B442" s="678">
        <v>45548</v>
      </c>
      <c r="C442" s="843">
        <v>1.5064162172214901E-2</v>
      </c>
    </row>
    <row r="443" spans="2:3">
      <c r="B443" s="682">
        <v>45555</v>
      </c>
      <c r="C443" s="642">
        <v>-4.0307805056797302E-3</v>
      </c>
    </row>
    <row r="444" spans="2:3">
      <c r="B444" s="678">
        <v>45562</v>
      </c>
      <c r="C444" s="843">
        <v>-1.1405445180279701E-2</v>
      </c>
    </row>
    <row r="445" spans="2:3">
      <c r="B445" s="682">
        <v>45569</v>
      </c>
      <c r="C445" s="642">
        <v>6.0662448827688696E-2</v>
      </c>
    </row>
    <row r="446" spans="2:3">
      <c r="B446" s="678">
        <v>45576</v>
      </c>
      <c r="C446" s="843">
        <v>9.3918128654970803E-2</v>
      </c>
    </row>
    <row r="447" spans="2:3">
      <c r="B447" s="682">
        <v>45583</v>
      </c>
      <c r="C447" s="642">
        <v>2.4804875441034803E-2</v>
      </c>
    </row>
    <row r="448" spans="2:3">
      <c r="B448" s="678">
        <v>45590</v>
      </c>
      <c r="C448" s="843">
        <v>-1.5492957746478799E-2</v>
      </c>
    </row>
    <row r="449" spans="2:3">
      <c r="B449" s="682">
        <v>45597</v>
      </c>
      <c r="C449" s="642">
        <v>0.18873523022307001</v>
      </c>
    </row>
    <row r="450" spans="2:3">
      <c r="B450" s="678">
        <v>45604</v>
      </c>
      <c r="C450" s="843">
        <v>5.9950969467350096E-2</v>
      </c>
    </row>
    <row r="451" spans="2:3">
      <c r="B451" s="682">
        <v>45611</v>
      </c>
      <c r="C451" s="642">
        <v>9.4196804037005501E-3</v>
      </c>
    </row>
    <row r="452" spans="2:3">
      <c r="B452" s="678">
        <v>45618</v>
      </c>
      <c r="C452" s="843">
        <v>8.5569071821363002E-2</v>
      </c>
    </row>
    <row r="453" spans="2:3">
      <c r="B453" s="682">
        <v>45625</v>
      </c>
      <c r="C453" s="642">
        <v>1.1512779184895201E-2</v>
      </c>
    </row>
    <row r="454" spans="2:3">
      <c r="B454" s="678">
        <v>45632</v>
      </c>
      <c r="C454" s="843">
        <v>5.6605205250777696E-2</v>
      </c>
    </row>
    <row r="455" spans="2:3">
      <c r="B455" s="682">
        <v>45639</v>
      </c>
      <c r="C455" s="642">
        <v>5.38599640933501E-4</v>
      </c>
    </row>
    <row r="456" spans="2:3">
      <c r="B456" s="678">
        <v>45646</v>
      </c>
      <c r="C456" s="843">
        <v>-7.6762964292122704E-2</v>
      </c>
    </row>
    <row r="457" spans="2:3">
      <c r="B457" s="682">
        <v>45653</v>
      </c>
      <c r="C457" s="642">
        <v>-2.77928943481302E-2</v>
      </c>
    </row>
    <row r="458" spans="2:3">
      <c r="B458" s="678">
        <v>45660</v>
      </c>
      <c r="C458" s="843">
        <v>6.3971852384958605E-4</v>
      </c>
    </row>
    <row r="459" spans="2:3">
      <c r="B459" s="682">
        <v>45667</v>
      </c>
      <c r="C459" s="642">
        <v>-3.1485995125264801E-2</v>
      </c>
    </row>
    <row r="460" spans="2:3">
      <c r="B460" s="678">
        <v>45674</v>
      </c>
      <c r="C460" s="843">
        <v>4.1132059903461402E-2</v>
      </c>
    </row>
    <row r="461" spans="2:3">
      <c r="B461" s="682">
        <v>45681</v>
      </c>
      <c r="C461" s="642">
        <v>4.9334284355682295E-2</v>
      </c>
    </row>
    <row r="462" spans="2:3">
      <c r="B462" s="678">
        <v>45688</v>
      </c>
      <c r="C462" s="843">
        <v>0.15849099354253901</v>
      </c>
    </row>
    <row r="463" spans="2:3">
      <c r="B463" s="682">
        <v>45695</v>
      </c>
      <c r="C463" s="642">
        <v>2.4447486798356999E-2</v>
      </c>
    </row>
    <row r="464" spans="2:3">
      <c r="B464" s="678">
        <v>45702</v>
      </c>
      <c r="C464" s="843">
        <v>-3.7546137202493202E-3</v>
      </c>
    </row>
    <row r="465" spans="2:3">
      <c r="B465" s="682">
        <v>45709</v>
      </c>
      <c r="C465" s="642">
        <v>-8.658575534972851E-2</v>
      </c>
    </row>
    <row r="466" spans="2:3">
      <c r="B466" s="678">
        <v>45716</v>
      </c>
      <c r="C466" s="843">
        <v>-6.0491625581314797E-3</v>
      </c>
    </row>
    <row r="467" spans="2:3">
      <c r="B467" s="682">
        <v>45723</v>
      </c>
      <c r="C467" s="642">
        <v>-0.15971293885879098</v>
      </c>
    </row>
    <row r="468" spans="2:3">
      <c r="B468" s="678">
        <v>45730</v>
      </c>
      <c r="C468" s="843">
        <v>-8.548940802143519E-2</v>
      </c>
    </row>
    <row r="469" spans="2:3">
      <c r="B469" s="682">
        <v>45737</v>
      </c>
      <c r="C469" s="642">
        <v>4.0743453579930394E-2</v>
      </c>
    </row>
    <row r="470" spans="2:3">
      <c r="B470" s="678">
        <v>45744</v>
      </c>
      <c r="C470" s="843">
        <v>-4.1127826163455498E-2</v>
      </c>
    </row>
    <row r="471" spans="2:3">
      <c r="B471" s="682">
        <v>45751</v>
      </c>
      <c r="C471" s="642">
        <v>-0.13908894903435901</v>
      </c>
    </row>
    <row r="472" spans="2:3">
      <c r="B472" s="678">
        <v>45758</v>
      </c>
      <c r="C472" s="843">
        <v>5.7014973091064201E-2</v>
      </c>
    </row>
    <row r="473" spans="2:3">
      <c r="B473" s="682">
        <v>45764</v>
      </c>
      <c r="C473" s="642">
        <v>2.2079951605585402E-2</v>
      </c>
    </row>
    <row r="474" spans="2:3">
      <c r="B474" s="678">
        <v>45772</v>
      </c>
      <c r="C474" s="843">
        <v>0.127891491985203</v>
      </c>
    </row>
    <row r="475" spans="2:3">
      <c r="B475" s="682">
        <v>45779</v>
      </c>
      <c r="C475" s="642">
        <v>-8.8333041805142593E-2</v>
      </c>
    </row>
    <row r="476" spans="2:3">
      <c r="B476" s="678">
        <v>45786</v>
      </c>
      <c r="C476" s="843">
        <v>-4.6047582501917896E-3</v>
      </c>
    </row>
    <row r="477" spans="2:3">
      <c r="B477" s="682">
        <v>45793</v>
      </c>
      <c r="C477" s="642">
        <v>6.39456437933692E-2</v>
      </c>
    </row>
    <row r="478" spans="2:3">
      <c r="B478" s="678">
        <v>45800</v>
      </c>
      <c r="C478" s="843">
        <v>-6.3272793151863696E-2</v>
      </c>
    </row>
    <row r="479" spans="2:3">
      <c r="B479" s="682">
        <v>45807</v>
      </c>
      <c r="C479" s="642">
        <v>3.9164490861618405E-3</v>
      </c>
    </row>
    <row r="480" spans="2:3">
      <c r="B480" s="678">
        <v>45814</v>
      </c>
      <c r="C480" s="843">
        <v>3.3135866685931596E-2</v>
      </c>
    </row>
    <row r="481" spans="2:3">
      <c r="B481" s="682">
        <v>45821</v>
      </c>
      <c r="C481" s="642">
        <v>-8.2467017854645497E-2</v>
      </c>
    </row>
    <row r="482" spans="2:3">
      <c r="B482" s="678">
        <v>45828</v>
      </c>
      <c r="C482" s="843">
        <v>-3.7038918809064E-2</v>
      </c>
    </row>
    <row r="483" spans="2:3">
      <c r="B483" s="682">
        <v>45835</v>
      </c>
      <c r="C483" s="642">
        <v>6.7482720413654704E-2</v>
      </c>
    </row>
    <row r="484" spans="2:3">
      <c r="B484" s="678">
        <v>45841</v>
      </c>
      <c r="C484" s="843">
        <v>5.54072756030052E-2</v>
      </c>
    </row>
    <row r="485" spans="2:3">
      <c r="B485" s="682">
        <v>45849</v>
      </c>
      <c r="C485" s="642">
        <v>-0.12419800496417301</v>
      </c>
    </row>
    <row r="486" spans="2:3">
      <c r="B486" s="678">
        <v>45856</v>
      </c>
      <c r="C486" s="843">
        <v>4.19763649002729E-2</v>
      </c>
    </row>
    <row r="487" spans="2:3">
      <c r="B487" s="682">
        <v>45863</v>
      </c>
      <c r="C487" s="642">
        <v>4.1773581032536103E-2</v>
      </c>
    </row>
    <row r="488" spans="2:3">
      <c r="B488" s="678">
        <v>45870</v>
      </c>
      <c r="C488" s="843">
        <v>-9.8719211822659997E-2</v>
      </c>
    </row>
    <row r="489" spans="2:3">
      <c r="B489" s="682">
        <v>45877</v>
      </c>
      <c r="C489" s="642">
        <v>-8.1438565806733698E-2</v>
      </c>
    </row>
    <row r="490" spans="2:3">
      <c r="B490" s="678">
        <v>45884</v>
      </c>
      <c r="C490" s="843">
        <v>-6.3072712126621602E-3</v>
      </c>
    </row>
    <row r="491" spans="2:3">
      <c r="B491" s="682">
        <v>45891</v>
      </c>
      <c r="C491" s="642">
        <v>2.2694610778443099E-2</v>
      </c>
    </row>
    <row r="492" spans="2:3">
      <c r="B492" s="678">
        <v>45898</v>
      </c>
      <c r="C492" s="843">
        <v>4.0927454769014604E-2</v>
      </c>
    </row>
    <row r="493" spans="2:3">
      <c r="B493" s="682">
        <v>45905</v>
      </c>
      <c r="C493" s="642">
        <v>-3.0093373832827001E-2</v>
      </c>
    </row>
    <row r="494" spans="2:3">
      <c r="B494" s="678">
        <v>45912</v>
      </c>
      <c r="C494" s="843">
        <v>1.4150669837035199E-2</v>
      </c>
    </row>
    <row r="495" spans="2:3">
      <c r="B495" s="682">
        <v>45919</v>
      </c>
      <c r="C495" s="642">
        <v>-3.3281866529421701E-2</v>
      </c>
    </row>
    <row r="496" spans="2:3">
      <c r="B496" s="678">
        <v>45926</v>
      </c>
      <c r="C496" s="843">
        <v>-1.41969831410825E-2</v>
      </c>
    </row>
    <row r="497" spans="2:3">
      <c r="B497" s="682">
        <v>45933</v>
      </c>
      <c r="C497" s="642">
        <v>-9.69696969696969E-2</v>
      </c>
    </row>
    <row r="498" spans="2:3">
      <c r="B498" s="678">
        <v>45940</v>
      </c>
      <c r="C498" s="843">
        <v>-3.94046116020998E-2</v>
      </c>
    </row>
    <row r="499" spans="2:3">
      <c r="B499" s="682">
        <v>45947</v>
      </c>
      <c r="C499" s="642">
        <v>5.1120641947979904E-2</v>
      </c>
    </row>
    <row r="500" spans="2:3">
      <c r="B500" s="678">
        <v>45954</v>
      </c>
      <c r="C500" s="843">
        <v>7.0352089503125909E-2</v>
      </c>
    </row>
    <row r="501" spans="2:3">
      <c r="B501" s="682">
        <v>45961</v>
      </c>
      <c r="C501" s="642">
        <v>4.1687161829808195E-2</v>
      </c>
    </row>
    <row r="502" spans="2:3">
      <c r="B502" s="678">
        <v>45968</v>
      </c>
      <c r="C502" s="843">
        <v>-6.84098689647029E-2</v>
      </c>
    </row>
    <row r="503" spans="2:3">
      <c r="B503" s="682">
        <v>45975</v>
      </c>
      <c r="C503" s="642">
        <v>-3.8269023633022897E-2</v>
      </c>
    </row>
    <row r="504" spans="2:3">
      <c r="B504" s="678">
        <v>45982</v>
      </c>
      <c r="C504" s="843">
        <v>-3.6300151525133301E-2</v>
      </c>
    </row>
    <row r="505" spans="2:3">
      <c r="B505" s="682">
        <v>45989</v>
      </c>
      <c r="C505" s="642">
        <v>2.2149302707137098E-2</v>
      </c>
    </row>
    <row r="506" spans="2:3">
      <c r="B506" s="678">
        <v>45996</v>
      </c>
      <c r="C506" s="843">
        <v>6.5609951845906997E-2</v>
      </c>
    </row>
    <row r="507" spans="2:3">
      <c r="B507" s="682">
        <v>46003</v>
      </c>
      <c r="C507" s="642">
        <v>1.7008724031883402E-2</v>
      </c>
    </row>
    <row r="508" spans="2:3">
      <c r="B508" s="678">
        <v>46010</v>
      </c>
      <c r="C508" s="843">
        <v>-5.9861762527770798E-3</v>
      </c>
    </row>
    <row r="509" spans="2:3">
      <c r="B509" s="682">
        <v>46017</v>
      </c>
      <c r="C509" s="642">
        <v>1.29136400322842E-2</v>
      </c>
    </row>
    <row r="510" spans="2:3">
      <c r="B510" s="678">
        <v>46024</v>
      </c>
      <c r="C510" s="843">
        <v>-5.1425068954949402E-2</v>
      </c>
    </row>
    <row r="511" spans="2:3">
      <c r="B511" s="682">
        <v>46031</v>
      </c>
      <c r="C511" s="642">
        <v>-5.3889894029464896E-2</v>
      </c>
    </row>
    <row r="512" spans="2:3">
      <c r="B512" s="678">
        <v>46038</v>
      </c>
      <c r="C512" s="843">
        <v>-0.19034284933752199</v>
      </c>
    </row>
    <row r="513" spans="2:3">
      <c r="B513" s="682">
        <v>46045</v>
      </c>
      <c r="C513" s="642">
        <v>0.11134542387178399</v>
      </c>
    </row>
    <row r="514" spans="2:3">
      <c r="B514" s="678">
        <v>46052</v>
      </c>
      <c r="C514" s="843">
        <v>-0.102998102466793</v>
      </c>
    </row>
    <row r="515" spans="2:3">
      <c r="B515" s="682">
        <v>46059</v>
      </c>
      <c r="C515" s="642">
        <v>-0.19851074631917398</v>
      </c>
    </row>
    <row r="516" spans="2:3">
      <c r="B516" s="678">
        <v>46066</v>
      </c>
      <c r="C516" s="843">
        <v>-0.109163851351351</v>
      </c>
    </row>
    <row r="517" spans="2:3">
      <c r="B517" s="682">
        <v>46073</v>
      </c>
      <c r="C517" s="642">
        <v>-9.9549656316662502E-2</v>
      </c>
    </row>
    <row r="518" spans="2:3">
      <c r="B518" s="678">
        <v>46080</v>
      </c>
      <c r="C518" s="843">
        <v>-1.1187154514346001E-2</v>
      </c>
    </row>
    <row r="519" spans="2:3">
      <c r="B519" s="682">
        <v>46087</v>
      </c>
      <c r="C519" s="642">
        <v>0.113004126181285</v>
      </c>
    </row>
    <row r="520" spans="2:3">
      <c r="B520" s="678">
        <v>46094</v>
      </c>
      <c r="C520" s="843">
        <v>-0.10057402535278599</v>
      </c>
    </row>
    <row r="521" spans="2:3">
      <c r="B521" s="682">
        <v>46101</v>
      </c>
      <c r="C521" s="642">
        <v>-1.9678234277356502E-2</v>
      </c>
    </row>
    <row r="522" spans="2:3">
      <c r="B522" s="678">
        <v>46108</v>
      </c>
      <c r="C522" s="843">
        <v>-0.116777431167774</v>
      </c>
    </row>
    <row r="523" spans="2:3">
      <c r="B523" s="682">
        <v>46114</v>
      </c>
      <c r="C523" s="642">
        <v>4.8679361179361197E-2</v>
      </c>
    </row>
    <row r="524" spans="2:3">
      <c r="B524" s="678">
        <v>46122</v>
      </c>
      <c r="C524" s="843">
        <v>-0.16312783716503101</v>
      </c>
    </row>
    <row r="525" spans="2:3">
      <c r="B525" s="682">
        <v>46129</v>
      </c>
      <c r="C525" s="642">
        <v>0.17130358705161799</v>
      </c>
    </row>
    <row r="526" spans="2:3">
      <c r="B526" s="678">
        <v>46136</v>
      </c>
      <c r="C526" s="843">
        <v>6.8867642665073101E-2</v>
      </c>
    </row>
    <row r="527" spans="2:3">
      <c r="B527" s="682">
        <v>46143</v>
      </c>
      <c r="C527" s="642">
        <v>0.24220824598182999</v>
      </c>
    </row>
    <row r="528" spans="2:3">
      <c r="B528" s="678">
        <v>46150</v>
      </c>
      <c r="C528" s="843">
        <v>3.0603060306030501E-2</v>
      </c>
    </row>
    <row r="529" spans="2:3">
      <c r="B529" s="682">
        <v>46157</v>
      </c>
      <c r="C529" s="642">
        <v>-4.5196506550218299E-2</v>
      </c>
    </row>
    <row r="530" spans="2:3">
      <c r="B530" s="678">
        <v>46164</v>
      </c>
      <c r="C530" s="843">
        <v>-2.3324948547907499E-2</v>
      </c>
    </row>
    <row r="531" spans="2:3">
      <c r="B531" s="682">
        <v>46171</v>
      </c>
      <c r="C531" s="642">
        <v>0.25977522828377397</v>
      </c>
    </row>
    <row r="532" spans="2:3">
      <c r="B532" s="678">
        <v>46178</v>
      </c>
      <c r="C532" s="843">
        <v>-7.5643527553201306E-2</v>
      </c>
    </row>
    <row r="533" spans="2:3">
      <c r="B533" s="682">
        <v>46185</v>
      </c>
      <c r="C533" s="642">
        <v>-0.11008344224389199</v>
      </c>
    </row>
    <row r="534" spans="2:3">
      <c r="B534" s="678">
        <v>46191</v>
      </c>
      <c r="C534" s="843">
        <v>-6.5521915951197496E-2</v>
      </c>
    </row>
    <row r="535" spans="2:3">
      <c r="B535" s="682">
        <v>46199</v>
      </c>
      <c r="C535" s="642">
        <v>-4.8114119922630504E-2</v>
      </c>
    </row>
    <row r="536" spans="2:3">
      <c r="B536" s="678">
        <v>46205</v>
      </c>
      <c r="C536" s="843">
        <v>6.4770129540259097E-2</v>
      </c>
    </row>
    <row r="537" spans="2:3">
      <c r="B537" s="682">
        <v>46213</v>
      </c>
      <c r="C537" s="642">
        <v>5.9875954198473205E-2</v>
      </c>
    </row>
    <row r="538" spans="2:3">
      <c r="B538" s="678">
        <v>46220</v>
      </c>
      <c r="C538" s="843">
        <v>4.9853702453297399E-2</v>
      </c>
    </row>
    <row r="539" spans="2:3">
      <c r="B539" s="682">
        <v>46227</v>
      </c>
      <c r="C539" s="642">
        <v>-6.8710472719477E-2</v>
      </c>
    </row>
    <row r="540" spans="2:3">
      <c r="B540" s="678">
        <v>46234</v>
      </c>
      <c r="C540" s="843">
        <v>0.162695672191528</v>
      </c>
    </row>
  </sheetData>
  <mergeCells count="3">
    <mergeCell ref="B6:C6"/>
    <mergeCell ref="I7:J7"/>
    <mergeCell ref="F7:G7"/>
  </mergeCells>
  <hyperlinks>
    <hyperlink ref="I6" r:id="rId1" xr:uid="{B227A4D4-3401-4A91-AE3B-7B9F786129BA}"/>
    <hyperlink ref="F6" r:id="rId2" xr:uid="{0A537D8A-4128-40A3-B6C8-548DBF61C05F}"/>
    <hyperlink ref="M6" r:id="rId3" xr:uid="{5A7D7362-58C1-4103-8770-D2BB0B8BEEA9}"/>
    <hyperlink ref="N6" r:id="rId4" display="Precendent 2" xr:uid="{654A9F00-5D01-467D-B507-E229763EF14C}"/>
  </hyperlinks>
  <pageMargins left="0.7" right="0.7" top="0.75" bottom="0.75" header="0.3" footer="0.3"/>
  <drawing r:id="rId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F70E0-56EB-4BE2-8418-427B2DF72B52}">
  <sheetPr codeName="Sheet10">
    <tabColor rgb="FF0067ED"/>
  </sheetPr>
  <dimension ref="A1:I20"/>
  <sheetViews>
    <sheetView zoomScale="94" workbookViewId="0">
      <selection activeCell="H35" sqref="H35"/>
    </sheetView>
  </sheetViews>
  <sheetFormatPr defaultColWidth="8.81640625" defaultRowHeight="14.5"/>
  <cols>
    <col min="2" max="2" width="11.26953125" customWidth="1"/>
    <col min="4" max="4" width="10.1796875" bestFit="1" customWidth="1"/>
    <col min="6" max="6" width="10.26953125" bestFit="1" customWidth="1"/>
    <col min="8" max="8" width="24.453125" bestFit="1" customWidth="1"/>
  </cols>
  <sheetData>
    <row r="1" spans="1:9">
      <c r="A1" s="3" t="s">
        <v>353</v>
      </c>
      <c r="B1" s="798"/>
    </row>
    <row r="2" spans="1:9">
      <c r="B2" t="e" vm="1">
        <v>#VALUE!</v>
      </c>
    </row>
    <row r="3" spans="1:9">
      <c r="A3" s="797"/>
      <c r="B3" s="799"/>
    </row>
    <row r="4" spans="1:9">
      <c r="B4" s="799"/>
      <c r="C4" s="798"/>
    </row>
    <row r="5" spans="1:9">
      <c r="B5" s="1" t="s">
        <v>342</v>
      </c>
      <c r="C5" s="1" t="s">
        <v>151</v>
      </c>
      <c r="D5" s="1" t="s">
        <v>141</v>
      </c>
      <c r="E5" s="1" t="s">
        <v>354</v>
      </c>
      <c r="F5" s="1" t="s">
        <v>355</v>
      </c>
      <c r="H5" s="1" t="s">
        <v>356</v>
      </c>
      <c r="I5" s="800" cm="1">
        <f t="array" aca="1" ref="I5" ca="1">_xlfn.LET(_xlpm.d,_xlfn.ANCHORARRAY(B6),_xlpm.tp,(INDEX(_xlpm.d,,2)+INDEX(_xlpm.d,,3)+INDEX(_xlpm.d,,4))/3,_xlpm.v,INDEX(_xlpm.d,,5),IF(SUM(_xlpm.v)=0,NA(),SUMPRODUCT(_xlpm.tp,_xlpm.v)/SUM(_xlpm.v)))</f>
        <v>178.1217043977083</v>
      </c>
    </row>
    <row r="6" spans="1:9">
      <c r="B6" cm="1" vm="9">
        <f t="array" aca="1" ref="B6:F20" ca="1">_xlfn.STOCKHISTORY($B$2,TODAY()-31,TODAY(),0,0,0,3,4,1,5)</f>
        <v>46251</v>
      </c>
      <c r="C6" vm="10">
        <f ca="1"/>
        <v>161.6</v>
      </c>
      <c r="D6" vm="11">
        <f ca="1"/>
        <v>156.55009999999999</v>
      </c>
      <c r="E6" vm="12">
        <f ca="1"/>
        <v>158.34</v>
      </c>
      <c r="F6" vm="13">
        <f ca="1"/>
        <v>3048946</v>
      </c>
    </row>
    <row r="7" spans="1:9">
      <c r="B7" vm="14">
        <f ca="1"/>
        <v>46252</v>
      </c>
      <c r="C7" vm="15">
        <f ca="1"/>
        <v>167.87</v>
      </c>
      <c r="D7" vm="16">
        <f ca="1"/>
        <v>158.58000000000001</v>
      </c>
      <c r="E7" vm="17">
        <f ca="1"/>
        <v>163</v>
      </c>
      <c r="F7" vm="18">
        <f ca="1"/>
        <v>4888443</v>
      </c>
      <c r="H7" t="s">
        <v>356</v>
      </c>
      <c r="I7" s="800"/>
    </row>
    <row r="8" spans="1:9">
      <c r="B8" vm="19">
        <f ca="1"/>
        <v>46253</v>
      </c>
      <c r="C8" vm="20">
        <f ca="1"/>
        <v>176.15</v>
      </c>
      <c r="D8" vm="21">
        <f ca="1"/>
        <v>161.5</v>
      </c>
      <c r="E8" vm="22">
        <f ca="1"/>
        <v>174.23</v>
      </c>
      <c r="F8" vm="23">
        <f ca="1"/>
        <v>6066916</v>
      </c>
    </row>
    <row r="9" spans="1:9">
      <c r="B9" vm="24">
        <f ca="1"/>
        <v>46254</v>
      </c>
      <c r="C9" vm="25">
        <f ca="1"/>
        <v>177.88</v>
      </c>
      <c r="D9" vm="26">
        <f ca="1"/>
        <v>171.22</v>
      </c>
      <c r="E9" vm="27">
        <f ca="1"/>
        <v>174.91</v>
      </c>
      <c r="F9" vm="28">
        <f ca="1"/>
        <v>5458362</v>
      </c>
    </row>
    <row r="10" spans="1:9">
      <c r="B10" vm="29">
        <f ca="1"/>
        <v>46255</v>
      </c>
      <c r="C10" vm="30">
        <f ca="1"/>
        <v>176</v>
      </c>
      <c r="D10" vm="31">
        <f ca="1"/>
        <v>168.01</v>
      </c>
      <c r="E10" vm="32">
        <f ca="1"/>
        <v>171.81</v>
      </c>
      <c r="F10" vm="33">
        <f ca="1"/>
        <v>3275677</v>
      </c>
    </row>
    <row r="11" spans="1:9">
      <c r="B11" vm="34">
        <f ca="1"/>
        <v>46258</v>
      </c>
      <c r="C11" vm="35">
        <f ca="1"/>
        <v>174.23410000000001</v>
      </c>
      <c r="D11" vm="36">
        <f ca="1"/>
        <v>169.04</v>
      </c>
      <c r="E11" vm="37">
        <f ca="1"/>
        <v>171.33</v>
      </c>
      <c r="F11" vm="38">
        <f ca="1"/>
        <v>2584312</v>
      </c>
    </row>
    <row r="12" spans="1:9">
      <c r="B12" vm="39">
        <f ca="1"/>
        <v>46259</v>
      </c>
      <c r="C12" vm="40">
        <f ca="1"/>
        <v>172.1</v>
      </c>
      <c r="D12" vm="41">
        <f ca="1"/>
        <v>165.1</v>
      </c>
      <c r="E12" vm="42">
        <f ca="1"/>
        <v>166.49</v>
      </c>
      <c r="F12" vm="43">
        <f ca="1"/>
        <v>2909953</v>
      </c>
    </row>
    <row r="13" spans="1:9">
      <c r="B13" vm="44">
        <f ca="1"/>
        <v>46260</v>
      </c>
      <c r="C13" vm="45">
        <f ca="1"/>
        <v>170</v>
      </c>
      <c r="D13" vm="46">
        <f ca="1"/>
        <v>160.96199999999999</v>
      </c>
      <c r="E13" vm="47">
        <f ca="1"/>
        <v>168.47</v>
      </c>
      <c r="F13" vm="48">
        <f ca="1"/>
        <v>4127538</v>
      </c>
    </row>
    <row r="14" spans="1:9">
      <c r="B14" vm="49">
        <f ca="1"/>
        <v>46261</v>
      </c>
      <c r="C14" vm="50">
        <f ca="1"/>
        <v>185.73</v>
      </c>
      <c r="D14" vm="51">
        <f ca="1"/>
        <v>168.73</v>
      </c>
      <c r="E14" vm="52">
        <f ca="1"/>
        <v>185.62</v>
      </c>
      <c r="F14" vm="53">
        <f ca="1"/>
        <v>6073950</v>
      </c>
    </row>
    <row r="15" spans="1:9">
      <c r="B15" vm="54">
        <f ca="1"/>
        <v>46262</v>
      </c>
      <c r="C15" vm="55">
        <f ca="1"/>
        <v>194.96</v>
      </c>
      <c r="D15" vm="56">
        <f ca="1"/>
        <v>185</v>
      </c>
      <c r="E15" vm="57">
        <f ca="1"/>
        <v>190.41499999999999</v>
      </c>
      <c r="F15" vm="58">
        <f ca="1"/>
        <v>5224708</v>
      </c>
    </row>
    <row r="16" spans="1:9">
      <c r="B16" vm="59">
        <f ca="1"/>
        <v>46265</v>
      </c>
      <c r="C16" vm="60">
        <f ca="1"/>
        <v>197.3</v>
      </c>
      <c r="D16" vm="61">
        <f ca="1"/>
        <v>187.67</v>
      </c>
      <c r="E16" vm="62">
        <f ca="1"/>
        <v>194.17</v>
      </c>
      <c r="F16" vm="63">
        <f ca="1"/>
        <v>5117290</v>
      </c>
    </row>
    <row r="17" spans="2:6">
      <c r="B17" vm="64">
        <f ca="1"/>
        <v>46266</v>
      </c>
      <c r="C17" vm="65">
        <f ca="1"/>
        <v>193.64500000000001</v>
      </c>
      <c r="D17" vm="66">
        <f ca="1"/>
        <v>185.45</v>
      </c>
      <c r="E17" vm="67">
        <f ca="1"/>
        <v>187.03</v>
      </c>
      <c r="F17" vm="68">
        <f ca="1"/>
        <v>3891792</v>
      </c>
    </row>
    <row r="18" spans="2:6">
      <c r="B18" vm="69">
        <f ca="1"/>
        <v>46267</v>
      </c>
      <c r="C18" vm="70">
        <f ca="1"/>
        <v>192.87</v>
      </c>
      <c r="D18" vm="71">
        <f ca="1"/>
        <v>184.73</v>
      </c>
      <c r="E18" vm="72">
        <f ca="1"/>
        <v>186.44</v>
      </c>
      <c r="F18" vm="73">
        <f ca="1"/>
        <v>3546782</v>
      </c>
    </row>
    <row r="19" spans="2:6">
      <c r="B19" vm="74">
        <f ca="1"/>
        <v>46268</v>
      </c>
      <c r="C19" vm="75">
        <f ca="1"/>
        <v>198.59989999999999</v>
      </c>
      <c r="D19" vm="76">
        <f ca="1"/>
        <v>190.61</v>
      </c>
      <c r="E19" vm="77">
        <f ca="1"/>
        <v>194.68</v>
      </c>
      <c r="F19" vm="78">
        <f ca="1"/>
        <v>3359288</v>
      </c>
    </row>
    <row r="20" spans="2:6">
      <c r="B20" vm="79">
        <f ca="1"/>
        <v>46269</v>
      </c>
      <c r="C20" vm="80">
        <f ca="1"/>
        <v>193.42500000000001</v>
      </c>
      <c r="D20" vm="81">
        <f ca="1"/>
        <v>186.54</v>
      </c>
      <c r="E20" vm="82">
        <f ca="1"/>
        <v>189.58</v>
      </c>
      <c r="F20" vm="83">
        <f ca="1"/>
        <v>2473769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16D452-926A-41AB-90EC-763F8D492A9F}">
  <sheetPr>
    <tabColor rgb="FF0067ED"/>
  </sheetPr>
  <dimension ref="A1:AV103"/>
  <sheetViews>
    <sheetView zoomScale="98" zoomScaleNormal="52" workbookViewId="0">
      <selection activeCell="D22" sqref="D22:P22"/>
    </sheetView>
  </sheetViews>
  <sheetFormatPr defaultColWidth="8.7265625" defaultRowHeight="12"/>
  <cols>
    <col min="1" max="11" width="8.7265625" style="230"/>
    <col min="12" max="15" width="8.81640625" style="230" bestFit="1" customWidth="1"/>
    <col min="16" max="16" width="9.453125" style="230" bestFit="1" customWidth="1"/>
    <col min="17" max="17" width="8.81640625" style="230" bestFit="1" customWidth="1"/>
    <col min="18" max="18" width="10.26953125" style="230" bestFit="1" customWidth="1"/>
    <col min="19" max="21" width="9.453125" style="230" bestFit="1" customWidth="1"/>
    <col min="22" max="24" width="10.26953125" style="230" bestFit="1" customWidth="1"/>
    <col min="25" max="27" width="8.81640625" style="230" bestFit="1" customWidth="1"/>
    <col min="28" max="28" width="9.1796875" style="230" bestFit="1" customWidth="1"/>
    <col min="29" max="31" width="9.453125" style="230" bestFit="1" customWidth="1"/>
    <col min="32" max="35" width="8.7265625" style="230"/>
    <col min="36" max="36" width="10.81640625" style="230" bestFit="1" customWidth="1"/>
    <col min="37" max="38" width="9.81640625" style="230" bestFit="1" customWidth="1"/>
    <col min="39" max="39" width="8.7265625" style="230"/>
    <col min="40" max="41" width="9.81640625" style="230" bestFit="1" customWidth="1"/>
    <col min="42" max="16384" width="8.7265625" style="230"/>
  </cols>
  <sheetData>
    <row r="1" spans="1:33">
      <c r="Z1" s="230" t="s">
        <v>357</v>
      </c>
    </row>
    <row r="2" spans="1:33">
      <c r="J2" s="1005" t="s">
        <v>358</v>
      </c>
      <c r="K2" s="1006" t="s">
        <v>359</v>
      </c>
      <c r="L2" s="1005" t="s">
        <v>360</v>
      </c>
      <c r="M2" s="1005" t="s">
        <v>361</v>
      </c>
      <c r="N2" s="1006" t="s">
        <v>362</v>
      </c>
      <c r="O2" s="1005" t="s">
        <v>363</v>
      </c>
      <c r="P2" s="1005" t="s">
        <v>364</v>
      </c>
      <c r="Q2" s="1006" t="s">
        <v>365</v>
      </c>
      <c r="R2" s="1005" t="s">
        <v>366</v>
      </c>
      <c r="S2" s="1006" t="s">
        <v>367</v>
      </c>
      <c r="T2" s="1005" t="s">
        <v>368</v>
      </c>
      <c r="U2" s="1006" t="s">
        <v>369</v>
      </c>
      <c r="V2" s="1005" t="s">
        <v>370</v>
      </c>
      <c r="AA2" s="1005" t="s">
        <v>358</v>
      </c>
      <c r="AB2" s="1006" t="s">
        <v>359</v>
      </c>
      <c r="AC2" s="1005" t="s">
        <v>360</v>
      </c>
      <c r="AD2" s="1005" t="s">
        <v>361</v>
      </c>
      <c r="AE2" s="1006" t="s">
        <v>362</v>
      </c>
      <c r="AF2" s="1005" t="s">
        <v>363</v>
      </c>
      <c r="AG2" s="1005" t="s">
        <v>364</v>
      </c>
    </row>
    <row r="3" spans="1:33">
      <c r="C3" s="265" t="s">
        <v>371</v>
      </c>
      <c r="J3" s="270">
        <f>'IS Intergrated'!E25/'IS Intergrated'!E$10</f>
        <v>0.47280434005524807</v>
      </c>
      <c r="K3" s="270">
        <f>'IS Intergrated'!F25/'IS Intergrated'!F$10</f>
        <v>0.46111303641895296</v>
      </c>
      <c r="L3" s="270">
        <f>'IS Intergrated'!G25/'IS Intergrated'!G$10</f>
        <v>0.49861820797307921</v>
      </c>
      <c r="M3" s="270">
        <f>'IS Intergrated'!H25/'IS Intergrated'!H$10</f>
        <v>0.52901492001888739</v>
      </c>
      <c r="N3" s="270">
        <f>'IS Intergrated'!I25/'IS Intergrated'!I$10</f>
        <v>0.50110344988979261</v>
      </c>
      <c r="O3" s="270">
        <f>'IS Intergrated'!J25/'IS Intergrated'!J$10</f>
        <v>0.51182289661350511</v>
      </c>
      <c r="P3" s="270">
        <f>'IS Intergrated'!K25/'IS Intergrated'!K$10</f>
        <v>0.4974290614499503</v>
      </c>
      <c r="Q3" s="270">
        <f>'IS Intergrated'!L25/'IS Intergrated'!L$10</f>
        <v>0.46260265411325757</v>
      </c>
      <c r="R3" s="270">
        <f>'IS Intergrated'!M25/'IS Intergrated'!M$10</f>
        <v>0.43760265411325755</v>
      </c>
      <c r="S3" s="270">
        <f>'IS Intergrated'!N25/'IS Intergrated'!N$10</f>
        <v>0.41260265411325753</v>
      </c>
      <c r="T3" s="270">
        <f>'IS Intergrated'!O25/'IS Intergrated'!O$10</f>
        <v>0.38760265411325751</v>
      </c>
      <c r="U3" s="270">
        <f>'IS Intergrated'!P25/'IS Intergrated'!P$10</f>
        <v>0.36260265411325743</v>
      </c>
      <c r="V3" s="270">
        <f>'IS Intergrated'!Q25/'IS Intergrated'!Q$10</f>
        <v>0.33760265411325746</v>
      </c>
      <c r="AA3" s="230">
        <v>25.4</v>
      </c>
      <c r="AB3" s="230">
        <f>31.3+AA3</f>
        <v>56.7</v>
      </c>
      <c r="AC3" s="230">
        <f>35+AB3</f>
        <v>91.7</v>
      </c>
      <c r="AD3" s="230">
        <f>56.1+AC3</f>
        <v>147.80000000000001</v>
      </c>
      <c r="AE3" s="230">
        <f>101.9+AD3</f>
        <v>249.70000000000002</v>
      </c>
      <c r="AF3" s="230">
        <f>32.5+AE3</f>
        <v>282.20000000000005</v>
      </c>
      <c r="AG3" s="230">
        <f>87+AF3</f>
        <v>369.20000000000005</v>
      </c>
    </row>
    <row r="4" spans="1:33">
      <c r="A4" s="1005" t="s">
        <v>358</v>
      </c>
      <c r="B4" s="1047">
        <v>645.14</v>
      </c>
      <c r="C4" s="744">
        <f>B4/608.907-1</f>
        <v>5.9504981877363861E-2</v>
      </c>
      <c r="J4" s="270">
        <f>'IS Intergrated'!E26/'IS Intergrated'!E$10</f>
        <v>0.18565729943444723</v>
      </c>
      <c r="K4" s="270">
        <f>'IS Intergrated'!F26/'IS Intergrated'!F$10</f>
        <v>0.17849949165490739</v>
      </c>
      <c r="L4" s="270">
        <f>'IS Intergrated'!G26/'IS Intergrated'!G$10</f>
        <v>0.20253831591911473</v>
      </c>
      <c r="M4" s="270">
        <f>'IS Intergrated'!H26/'IS Intergrated'!H$10</f>
        <v>0.21780421071750589</v>
      </c>
      <c r="N4" s="270">
        <f>'IS Intergrated'!I26/'IS Intergrated'!I$10</f>
        <v>0.20132528702430572</v>
      </c>
      <c r="O4" s="270">
        <f>'IS Intergrated'!J26/'IS Intergrated'!J$10</f>
        <v>0.21753957199810406</v>
      </c>
      <c r="P4" s="270">
        <f>'IS Intergrated'!K26/'IS Intergrated'!K$10</f>
        <v>0.23449570531387148</v>
      </c>
      <c r="Q4" s="270">
        <f>'IS Intergrated'!L26/'IS Intergrated'!L$10</f>
        <v>0.23449570531387148</v>
      </c>
      <c r="R4" s="270">
        <f>'IS Intergrated'!M26/'IS Intergrated'!M$10</f>
        <v>0.24449570531387149</v>
      </c>
      <c r="S4" s="270">
        <f>'IS Intergrated'!N26/'IS Intergrated'!N$10</f>
        <v>0.2544957053138715</v>
      </c>
      <c r="T4" s="270">
        <f>'IS Intergrated'!O26/'IS Intergrated'!O$10</f>
        <v>0.24449570531387149</v>
      </c>
      <c r="U4" s="270">
        <f>'IS Intergrated'!P26/'IS Intergrated'!P$10</f>
        <v>0.23449570531387148</v>
      </c>
      <c r="V4" s="270">
        <f>'IS Intergrated'!Q26/'IS Intergrated'!Q$10</f>
        <v>0.22449570531387147</v>
      </c>
      <c r="AA4" s="270"/>
      <c r="AB4" s="270">
        <f>(AB3-AA3)/AA3</f>
        <v>1.2322834645669294</v>
      </c>
      <c r="AC4" s="270">
        <f t="shared" ref="AC4:AF4" si="0">(AC3-AB3)/AB3</f>
        <v>0.61728395061728392</v>
      </c>
      <c r="AD4" s="270">
        <f t="shared" si="0"/>
        <v>0.61177753544165769</v>
      </c>
      <c r="AE4" s="270">
        <f t="shared" si="0"/>
        <v>0.68944519621109601</v>
      </c>
      <c r="AF4" s="270">
        <f t="shared" si="0"/>
        <v>0.13015618742491</v>
      </c>
      <c r="AG4" s="270">
        <f>(AG3-AF3)/AF3</f>
        <v>0.30829199149539327</v>
      </c>
    </row>
    <row r="5" spans="1:33">
      <c r="A5" s="1006" t="s">
        <v>359</v>
      </c>
      <c r="B5" s="1047">
        <v>725.75800000000004</v>
      </c>
      <c r="C5" s="270">
        <f>B5/B4-1</f>
        <v>0.12496202374678367</v>
      </c>
      <c r="J5" s="270">
        <f>'IS Intergrated'!E27/'IS Intergrated'!E$10</f>
        <v>0.16628267230340241</v>
      </c>
      <c r="K5" s="270">
        <f>'IS Intergrated'!F27/'IS Intergrated'!F$10</f>
        <v>0.15089616165948347</v>
      </c>
      <c r="L5" s="270">
        <f>'IS Intergrated'!G27/'IS Intergrated'!G$10</f>
        <v>0.17067182992362862</v>
      </c>
      <c r="M5" s="270">
        <f>'IS Intergrated'!H27/'IS Intergrated'!H$10</f>
        <v>0.17154810650115837</v>
      </c>
      <c r="N5" s="270">
        <f>'IS Intergrated'!I27/'IS Intergrated'!I$10</f>
        <v>0.14008548151781661</v>
      </c>
      <c r="O5" s="270">
        <f>'IS Intergrated'!J27/'IS Intergrated'!J$10</f>
        <v>0.12405758130302663</v>
      </c>
      <c r="P5" s="270">
        <f>'IS Intergrated'!K27/'IS Intergrated'!K$10</f>
        <v>0.11482845904361147</v>
      </c>
      <c r="Q5" s="270">
        <f>'IS Intergrated'!L27/'IS Intergrated'!L$10</f>
        <v>0.11944302017331905</v>
      </c>
      <c r="R5" s="270">
        <f>'IS Intergrated'!M27/'IS Intergrated'!M$10</f>
        <v>0.11444302017331905</v>
      </c>
      <c r="S5" s="270">
        <f>'IS Intergrated'!N27/'IS Intergrated'!N$10</f>
        <v>0.10944302017331903</v>
      </c>
      <c r="T5" s="270">
        <f>'IS Intergrated'!O27/'IS Intergrated'!O$10</f>
        <v>0.10444302017331904</v>
      </c>
      <c r="U5" s="270">
        <f>'IS Intergrated'!P27/'IS Intergrated'!P$10</f>
        <v>9.9443020173319033E-2</v>
      </c>
      <c r="V5" s="270">
        <f>'IS Intergrated'!Q27/'IS Intergrated'!Q$10</f>
        <v>9.4443020173319028E-2</v>
      </c>
    </row>
    <row r="6" spans="1:33">
      <c r="A6" s="1005" t="s">
        <v>360</v>
      </c>
      <c r="B6" s="1047">
        <v>732.66600000000005</v>
      </c>
      <c r="C6" s="270">
        <f t="shared" ref="C6:C10" si="1">B6/B5-1</f>
        <v>9.5183242899148368E-3</v>
      </c>
      <c r="K6" s="977"/>
      <c r="L6" s="270"/>
      <c r="M6" s="270"/>
      <c r="N6" s="270"/>
      <c r="Y6" s="398"/>
      <c r="AA6" s="265" t="s">
        <v>372</v>
      </c>
    </row>
    <row r="7" spans="1:33">
      <c r="A7" s="1005" t="s">
        <v>361</v>
      </c>
      <c r="B7" s="1047">
        <v>727.221</v>
      </c>
      <c r="C7" s="270">
        <f t="shared" si="1"/>
        <v>-7.4317629042429667E-3</v>
      </c>
      <c r="D7" s="214"/>
      <c r="E7" s="214"/>
      <c r="F7" s="214"/>
      <c r="G7" s="214"/>
      <c r="H7" s="214"/>
      <c r="I7" s="214"/>
      <c r="J7" s="265" t="s">
        <v>373</v>
      </c>
      <c r="K7" s="214"/>
      <c r="L7" s="270"/>
      <c r="M7" s="270"/>
      <c r="N7" s="270"/>
      <c r="Y7" s="958"/>
    </row>
    <row r="8" spans="1:33">
      <c r="A8" s="1006" t="s">
        <v>362</v>
      </c>
      <c r="B8" s="1047">
        <v>1288.7560000000001</v>
      </c>
      <c r="C8" s="270">
        <f t="shared" si="1"/>
        <v>0.77216554527440784</v>
      </c>
      <c r="K8" s="977"/>
      <c r="L8" s="270"/>
      <c r="M8" s="270"/>
      <c r="N8" s="270"/>
      <c r="Y8" s="984"/>
    </row>
    <row r="9" spans="1:33">
      <c r="A9" s="1005" t="s">
        <v>363</v>
      </c>
      <c r="B9" s="1047">
        <v>1304.4449999999999</v>
      </c>
      <c r="C9" s="270">
        <f t="shared" si="1"/>
        <v>1.2173755156134947E-2</v>
      </c>
      <c r="K9" s="214"/>
      <c r="L9" s="270"/>
      <c r="M9" s="270"/>
      <c r="N9" s="270"/>
      <c r="Y9" s="985"/>
    </row>
    <row r="10" spans="1:33">
      <c r="A10" s="1005" t="s">
        <v>364</v>
      </c>
      <c r="B10" s="1047">
        <v>2302.739</v>
      </c>
      <c r="C10" s="270">
        <f t="shared" si="1"/>
        <v>0.76530171835531591</v>
      </c>
      <c r="K10" s="977"/>
      <c r="L10" s="270"/>
      <c r="M10" s="270"/>
      <c r="N10" s="270"/>
      <c r="Y10" s="986"/>
    </row>
    <row r="11" spans="1:33">
      <c r="K11" s="977"/>
      <c r="L11" s="270"/>
      <c r="M11" s="270"/>
      <c r="N11" s="270"/>
      <c r="Y11" s="320"/>
    </row>
    <row r="12" spans="1:33">
      <c r="K12" s="977"/>
      <c r="L12" s="270"/>
      <c r="M12" s="270"/>
      <c r="N12" s="270"/>
    </row>
    <row r="13" spans="1:33">
      <c r="K13" s="977"/>
      <c r="L13" s="270"/>
      <c r="M13" s="270"/>
      <c r="N13" s="270"/>
    </row>
    <row r="14" spans="1:33">
      <c r="K14" s="977"/>
      <c r="L14" s="270"/>
      <c r="M14" s="270"/>
      <c r="N14" s="270"/>
      <c r="AB14" s="770"/>
    </row>
    <row r="15" spans="1:33">
      <c r="K15" s="977"/>
      <c r="L15" s="270"/>
      <c r="M15" s="270"/>
      <c r="N15" s="270"/>
      <c r="AB15" s="270"/>
    </row>
    <row r="16" spans="1:33">
      <c r="B16" s="230">
        <f>B10/B9</f>
        <v>1.7653017183553159</v>
      </c>
      <c r="K16" s="977"/>
      <c r="L16" s="270"/>
      <c r="M16" s="270"/>
      <c r="N16" s="270"/>
    </row>
    <row r="17" spans="1:43">
      <c r="B17" s="230">
        <f>B16-1</f>
        <v>0.76530171835531591</v>
      </c>
      <c r="K17" s="977"/>
      <c r="L17" s="270"/>
      <c r="M17" s="270"/>
      <c r="N17" s="270"/>
    </row>
    <row r="18" spans="1:43">
      <c r="K18" s="977"/>
      <c r="L18" s="270"/>
      <c r="M18" s="270"/>
      <c r="N18" s="270"/>
    </row>
    <row r="19" spans="1:43">
      <c r="K19" s="977"/>
      <c r="L19" s="270"/>
      <c r="M19" s="270"/>
      <c r="N19" s="270"/>
    </row>
    <row r="20" spans="1:43">
      <c r="K20" s="977"/>
      <c r="L20" s="270"/>
      <c r="M20" s="270"/>
      <c r="N20" s="270"/>
    </row>
    <row r="22" spans="1:43">
      <c r="A22" s="236"/>
      <c r="B22" s="236"/>
      <c r="C22" s="236"/>
      <c r="D22" s="1005" t="s">
        <v>358</v>
      </c>
      <c r="E22" s="1006" t="s">
        <v>359</v>
      </c>
      <c r="F22" s="1005" t="s">
        <v>360</v>
      </c>
      <c r="G22" s="1005" t="s">
        <v>361</v>
      </c>
      <c r="H22" s="1006" t="s">
        <v>362</v>
      </c>
      <c r="I22" s="1005" t="s">
        <v>363</v>
      </c>
      <c r="J22" s="1005" t="s">
        <v>364</v>
      </c>
      <c r="K22" s="1006" t="s">
        <v>365</v>
      </c>
      <c r="L22" s="1005" t="s">
        <v>366</v>
      </c>
      <c r="M22" s="1006" t="s">
        <v>367</v>
      </c>
      <c r="N22" s="1005" t="s">
        <v>368</v>
      </c>
      <c r="O22" s="1006" t="s">
        <v>369</v>
      </c>
      <c r="P22" s="1005" t="s">
        <v>370</v>
      </c>
      <c r="S22" s="1005" t="s">
        <v>358</v>
      </c>
      <c r="T22" s="1006" t="s">
        <v>359</v>
      </c>
      <c r="U22" s="1005" t="s">
        <v>360</v>
      </c>
      <c r="V22" s="1005" t="s">
        <v>361</v>
      </c>
      <c r="W22" s="1006" t="s">
        <v>362</v>
      </c>
      <c r="X22" s="1005" t="s">
        <v>363</v>
      </c>
      <c r="Y22" s="1005" t="s">
        <v>364</v>
      </c>
      <c r="Z22" s="1006" t="s">
        <v>365</v>
      </c>
      <c r="AA22" s="1005" t="s">
        <v>366</v>
      </c>
      <c r="AB22" s="1006" t="s">
        <v>367</v>
      </c>
      <c r="AC22" s="1005" t="s">
        <v>368</v>
      </c>
      <c r="AD22" s="1006" t="s">
        <v>369</v>
      </c>
      <c r="AE22" s="1005" t="s">
        <v>370</v>
      </c>
    </row>
    <row r="23" spans="1:43">
      <c r="A23" s="978" t="s">
        <v>374</v>
      </c>
      <c r="B23" s="213"/>
      <c r="C23" s="213"/>
      <c r="D23" s="802">
        <v>872.72903545422184</v>
      </c>
      <c r="E23" s="802">
        <v>1129.5233877016587</v>
      </c>
      <c r="F23" s="802">
        <v>1515.424</v>
      </c>
      <c r="G23" s="802">
        <v>2085.5</v>
      </c>
      <c r="H23" s="802">
        <v>2698.9</v>
      </c>
      <c r="I23" s="802">
        <v>3447.4</v>
      </c>
      <c r="J23" s="802">
        <v>4410.6270000000004</v>
      </c>
      <c r="K23" s="562">
        <v>5909.4217500000004</v>
      </c>
      <c r="L23" s="562">
        <v>7634.3850903600005</v>
      </c>
      <c r="M23" s="562">
        <v>9463.2049542189616</v>
      </c>
      <c r="N23" s="562">
        <v>12137.565839637955</v>
      </c>
      <c r="O23" s="562">
        <v>13715.449398790888</v>
      </c>
      <c r="P23" s="562">
        <v>15086.994338669978</v>
      </c>
      <c r="S23" s="982">
        <f>'IS Intergrated'!E22/1000</f>
        <v>1.3453660000000001</v>
      </c>
      <c r="T23" s="982">
        <f>'IS Intergrated'!F22/1000</f>
        <v>1.7531110000000001</v>
      </c>
      <c r="U23" s="982">
        <f>'IS Intergrated'!G22/1000</f>
        <v>2.3371749999999998</v>
      </c>
      <c r="V23" s="982">
        <f>'IS Intergrated'!H22/1000</f>
        <v>2.9008820000000002</v>
      </c>
      <c r="W23" s="982">
        <f>'IS Intergrated'!I22/1000</f>
        <v>3.5551080000000002</v>
      </c>
      <c r="X23" s="982">
        <f>'IS Intergrated'!J22/1000</f>
        <v>4.3204530000000005</v>
      </c>
      <c r="Y23" s="982">
        <f>'IS Intergrated'!K22/1000</f>
        <v>5.5754760000000001</v>
      </c>
      <c r="Z23" s="982">
        <f>'IS Intergrated'!L22/1000</f>
        <v>6.2067683617173639</v>
      </c>
      <c r="AA23" s="982">
        <f>'IS Intergrated'!M22/1000</f>
        <v>7.4926573387235171</v>
      </c>
      <c r="AB23" s="982">
        <f>'IS Intergrated'!N22/1000</f>
        <v>9.0039328303269279</v>
      </c>
      <c r="AC23" s="982">
        <f>'IS Intergrated'!O22/1000</f>
        <v>10.560280923404859</v>
      </c>
      <c r="AD23" s="982">
        <f>'IS Intergrated'!P22/1000</f>
        <v>11.95151268345797</v>
      </c>
      <c r="AE23" s="982">
        <f>'IS Intergrated'!Q22/1000</f>
        <v>13.112270278378285</v>
      </c>
    </row>
    <row r="24" spans="1:43">
      <c r="A24" s="979" t="s">
        <v>375</v>
      </c>
      <c r="B24" s="213"/>
      <c r="C24" s="213"/>
      <c r="D24" s="802">
        <v>322.68636395931048</v>
      </c>
      <c r="E24" s="802">
        <v>417.63454655172785</v>
      </c>
      <c r="F24" s="802">
        <v>560.31899999999996</v>
      </c>
      <c r="G24" s="802">
        <v>819.25099999999998</v>
      </c>
      <c r="H24" s="802">
        <v>1208.498</v>
      </c>
      <c r="I24" s="802">
        <v>1467.1669999999999</v>
      </c>
      <c r="J24" s="802">
        <v>1830.941</v>
      </c>
      <c r="K24" s="562">
        <v>1208.4210599999999</v>
      </c>
      <c r="L24" s="562">
        <v>1012.6568482799998</v>
      </c>
      <c r="M24" s="562">
        <v>919.49241823823991</v>
      </c>
      <c r="N24" s="562">
        <v>0</v>
      </c>
      <c r="O24" s="562" t="s">
        <v>269</v>
      </c>
      <c r="P24" s="562" t="s">
        <v>269</v>
      </c>
      <c r="S24" s="983">
        <f>'IS Intergrated'!E22/'IS Intergrated'!E10</f>
        <v>0.83347076180805901</v>
      </c>
      <c r="T24" s="983">
        <f>'IS Intergrated'!F22/'IS Intergrated'!F10</f>
        <v>0.83915760229607328</v>
      </c>
      <c r="U24" s="983">
        <f>'IS Intergrated'!G22/'IS Intergrated'!G10</f>
        <v>0.83384709024496928</v>
      </c>
      <c r="V24" s="983">
        <f>'IS Intergrated'!H22/'IS Intergrated'!H10</f>
        <v>0.82069920985037548</v>
      </c>
      <c r="W24" s="983">
        <f>'IS Intergrated'!I22/'IS Intergrated'!I10</f>
        <v>0.81565308884521026</v>
      </c>
      <c r="X24" s="983">
        <f>'IS Intergrated'!J22/'IS Intergrated'!J10</f>
        <v>0.82841824752689397</v>
      </c>
      <c r="Y24" s="983">
        <f>'IS Intergrated'!K22/'IS Intergrated'!K10</f>
        <v>0.84832847152020263</v>
      </c>
      <c r="Z24" s="983">
        <f>'IS Intergrated'!L22/'IS Intergrated'!L10</f>
        <v>0.82313997051596366</v>
      </c>
      <c r="AA24" s="983">
        <f>'IS Intergrated'!M22/'IS Intergrated'!M10</f>
        <v>0.82048585224323578</v>
      </c>
      <c r="AB24" s="983">
        <f>'IS Intergrated'!N22/'IS Intergrated'!N10</f>
        <v>0.81738618189807632</v>
      </c>
      <c r="AC24" s="983">
        <f>'IS Intergrated'!O22/'IS Intergrated'!O10</f>
        <v>0.81377869481610576</v>
      </c>
      <c r="AD24" s="983">
        <f>'IS Intergrated'!P22/'IS Intergrated'!P10</f>
        <v>0.81480665417811415</v>
      </c>
      <c r="AE24" s="983">
        <f>'IS Intergrated'!Q22/'IS Intergrated'!Q10</f>
        <v>0.81159954734227679</v>
      </c>
    </row>
    <row r="25" spans="1:43">
      <c r="A25" s="979" t="s">
        <v>376</v>
      </c>
      <c r="B25" s="213"/>
      <c r="C25" s="213"/>
      <c r="D25" s="802">
        <v>302.36236197028637</v>
      </c>
      <c r="E25" s="802">
        <v>391.33035058058107</v>
      </c>
      <c r="F25" s="802">
        <v>525.02800000000002</v>
      </c>
      <c r="G25" s="802">
        <v>400.517</v>
      </c>
      <c r="H25" s="802">
        <v>177.64500000000001</v>
      </c>
      <c r="I25" s="802" t="s">
        <v>269</v>
      </c>
      <c r="J25" s="802" t="s">
        <v>269</v>
      </c>
      <c r="K25" s="562" t="s">
        <v>269</v>
      </c>
      <c r="L25" s="562" t="s">
        <v>269</v>
      </c>
      <c r="M25" s="562" t="s">
        <v>269</v>
      </c>
      <c r="N25" s="562" t="s">
        <v>269</v>
      </c>
      <c r="O25" s="562" t="s">
        <v>269</v>
      </c>
      <c r="P25" s="562" t="s">
        <v>269</v>
      </c>
      <c r="AJ25" s="1003" t="s">
        <v>130</v>
      </c>
      <c r="AK25" s="1003" t="s">
        <v>132</v>
      </c>
      <c r="AL25" s="1003" t="s">
        <v>139</v>
      </c>
      <c r="AM25" s="1003" t="s">
        <v>140</v>
      </c>
      <c r="AN25" s="1003" t="s">
        <v>142</v>
      </c>
      <c r="AO25" s="1003" t="s">
        <v>144</v>
      </c>
      <c r="AP25" s="1003" t="s">
        <v>146</v>
      </c>
      <c r="AQ25" s="1003"/>
    </row>
    <row r="26" spans="1:43">
      <c r="A26" s="979" t="s">
        <v>377</v>
      </c>
      <c r="B26" s="213"/>
      <c r="C26" s="213"/>
      <c r="D26" s="802">
        <v>116.39523861618149</v>
      </c>
      <c r="E26" s="802">
        <v>150.64371516603268</v>
      </c>
      <c r="F26" s="802">
        <v>202.11099999999999</v>
      </c>
      <c r="G26" s="802">
        <v>229.37899999999999</v>
      </c>
      <c r="H26" s="802">
        <v>273.56</v>
      </c>
      <c r="I26" s="802">
        <v>300.73700000000002</v>
      </c>
      <c r="J26" s="802">
        <v>330.74</v>
      </c>
      <c r="K26" s="562">
        <v>373.7362</v>
      </c>
      <c r="L26" s="562">
        <v>416.71586300000001</v>
      </c>
      <c r="M26" s="562">
        <v>460.47102861500002</v>
      </c>
      <c r="N26" s="562">
        <v>501.91342119035005</v>
      </c>
      <c r="O26" s="562">
        <v>539.55692777962633</v>
      </c>
      <c r="P26" s="562">
        <v>571.93034344640398</v>
      </c>
      <c r="S26" s="265" t="s">
        <v>378</v>
      </c>
      <c r="AJ26" s="1004">
        <v>22.642684344195882</v>
      </c>
      <c r="AK26" s="1004">
        <v>19.318169042300205</v>
      </c>
      <c r="AL26" s="1004">
        <v>8.4230761670761662</v>
      </c>
      <c r="AM26" s="1004">
        <v>49.291457425742564</v>
      </c>
      <c r="AN26" s="1004">
        <v>9.7332464528069096</v>
      </c>
      <c r="AO26" s="1004">
        <v>11.143876166407466</v>
      </c>
      <c r="AP26" s="1004">
        <v>15.902267666916728</v>
      </c>
      <c r="AQ26" s="1004"/>
    </row>
    <row r="27" spans="1:43">
      <c r="AJ27" s="1004">
        <f>AVERAGE($AJ$26:$AQ$26)</f>
        <v>19.493539609349419</v>
      </c>
      <c r="AK27" s="1004">
        <f t="shared" ref="AK27:AP27" si="2">AVERAGE($AJ$26:$AQ$26)</f>
        <v>19.493539609349419</v>
      </c>
      <c r="AL27" s="1004">
        <f t="shared" si="2"/>
        <v>19.493539609349419</v>
      </c>
      <c r="AM27" s="1004">
        <f t="shared" si="2"/>
        <v>19.493539609349419</v>
      </c>
      <c r="AN27" s="1004">
        <f t="shared" si="2"/>
        <v>19.493539609349419</v>
      </c>
      <c r="AO27" s="1004">
        <f t="shared" si="2"/>
        <v>19.493539609349419</v>
      </c>
      <c r="AP27" s="1004">
        <f t="shared" si="2"/>
        <v>19.493539609349419</v>
      </c>
    </row>
    <row r="28" spans="1:43">
      <c r="A28" s="265" t="s">
        <v>379</v>
      </c>
    </row>
    <row r="30" spans="1:43">
      <c r="K30" s="977"/>
      <c r="L30" s="214"/>
      <c r="M30" s="977"/>
      <c r="N30" s="214"/>
      <c r="O30" s="977"/>
      <c r="P30" s="214"/>
      <c r="Q30" s="977"/>
      <c r="R30" s="977"/>
      <c r="S30" s="977"/>
      <c r="T30" s="977"/>
      <c r="U30" s="977"/>
      <c r="V30" s="977"/>
      <c r="W30" s="977"/>
    </row>
    <row r="31" spans="1:43">
      <c r="K31" s="270"/>
      <c r="L31" s="270"/>
      <c r="M31" s="270"/>
      <c r="N31" s="270"/>
      <c r="O31" s="270"/>
      <c r="P31" s="270"/>
      <c r="Q31" s="270"/>
      <c r="R31" s="270"/>
      <c r="S31" s="270"/>
      <c r="T31" s="270"/>
      <c r="U31" s="270"/>
      <c r="V31" s="270"/>
      <c r="W31" s="270"/>
    </row>
    <row r="48" spans="12:24">
      <c r="L48" s="1005" t="s">
        <v>358</v>
      </c>
      <c r="M48" s="1006" t="s">
        <v>359</v>
      </c>
      <c r="N48" s="1005" t="s">
        <v>360</v>
      </c>
      <c r="O48" s="1005" t="s">
        <v>361</v>
      </c>
      <c r="P48" s="1006" t="s">
        <v>362</v>
      </c>
      <c r="Q48" s="1005" t="s">
        <v>363</v>
      </c>
      <c r="R48" s="1005" t="s">
        <v>364</v>
      </c>
      <c r="S48" s="1006" t="s">
        <v>365</v>
      </c>
      <c r="T48" s="1005" t="s">
        <v>366</v>
      </c>
      <c r="U48" s="1006" t="s">
        <v>367</v>
      </c>
      <c r="V48" s="1005" t="s">
        <v>368</v>
      </c>
      <c r="W48" s="1006" t="s">
        <v>369</v>
      </c>
      <c r="X48" s="1005" t="s">
        <v>370</v>
      </c>
    </row>
    <row r="49" spans="1:48">
      <c r="L49" s="981">
        <f>-'CF Intergrated'!E31</f>
        <v>53.972000000000001</v>
      </c>
      <c r="M49" s="981">
        <f>-'CF Intergrated'!F31</f>
        <v>91.769000000000005</v>
      </c>
      <c r="N49" s="981">
        <f>-'CF Intergrated'!G31</f>
        <v>19.411000000000001</v>
      </c>
      <c r="O49" s="981">
        <f>-'CF Intergrated'!H31</f>
        <v>5.7750000000000004</v>
      </c>
      <c r="P49" s="981">
        <f>-'CF Intergrated'!I31</f>
        <v>847.76700000000005</v>
      </c>
      <c r="Q49" s="981">
        <f>-'CF Intergrated'!J31</f>
        <v>14.244999999999999</v>
      </c>
      <c r="R49" s="981">
        <f>-'CF Intergrated'!K31</f>
        <v>1228.875</v>
      </c>
      <c r="S49" s="981">
        <f>-'CF Intergrated'!L31</f>
        <v>489.80612158289568</v>
      </c>
      <c r="T49" s="981">
        <f>-'CF Intergrated'!M31</f>
        <v>684.51429120993896</v>
      </c>
      <c r="U49" s="981">
        <f>-'CF Intergrated'!N31</f>
        <v>935.85597745621567</v>
      </c>
      <c r="V49" s="981">
        <f>-'CF Intergrated'!O31</f>
        <v>1232.2548074131469</v>
      </c>
      <c r="W49" s="981">
        <f>-'CF Intergrated'!P31</f>
        <v>1539.5141360634375</v>
      </c>
      <c r="X49" s="981">
        <f>-'CF Intergrated'!Q31</f>
        <v>1857.270394608875</v>
      </c>
    </row>
    <row r="50" spans="1:48">
      <c r="S50" s="303">
        <f>'IS Intergrated'!L15</f>
        <v>48.776924637476625</v>
      </c>
      <c r="T50" s="303">
        <f>'IS Intergrated'!M15</f>
        <v>68.218475876962827</v>
      </c>
      <c r="U50" s="303">
        <f>'IS Intergrated'!N15</f>
        <v>95.388450036761768</v>
      </c>
      <c r="V50" s="303">
        <f>'IS Intergrated'!O15</f>
        <v>132.53476392866602</v>
      </c>
      <c r="W50" s="303">
        <f>'IS Intergrated'!P15</f>
        <v>181.44584103199983</v>
      </c>
      <c r="X50" s="303">
        <f>'IS Intergrated'!Q15</f>
        <v>242.55275995629745</v>
      </c>
    </row>
    <row r="51" spans="1:48">
      <c r="A51" s="1005" t="s">
        <v>380</v>
      </c>
      <c r="B51" s="230">
        <v>20</v>
      </c>
    </row>
    <row r="52" spans="1:48">
      <c r="A52" s="1005" t="s">
        <v>381</v>
      </c>
      <c r="B52" s="230">
        <v>27</v>
      </c>
    </row>
    <row r="53" spans="1:48">
      <c r="A53" s="1005" t="s">
        <v>382</v>
      </c>
      <c r="B53" s="230">
        <v>58</v>
      </c>
      <c r="L53" s="265" t="s">
        <v>383</v>
      </c>
    </row>
    <row r="54" spans="1:48">
      <c r="A54" s="1005" t="s">
        <v>358</v>
      </c>
      <c r="B54" s="230">
        <v>50</v>
      </c>
    </row>
    <row r="55" spans="1:48">
      <c r="A55" s="1006" t="s">
        <v>359</v>
      </c>
      <c r="B55" s="230">
        <v>56</v>
      </c>
      <c r="AJ55" s="1005" t="s">
        <v>358</v>
      </c>
      <c r="AK55" s="1006" t="s">
        <v>359</v>
      </c>
      <c r="AL55" s="1005" t="s">
        <v>360</v>
      </c>
      <c r="AM55" s="1005" t="s">
        <v>361</v>
      </c>
      <c r="AN55" s="1006" t="s">
        <v>362</v>
      </c>
      <c r="AO55" s="1005" t="s">
        <v>363</v>
      </c>
      <c r="AP55" s="1005" t="s">
        <v>364</v>
      </c>
      <c r="AQ55" s="1006" t="s">
        <v>365</v>
      </c>
      <c r="AR55" s="1005" t="s">
        <v>366</v>
      </c>
      <c r="AS55" s="1006" t="s">
        <v>367</v>
      </c>
      <c r="AT55" s="1005" t="s">
        <v>368</v>
      </c>
      <c r="AU55" s="1006" t="s">
        <v>369</v>
      </c>
      <c r="AV55" s="1005" t="s">
        <v>370</v>
      </c>
    </row>
    <row r="56" spans="1:48">
      <c r="A56" s="1005" t="s">
        <v>360</v>
      </c>
      <c r="B56" s="230">
        <v>50</v>
      </c>
      <c r="AJ56" s="303">
        <v>183.62799999999999</v>
      </c>
      <c r="AK56" s="303">
        <v>253.85900000000001</v>
      </c>
      <c r="AL56" s="303">
        <v>410.35399999999998</v>
      </c>
      <c r="AM56" s="303">
        <v>581.28499999999997</v>
      </c>
      <c r="AN56" s="303">
        <v>724.75700000000006</v>
      </c>
      <c r="AO56" s="303">
        <v>816.11300000000006</v>
      </c>
      <c r="AP56" s="303">
        <v>856.16200000000003</v>
      </c>
      <c r="AQ56" s="303">
        <v>1194.4376208312112</v>
      </c>
      <c r="AR56" s="303">
        <v>1484.2492718292281</v>
      </c>
      <c r="AS56" s="303">
        <v>1830.6057627404953</v>
      </c>
      <c r="AT56" s="303">
        <v>2198.117952129166</v>
      </c>
      <c r="AU56" s="303">
        <v>2551.7024786939546</v>
      </c>
      <c r="AV56" s="303">
        <v>2882.869127704223</v>
      </c>
    </row>
    <row r="57" spans="1:48">
      <c r="A57" s="1005" t="s">
        <v>361</v>
      </c>
      <c r="B57" s="230">
        <v>55</v>
      </c>
      <c r="AJ57" s="270">
        <v>0.11375980145870361</v>
      </c>
      <c r="AK57" s="270">
        <v>0.12151410250764433</v>
      </c>
      <c r="AL57" s="270">
        <v>0.1464043081371246</v>
      </c>
      <c r="AM57" s="270">
        <v>0.16445348007877447</v>
      </c>
      <c r="AN57" s="270">
        <v>0.16628194859683254</v>
      </c>
      <c r="AO57" s="270">
        <v>0.15648426247060576</v>
      </c>
      <c r="AP57" s="270">
        <v>0.13026808847059512</v>
      </c>
      <c r="AQ57" s="270">
        <v>0.15840599982083434</v>
      </c>
      <c r="AR57" s="270">
        <v>0.16340599982083434</v>
      </c>
      <c r="AS57" s="270">
        <v>0.16840599982083435</v>
      </c>
      <c r="AT57" s="270">
        <v>0.17340599982083435</v>
      </c>
      <c r="AU57" s="270">
        <v>0.17840599982083435</v>
      </c>
      <c r="AV57" s="270">
        <v>0.18340599982083433</v>
      </c>
    </row>
    <row r="58" spans="1:48">
      <c r="A58" s="1006" t="s">
        <v>362</v>
      </c>
      <c r="B58" s="230">
        <v>78</v>
      </c>
    </row>
    <row r="59" spans="1:48">
      <c r="A59" s="1005" t="s">
        <v>363</v>
      </c>
      <c r="B59" s="230">
        <v>88</v>
      </c>
    </row>
    <row r="60" spans="1:48">
      <c r="A60" s="1005" t="s">
        <v>364</v>
      </c>
      <c r="B60" s="230">
        <v>89</v>
      </c>
    </row>
    <row r="61" spans="1:48">
      <c r="A61" s="1006"/>
    </row>
    <row r="62" spans="1:48">
      <c r="A62" s="1005"/>
    </row>
    <row r="63" spans="1:48" ht="14.5">
      <c r="A63" s="1006"/>
      <c r="AP63"/>
    </row>
    <row r="64" spans="1:48">
      <c r="A64" s="1005"/>
    </row>
    <row r="65" spans="1:1">
      <c r="A65" s="1006"/>
    </row>
    <row r="66" spans="1:1">
      <c r="A66" s="1005"/>
    </row>
    <row r="82" spans="1:26" ht="14.5">
      <c r="A82" s="988" t="s">
        <v>384</v>
      </c>
    </row>
    <row r="86" spans="1:26">
      <c r="Y86" s="230" t="s">
        <v>1088</v>
      </c>
    </row>
    <row r="88" spans="1:26">
      <c r="X88" s="230" t="s">
        <v>1090</v>
      </c>
      <c r="Y88" s="230" t="s">
        <v>1087</v>
      </c>
      <c r="Z88" s="230" t="s">
        <v>1089</v>
      </c>
    </row>
    <row r="89" spans="1:26">
      <c r="W89" s="230" t="s">
        <v>1085</v>
      </c>
      <c r="X89" s="230">
        <v>8.9</v>
      </c>
      <c r="Y89" s="230">
        <v>8.8000000000000007</v>
      </c>
      <c r="Z89" s="230">
        <v>28</v>
      </c>
    </row>
    <row r="90" spans="1:26">
      <c r="W90" s="230" t="s">
        <v>1084</v>
      </c>
      <c r="X90" s="230">
        <v>6.9</v>
      </c>
      <c r="Y90" s="230">
        <v>7.4</v>
      </c>
      <c r="Z90" s="230">
        <v>20</v>
      </c>
    </row>
    <row r="91" spans="1:26">
      <c r="W91" s="230" t="s">
        <v>1083</v>
      </c>
      <c r="X91" s="230">
        <v>8.3000000000000007</v>
      </c>
      <c r="Y91" s="230">
        <v>6.1</v>
      </c>
      <c r="Z91" s="230">
        <v>6</v>
      </c>
    </row>
    <row r="92" spans="1:26">
      <c r="W92" s="230" t="s">
        <v>1082</v>
      </c>
      <c r="X92" s="230">
        <v>5.0999999999999996</v>
      </c>
      <c r="Y92" s="230">
        <v>5.3</v>
      </c>
      <c r="Z92" s="230">
        <v>40</v>
      </c>
    </row>
    <row r="93" spans="1:26">
      <c r="W93" s="230" t="s">
        <v>1086</v>
      </c>
      <c r="X93" s="230">
        <v>3.2</v>
      </c>
      <c r="Y93" s="230">
        <v>3</v>
      </c>
      <c r="Z93" s="230">
        <v>5</v>
      </c>
    </row>
    <row r="103" spans="44:44" ht="14.5">
      <c r="AR103"/>
    </row>
  </sheetData>
  <phoneticPr fontId="25" type="noConversion"/>
  <hyperlinks>
    <hyperlink ref="A82" r:id="rId1" location="/" xr:uid="{8B6DCE6B-2378-744A-A451-9BF3A1D9F871}"/>
  </hyperlinks>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C9D32E-5C15-4C29-9B49-297E8483777E}">
  <sheetPr codeName="Sheet11">
    <tabColor rgb="FF004AAC"/>
  </sheetPr>
  <dimension ref="A1:K78"/>
  <sheetViews>
    <sheetView showGridLines="0" topLeftCell="A33" zoomScale="111" workbookViewId="0">
      <selection activeCell="J69" sqref="J69"/>
    </sheetView>
  </sheetViews>
  <sheetFormatPr defaultColWidth="8.7265625" defaultRowHeight="12"/>
  <cols>
    <col min="1" max="1" width="2.1796875" style="230" customWidth="1"/>
    <col min="2" max="2" width="16.7265625" style="230" customWidth="1"/>
    <col min="3" max="3" width="12" style="230" customWidth="1"/>
    <col min="4" max="7" width="8.7265625" style="230"/>
    <col min="8" max="8" width="8.81640625" style="230" bestFit="1" customWidth="1"/>
    <col min="9" max="9" width="8.26953125" style="230" customWidth="1"/>
    <col min="10" max="10" width="19.453125" style="230" bestFit="1" customWidth="1"/>
    <col min="11" max="11" width="10.26953125" style="230" bestFit="1" customWidth="1"/>
    <col min="12" max="12" width="8.7265625" style="230"/>
    <col min="13" max="13" width="10.81640625" style="230" customWidth="1"/>
    <col min="14" max="14" width="11.81640625" style="230" customWidth="1"/>
    <col min="15" max="16384" width="8.7265625" style="230"/>
  </cols>
  <sheetData>
    <row r="1" spans="1:9">
      <c r="A1" s="265" t="s">
        <v>385</v>
      </c>
    </row>
    <row r="2" spans="1:9">
      <c r="A2" s="265" t="s">
        <v>89</v>
      </c>
    </row>
    <row r="6" spans="1:9">
      <c r="A6" s="522" t="s">
        <v>386</v>
      </c>
      <c r="B6" s="522"/>
      <c r="C6" s="522"/>
      <c r="D6" s="522"/>
      <c r="E6" s="522"/>
      <c r="F6" s="522"/>
      <c r="G6" s="522"/>
      <c r="H6" s="522"/>
      <c r="I6" s="523"/>
    </row>
    <row r="7" spans="1:9">
      <c r="B7" s="320" t="s">
        <v>387</v>
      </c>
      <c r="C7" s="320"/>
      <c r="D7" s="320"/>
      <c r="E7" s="320"/>
      <c r="F7" s="320"/>
      <c r="G7" s="320"/>
      <c r="H7" s="942">
        <f ca="1">H32</f>
        <v>0.10959412111803987</v>
      </c>
    </row>
    <row r="8" spans="1:9">
      <c r="B8" s="320" t="s">
        <v>388</v>
      </c>
      <c r="C8" s="320"/>
      <c r="D8" s="320"/>
      <c r="E8" s="320"/>
      <c r="F8" s="320"/>
      <c r="G8" s="320"/>
      <c r="H8" s="942">
        <f ca="1">H55</f>
        <v>9.8174267939294457E-2</v>
      </c>
    </row>
    <row r="9" spans="1:9">
      <c r="B9" s="330" t="s">
        <v>389</v>
      </c>
      <c r="C9" s="330"/>
      <c r="D9" s="330"/>
      <c r="E9" s="330"/>
      <c r="F9" s="330"/>
      <c r="G9" s="330"/>
      <c r="H9" s="943">
        <f ca="1">H78</f>
        <v>-1.4503251587180216E-2</v>
      </c>
    </row>
    <row r="12" spans="1:9">
      <c r="A12" s="522" t="s">
        <v>390</v>
      </c>
      <c r="B12" s="522"/>
      <c r="C12" s="522"/>
      <c r="D12" s="522"/>
      <c r="E12" s="522"/>
      <c r="F12" s="522"/>
      <c r="G12" s="522"/>
      <c r="H12" s="522"/>
      <c r="I12" s="523"/>
    </row>
    <row r="14" spans="1:9">
      <c r="B14" s="265" t="s">
        <v>391</v>
      </c>
    </row>
    <row r="15" spans="1:9">
      <c r="B15" s="266" t="s">
        <v>392</v>
      </c>
      <c r="H15" s="333">
        <f>'BS Intergrated'!I58+'BS Intergrated'!I59+'BS Intergrated'!I51</f>
        <v>1249.338</v>
      </c>
    </row>
    <row r="16" spans="1:9">
      <c r="B16" s="266" t="s">
        <v>393</v>
      </c>
      <c r="H16" s="267">
        <f ca="1">'Comp. Multi &amp; Imp. Val'!$C$15*'Comp. Multi &amp; Imp. Val'!$W$13</f>
        <v>46340.142616107798</v>
      </c>
    </row>
    <row r="18" spans="2:11">
      <c r="B18" s="266" t="s">
        <v>394</v>
      </c>
      <c r="H18" s="268">
        <f ca="1">H15/(H15+H16)</f>
        <v>2.6252398299491664E-2</v>
      </c>
      <c r="J18" s="267"/>
    </row>
    <row r="19" spans="2:11">
      <c r="B19" s="266" t="s">
        <v>395</v>
      </c>
      <c r="H19" s="268">
        <f ca="1">H16/(H15+H16)</f>
        <v>0.97374760170050823</v>
      </c>
    </row>
    <row r="20" spans="2:11">
      <c r="B20" s="266" t="s">
        <v>396</v>
      </c>
      <c r="H20" s="269">
        <f ca="1">SUM(H18:H19)</f>
        <v>0.99999999999999989</v>
      </c>
    </row>
    <row r="22" spans="2:11">
      <c r="B22" s="230" t="s">
        <v>397</v>
      </c>
      <c r="H22" s="270">
        <f>('DCS Detail'!$M$43+'DCS Detail'!$M$44)/2</f>
        <v>5.4900000000000004E-2</v>
      </c>
    </row>
    <row r="23" spans="2:11">
      <c r="B23" s="230" t="s">
        <v>398</v>
      </c>
      <c r="H23" s="295">
        <f>'DCS Detail'!$D$57</f>
        <v>0.24</v>
      </c>
    </row>
    <row r="24" spans="2:11">
      <c r="B24" s="297" t="s">
        <v>399</v>
      </c>
      <c r="C24" s="298"/>
      <c r="D24" s="298"/>
      <c r="E24" s="298"/>
      <c r="F24" s="298"/>
      <c r="G24" s="298"/>
      <c r="H24" s="299">
        <f>H22*(1-H23)</f>
        <v>4.1724000000000004E-2</v>
      </c>
    </row>
    <row r="26" spans="2:11">
      <c r="B26" s="265" t="s">
        <v>400</v>
      </c>
    </row>
    <row r="27" spans="2:11">
      <c r="B27" s="230" t="s">
        <v>401</v>
      </c>
      <c r="H27" s="296">
        <f ca="1">'DCS Detail'!D5</f>
        <v>4.9749999999999996E-2</v>
      </c>
    </row>
    <row r="28" spans="2:11">
      <c r="B28" s="230" t="s">
        <v>402</v>
      </c>
      <c r="H28" s="296">
        <f>'DCS Detail'!$D$6</f>
        <v>4.4600000000000001E-2</v>
      </c>
      <c r="K28" s="296"/>
    </row>
    <row r="29" spans="2:11">
      <c r="B29" s="230" t="s">
        <v>403</v>
      </c>
      <c r="H29" s="304">
        <f>'Beta Regression'!$B$10</f>
        <v>1.3828231152806203</v>
      </c>
    </row>
    <row r="30" spans="2:11">
      <c r="B30" s="297" t="s">
        <v>400</v>
      </c>
      <c r="C30" s="298"/>
      <c r="D30" s="298"/>
      <c r="E30" s="298"/>
      <c r="F30" s="298"/>
      <c r="G30" s="298"/>
      <c r="H30" s="299">
        <f ca="1">H27+H29*(H28)</f>
        <v>0.11142391094151566</v>
      </c>
    </row>
    <row r="32" spans="2:11">
      <c r="B32" s="297" t="s">
        <v>22</v>
      </c>
      <c r="C32" s="298"/>
      <c r="D32" s="298"/>
      <c r="E32" s="298"/>
      <c r="F32" s="298"/>
      <c r="G32" s="298"/>
      <c r="H32" s="305">
        <f ca="1">SUMPRODUCT(H18:H19,_xlfn.VSTACK(H24,H30))</f>
        <v>0.10959412111803987</v>
      </c>
    </row>
    <row r="35" spans="1:11">
      <c r="A35" s="522" t="s">
        <v>404</v>
      </c>
      <c r="B35" s="522"/>
      <c r="C35" s="522"/>
      <c r="D35" s="522"/>
      <c r="E35" s="522"/>
      <c r="F35" s="522"/>
      <c r="G35" s="522"/>
      <c r="H35" s="522"/>
      <c r="I35" s="523"/>
      <c r="J35" s="749" t="s">
        <v>405</v>
      </c>
      <c r="K35" s="750"/>
    </row>
    <row r="36" spans="1:11">
      <c r="J36" s="230" t="s">
        <v>406</v>
      </c>
      <c r="K36" s="385">
        <f ca="1">'DCS Detail'!D5</f>
        <v>4.9749999999999996E-2</v>
      </c>
    </row>
    <row r="37" spans="1:11">
      <c r="B37" s="265" t="s">
        <v>391</v>
      </c>
      <c r="J37" s="230" t="s">
        <v>407</v>
      </c>
      <c r="K37" s="304">
        <v>1.2081000848697905</v>
      </c>
    </row>
    <row r="38" spans="1:11">
      <c r="B38" s="266" t="s">
        <v>392</v>
      </c>
      <c r="H38" s="333">
        <f>'BS Intergrated'!I58+'BS Intergrated'!I59+'BS Intergrated'!I51</f>
        <v>1249.338</v>
      </c>
      <c r="J38" s="230" t="s">
        <v>408</v>
      </c>
      <c r="K38" s="748">
        <v>0.73658678296143876</v>
      </c>
    </row>
    <row r="39" spans="1:11">
      <c r="B39" s="266" t="s">
        <v>393</v>
      </c>
      <c r="H39" s="267">
        <f ca="1">'Comp. Multi &amp; Imp. Val'!$C$15*'Comp. Multi &amp; Imp. Val'!$W$13</f>
        <v>46340.142616107798</v>
      </c>
      <c r="J39" s="230" t="s">
        <v>409</v>
      </c>
      <c r="K39" s="748">
        <v>-0.35445569943740085</v>
      </c>
    </row>
    <row r="40" spans="1:11">
      <c r="J40" s="230" t="s">
        <v>410</v>
      </c>
      <c r="K40" s="385">
        <v>4.4600000000000001E-2</v>
      </c>
    </row>
    <row r="41" spans="1:11">
      <c r="B41" s="266" t="s">
        <v>394</v>
      </c>
      <c r="H41" s="268">
        <f ca="1">H38/(H38+H39)</f>
        <v>2.6252398299491664E-2</v>
      </c>
      <c r="J41" s="230" t="s">
        <v>411</v>
      </c>
      <c r="K41" s="385">
        <v>1.3976000000000001E-2</v>
      </c>
    </row>
    <row r="42" spans="1:11" ht="12.5" thickBot="1">
      <c r="B42" s="266" t="s">
        <v>395</v>
      </c>
      <c r="H42" s="268">
        <f ca="1">H39/(H38+H39)</f>
        <v>0.97374760170050823</v>
      </c>
      <c r="J42" s="230" t="s">
        <v>412</v>
      </c>
      <c r="K42" s="385">
        <v>4.0145E-2</v>
      </c>
    </row>
    <row r="43" spans="1:11" ht="12.5" thickTop="1">
      <c r="B43" s="266" t="s">
        <v>396</v>
      </c>
      <c r="H43" s="269">
        <f ca="1">SUM(H41:H42)</f>
        <v>0.99999999999999989</v>
      </c>
      <c r="J43" s="745" t="s">
        <v>400</v>
      </c>
      <c r="K43" s="746">
        <f ca="1">K36+K37*K40+K38*K41+K39*K42</f>
        <v>9.9696176609947285E-2</v>
      </c>
    </row>
    <row r="44" spans="1:11">
      <c r="J44" s="751" t="s">
        <v>413</v>
      </c>
    </row>
    <row r="45" spans="1:11">
      <c r="B45" s="230" t="s">
        <v>414</v>
      </c>
      <c r="H45" s="270">
        <f>('DCS Detail'!$M$43+'DCS Detail'!$M$44)/2</f>
        <v>5.4900000000000004E-2</v>
      </c>
    </row>
    <row r="46" spans="1:11">
      <c r="B46" s="230" t="s">
        <v>398</v>
      </c>
      <c r="H46" s="295">
        <f>'DCS Detail'!$D$57</f>
        <v>0.24</v>
      </c>
      <c r="J46" s="265" t="s">
        <v>415</v>
      </c>
      <c r="K46" s="265"/>
    </row>
    <row r="47" spans="1:11">
      <c r="B47" s="297" t="s">
        <v>399</v>
      </c>
      <c r="C47" s="298"/>
      <c r="D47" s="298"/>
      <c r="E47" s="298"/>
      <c r="F47" s="298"/>
      <c r="G47" s="298"/>
      <c r="H47" s="299">
        <f>H45*(1-H46)</f>
        <v>4.1724000000000004E-2</v>
      </c>
      <c r="J47" s="230" t="s">
        <v>414</v>
      </c>
      <c r="K47" s="296">
        <f>H45</f>
        <v>5.4900000000000004E-2</v>
      </c>
    </row>
    <row r="48" spans="1:11" ht="12.5" thickBot="1">
      <c r="J48" s="230" t="s">
        <v>398</v>
      </c>
      <c r="K48" s="295">
        <f>H46</f>
        <v>0.24</v>
      </c>
    </row>
    <row r="49" spans="1:11" ht="12.5" thickTop="1">
      <c r="B49" s="265" t="s">
        <v>400</v>
      </c>
      <c r="J49" s="745" t="s">
        <v>416</v>
      </c>
      <c r="K49" s="746">
        <f>K47*(1-K48)</f>
        <v>4.1724000000000004E-2</v>
      </c>
    </row>
    <row r="50" spans="1:11">
      <c r="B50" s="230" t="s">
        <v>401</v>
      </c>
      <c r="H50" s="296">
        <f ca="1">'DCS Detail'!D5</f>
        <v>4.9749999999999996E-2</v>
      </c>
      <c r="J50" s="751" t="s">
        <v>413</v>
      </c>
    </row>
    <row r="51" spans="1:11">
      <c r="B51" s="230" t="s">
        <v>402</v>
      </c>
      <c r="H51" s="296">
        <f>'DCS Detail'!$D$6</f>
        <v>4.4600000000000001E-2</v>
      </c>
    </row>
    <row r="52" spans="1:11">
      <c r="B52" s="230" t="s">
        <v>403</v>
      </c>
      <c r="H52" s="304">
        <f>'WACC FF Data'!B19</f>
        <v>1.2081000848697905</v>
      </c>
      <c r="J52" s="265" t="s">
        <v>417</v>
      </c>
    </row>
    <row r="53" spans="1:11">
      <c r="B53" s="297" t="s">
        <v>400</v>
      </c>
      <c r="C53" s="298"/>
      <c r="D53" s="298"/>
      <c r="E53" s="298"/>
      <c r="F53" s="298"/>
      <c r="G53" s="298"/>
      <c r="H53" s="299">
        <f ca="1">'WACC FF Data'!B7</f>
        <v>9.9696176609947285E-2</v>
      </c>
      <c r="J53" s="230" t="s">
        <v>418</v>
      </c>
      <c r="K53" s="270">
        <f ca="1">H41</f>
        <v>2.6252398299491664E-2</v>
      </c>
    </row>
    <row r="54" spans="1:11">
      <c r="J54" s="230" t="s">
        <v>419</v>
      </c>
      <c r="K54" s="270">
        <f ca="1">H42</f>
        <v>0.97374760170050823</v>
      </c>
    </row>
    <row r="55" spans="1:11">
      <c r="B55" s="297" t="s">
        <v>22</v>
      </c>
      <c r="C55" s="298"/>
      <c r="D55" s="298"/>
      <c r="E55" s="298"/>
      <c r="F55" s="298"/>
      <c r="G55" s="298"/>
      <c r="H55" s="305">
        <f ca="1">SUMPRODUCT(H41:H42,_xlfn.VSTACK(H47,H53))</f>
        <v>9.8174267939294457E-2</v>
      </c>
      <c r="J55" s="230" t="s">
        <v>416</v>
      </c>
      <c r="K55" s="296">
        <f>K49</f>
        <v>4.1724000000000004E-2</v>
      </c>
    </row>
    <row r="56" spans="1:11" ht="12.5" thickBot="1">
      <c r="J56" s="230" t="s">
        <v>400</v>
      </c>
      <c r="K56" s="296">
        <f ca="1">K43</f>
        <v>9.9696176609947285E-2</v>
      </c>
    </row>
    <row r="57" spans="1:11" ht="12.5" thickTop="1">
      <c r="J57" s="745" t="s">
        <v>22</v>
      </c>
      <c r="K57" s="1023">
        <f ca="1">K53*K55+K54*K56</f>
        <v>9.8174267939294457E-2</v>
      </c>
    </row>
    <row r="58" spans="1:11">
      <c r="A58" s="522" t="s">
        <v>420</v>
      </c>
      <c r="B58" s="522"/>
      <c r="C58" s="522"/>
      <c r="D58" s="522"/>
      <c r="E58" s="522"/>
      <c r="F58" s="522"/>
      <c r="G58" s="522"/>
      <c r="H58" s="522"/>
      <c r="I58" s="523"/>
      <c r="J58" s="751" t="s">
        <v>413</v>
      </c>
    </row>
    <row r="60" spans="1:11">
      <c r="B60" s="265" t="s">
        <v>391</v>
      </c>
    </row>
    <row r="61" spans="1:11">
      <c r="B61" s="266" t="s">
        <v>392</v>
      </c>
      <c r="H61" s="333">
        <f>'BS Intergrated'!I58+'BS Intergrated'!I59+'BS Intergrated'!I51</f>
        <v>1249.338</v>
      </c>
    </row>
    <row r="62" spans="1:11">
      <c r="B62" s="266" t="s">
        <v>393</v>
      </c>
      <c r="H62" s="267">
        <f ca="1">'Comp. Multi &amp; Imp. Val'!$C$15*'Comp. Multi &amp; Imp. Val'!$W$13</f>
        <v>46340.142616107798</v>
      </c>
    </row>
    <row r="64" spans="1:11">
      <c r="B64" s="266" t="s">
        <v>394</v>
      </c>
      <c r="H64" s="268">
        <f ca="1">H61/(H61+H62)</f>
        <v>2.6252398299491664E-2</v>
      </c>
    </row>
    <row r="65" spans="2:8">
      <c r="B65" s="266" t="s">
        <v>395</v>
      </c>
      <c r="H65" s="268">
        <f ca="1">H62/(H61+H62)</f>
        <v>0.97374760170050823</v>
      </c>
    </row>
    <row r="66" spans="2:8">
      <c r="B66" s="266" t="s">
        <v>396</v>
      </c>
      <c r="H66" s="269">
        <f ca="1">SUM(H64:H65)</f>
        <v>0.99999999999999989</v>
      </c>
    </row>
    <row r="68" spans="2:8">
      <c r="B68" s="230" t="s">
        <v>414</v>
      </c>
      <c r="H68" s="270">
        <f>('DCS Detail'!$M$43+'DCS Detail'!$M$44)/2</f>
        <v>5.4900000000000004E-2</v>
      </c>
    </row>
    <row r="69" spans="2:8">
      <c r="B69" s="230" t="s">
        <v>398</v>
      </c>
      <c r="H69" s="295">
        <f>'DCS Detail'!$D$57</f>
        <v>0.24</v>
      </c>
    </row>
    <row r="70" spans="2:8">
      <c r="B70" s="297" t="s">
        <v>399</v>
      </c>
      <c r="C70" s="298"/>
      <c r="D70" s="298"/>
      <c r="E70" s="298"/>
      <c r="F70" s="298"/>
      <c r="G70" s="298"/>
      <c r="H70" s="299">
        <f>H68*(1-H69)</f>
        <v>4.1724000000000004E-2</v>
      </c>
    </row>
    <row r="72" spans="2:8">
      <c r="B72" s="265" t="s">
        <v>400</v>
      </c>
    </row>
    <row r="73" spans="2:8">
      <c r="B73" s="230" t="s">
        <v>401</v>
      </c>
      <c r="H73" s="296">
        <f ca="1">'DCS Detail'!D5</f>
        <v>4.9749999999999996E-2</v>
      </c>
    </row>
    <row r="74" spans="2:8">
      <c r="B74" s="230" t="s">
        <v>402</v>
      </c>
      <c r="H74" s="296">
        <f>'DCS Detail'!$D$6</f>
        <v>4.4600000000000001E-2</v>
      </c>
    </row>
    <row r="75" spans="2:8">
      <c r="B75" s="230" t="s">
        <v>403</v>
      </c>
      <c r="H75" s="304">
        <f>'WACC FF Data'!B189</f>
        <v>0.85013040697271114</v>
      </c>
    </row>
    <row r="76" spans="2:8">
      <c r="B76" s="326" t="s">
        <v>400</v>
      </c>
      <c r="C76" s="327"/>
      <c r="D76" s="327"/>
      <c r="E76" s="327"/>
      <c r="F76" s="327"/>
      <c r="G76" s="327"/>
      <c r="H76" s="328">
        <f ca="1">'WACC FF Data'!B209</f>
        <v>-1.6019147699658016E-2</v>
      </c>
    </row>
    <row r="78" spans="2:8">
      <c r="B78" s="326" t="s">
        <v>22</v>
      </c>
      <c r="C78" s="327"/>
      <c r="D78" s="327"/>
      <c r="E78" s="327"/>
      <c r="F78" s="327"/>
      <c r="G78" s="327"/>
      <c r="H78" s="329">
        <f ca="1">SUMPRODUCT(H64:H65,_xlfn.VSTACK(H70,H76))</f>
        <v>-1.4503251587180216E-2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C15C3-C57A-4D3E-9078-5B3CD19C3CBA}">
  <sheetPr codeName="Sheet12">
    <tabColor rgb="FF004AAC"/>
  </sheetPr>
  <dimension ref="A1:I360"/>
  <sheetViews>
    <sheetView topLeftCell="A13" zoomScale="102" zoomScaleNormal="85" workbookViewId="0">
      <selection activeCell="D25" sqref="D25"/>
    </sheetView>
  </sheetViews>
  <sheetFormatPr defaultColWidth="8.7265625" defaultRowHeight="12"/>
  <cols>
    <col min="1" max="1" width="32" style="230" customWidth="1"/>
    <col min="2" max="2" width="15" style="230" customWidth="1"/>
    <col min="3" max="3" width="13" style="230" customWidth="1"/>
    <col min="4" max="4" width="19.1796875" style="230" bestFit="1" customWidth="1"/>
    <col min="5" max="9" width="13" style="230" customWidth="1"/>
    <col min="10" max="16384" width="8.7265625" style="230"/>
  </cols>
  <sheetData>
    <row r="1" spans="1:9" ht="26.25" customHeight="1">
      <c r="A1" s="1111" t="s">
        <v>421</v>
      </c>
      <c r="B1" s="1112"/>
      <c r="C1" s="1112"/>
      <c r="D1" s="1112"/>
      <c r="E1" s="1112"/>
      <c r="F1" s="1112"/>
      <c r="G1" s="1112"/>
      <c r="H1" s="1112"/>
    </row>
    <row r="2" spans="1:9">
      <c r="A2" s="1113" t="s">
        <v>422</v>
      </c>
      <c r="B2" s="1114"/>
      <c r="C2" s="1114"/>
      <c r="D2" s="1114"/>
      <c r="E2" s="1114"/>
      <c r="F2" s="1114"/>
      <c r="G2" s="1114"/>
      <c r="H2" s="1114"/>
    </row>
    <row r="4" spans="1:9">
      <c r="A4" s="1108" t="s">
        <v>423</v>
      </c>
      <c r="B4" s="1115"/>
      <c r="C4" s="1115"/>
      <c r="D4" s="1115"/>
      <c r="E4" s="1115"/>
    </row>
    <row r="5" spans="1:9">
      <c r="A5" s="691" t="s">
        <v>424</v>
      </c>
      <c r="B5" s="691" t="s">
        <v>400</v>
      </c>
      <c r="C5" s="691" t="s">
        <v>425</v>
      </c>
      <c r="D5" s="691" t="s">
        <v>426</v>
      </c>
      <c r="E5" s="691" t="s">
        <v>427</v>
      </c>
    </row>
    <row r="6" spans="1:9">
      <c r="A6" s="692" t="s">
        <v>428</v>
      </c>
      <c r="B6" s="693">
        <f ca="1">WACC!H30</f>
        <v>0.11142391094151566</v>
      </c>
      <c r="C6" s="694">
        <f>'Beta Regression'!B13</f>
        <v>0.13581335670187153</v>
      </c>
      <c r="D6" s="695">
        <v>0</v>
      </c>
      <c r="E6" s="696" t="s">
        <v>429</v>
      </c>
    </row>
    <row r="7" spans="1:9">
      <c r="A7" s="697" t="s">
        <v>430</v>
      </c>
      <c r="B7" s="698">
        <f ca="1">B33</f>
        <v>9.9696176609947285E-2</v>
      </c>
      <c r="C7" s="699">
        <f>B27</f>
        <v>0.1749165764855653</v>
      </c>
      <c r="D7" s="700">
        <f ca="1">(B7-B6)*10000</f>
        <v>-117.27734331568374</v>
      </c>
      <c r="E7" s="701" t="s">
        <v>429</v>
      </c>
    </row>
    <row r="8" spans="1:9">
      <c r="A8" s="702" t="s">
        <v>431</v>
      </c>
      <c r="B8" s="703">
        <f ca="1">B209</f>
        <v>-1.6019147699658016E-2</v>
      </c>
      <c r="C8" s="704">
        <f>B201</f>
        <v>0.3246687999535065</v>
      </c>
      <c r="D8" s="705">
        <f ca="1">(B8-B6)*10000</f>
        <v>-1274.4305864117366</v>
      </c>
      <c r="E8" s="706" t="s">
        <v>432</v>
      </c>
    </row>
    <row r="11" spans="1:9">
      <c r="A11" s="1108" t="s">
        <v>433</v>
      </c>
      <c r="B11" s="1115"/>
      <c r="C11" s="1115"/>
      <c r="D11" s="1115"/>
      <c r="E11" s="1115"/>
    </row>
    <row r="12" spans="1:9">
      <c r="A12" s="697" t="s">
        <v>434</v>
      </c>
      <c r="B12" s="707">
        <f ca="1">'DCS Detail'!D5</f>
        <v>4.9749999999999996E-2</v>
      </c>
    </row>
    <row r="13" spans="1:9">
      <c r="A13" s="708" t="s">
        <v>435</v>
      </c>
      <c r="B13" s="709">
        <v>4.4600000000000001E-2</v>
      </c>
    </row>
    <row r="14" spans="1:9">
      <c r="A14" s="697" t="s">
        <v>436</v>
      </c>
      <c r="B14" s="710">
        <v>1.3828</v>
      </c>
    </row>
    <row r="15" spans="1:9">
      <c r="A15" s="692" t="s">
        <v>437</v>
      </c>
      <c r="B15" s="693">
        <f ca="1">B12+B14*B13</f>
        <v>0.11142288</v>
      </c>
    </row>
    <row r="16" spans="1:9">
      <c r="I16" s="296"/>
    </row>
    <row r="17" spans="1:8">
      <c r="A17" s="1108" t="s">
        <v>438</v>
      </c>
      <c r="B17" s="1115"/>
      <c r="C17" s="1115"/>
      <c r="D17" s="1115"/>
      <c r="E17" s="1115"/>
      <c r="F17" s="1115"/>
      <c r="G17" s="1115"/>
      <c r="H17" s="1115"/>
    </row>
    <row r="18" spans="1:8">
      <c r="A18" s="711" t="s">
        <v>439</v>
      </c>
      <c r="B18" s="712">
        <f>INDEX(LINEST(D36:D184,E36:G184,TRUE,TRUE),1,4)</f>
        <v>-3.6377356141151676E-3</v>
      </c>
    </row>
    <row r="19" spans="1:8">
      <c r="A19" s="708" t="s">
        <v>440</v>
      </c>
      <c r="B19" s="713">
        <f>INDEX(LINEST(D36:D184,E36:G184,TRUE,TRUE),1,3)</f>
        <v>1.2081000848697905</v>
      </c>
    </row>
    <row r="20" spans="1:8">
      <c r="A20" s="708" t="s">
        <v>441</v>
      </c>
      <c r="B20" s="713">
        <f>INDEX(LINEST(D36:D184,E36:G184,TRUE,TRUE),1,2)</f>
        <v>0.73658678296143876</v>
      </c>
    </row>
    <row r="21" spans="1:8">
      <c r="A21" s="708" t="s">
        <v>442</v>
      </c>
      <c r="B21" s="713">
        <f>INDEX(LINEST(D36:D184,E36:G184,TRUE,TRUE),1,1)</f>
        <v>-0.35445569943740085</v>
      </c>
    </row>
    <row r="22" spans="1:8">
      <c r="A22" s="708" t="s">
        <v>443</v>
      </c>
      <c r="B22" s="714">
        <f>INDEX(LINEST(D36:D184,E36:G184,TRUE,TRUE),2,4)</f>
        <v>5.8379356296641323E-3</v>
      </c>
    </row>
    <row r="23" spans="1:8">
      <c r="A23" s="708" t="s">
        <v>444</v>
      </c>
      <c r="B23" s="714">
        <f>INDEX(LINEST(D36:D184,E36:G184,TRUE,TRUE),2,3)</f>
        <v>0.30012175561998783</v>
      </c>
      <c r="H23" s="296"/>
    </row>
    <row r="24" spans="1:8">
      <c r="A24" s="708" t="s">
        <v>445</v>
      </c>
      <c r="B24" s="714">
        <f>INDEX(LINEST(D36:D184,E36:G184,TRUE,TRUE),2,2)</f>
        <v>0.41701968267008532</v>
      </c>
    </row>
    <row r="25" spans="1:8">
      <c r="A25" s="708" t="s">
        <v>446</v>
      </c>
      <c r="B25" s="714">
        <f>INDEX(LINEST(D36:D184,E36:G184,TRUE,TRUE),2,1)</f>
        <v>0.36817546717982907</v>
      </c>
    </row>
    <row r="26" spans="1:8">
      <c r="A26" s="715" t="s">
        <v>447</v>
      </c>
      <c r="B26" s="688">
        <f>2.1436%</f>
        <v>2.1436E-2</v>
      </c>
      <c r="C26" s="949">
        <f ca="1">B26*WACC!H42</f>
        <v>2.0873253590052095E-2</v>
      </c>
    </row>
    <row r="27" spans="1:8">
      <c r="A27" s="692" t="s">
        <v>448</v>
      </c>
      <c r="B27" s="712">
        <f>INDEX(LINEST(D36:D184,E36:G184,TRUE,TRUE),3,1)</f>
        <v>0.1749165764855653</v>
      </c>
    </row>
    <row r="29" spans="1:8">
      <c r="A29" s="1108" t="s">
        <v>449</v>
      </c>
      <c r="B29" s="1109"/>
      <c r="C29" s="1109"/>
      <c r="D29" s="1109"/>
      <c r="E29" s="1110"/>
    </row>
    <row r="30" spans="1:8">
      <c r="A30" s="697" t="s">
        <v>435</v>
      </c>
      <c r="B30" s="707">
        <f>B13</f>
        <v>4.4600000000000001E-2</v>
      </c>
      <c r="C30" s="230" t="s">
        <v>450</v>
      </c>
    </row>
    <row r="31" spans="1:8">
      <c r="A31" s="697" t="s">
        <v>451</v>
      </c>
      <c r="B31" s="707">
        <v>1.3976000000000001E-2</v>
      </c>
      <c r="C31" s="230" t="s">
        <v>452</v>
      </c>
    </row>
    <row r="32" spans="1:8">
      <c r="A32" s="716" t="s">
        <v>453</v>
      </c>
      <c r="B32" s="707">
        <v>4.0145E-2</v>
      </c>
      <c r="C32" s="230" t="s">
        <v>454</v>
      </c>
      <c r="F32" s="270"/>
    </row>
    <row r="33" spans="1:7">
      <c r="A33" s="717" t="s">
        <v>400</v>
      </c>
      <c r="B33" s="718">
        <f ca="1">B12+B19*B30+B20*B31+B21*B32</f>
        <v>9.9696176609947285E-2</v>
      </c>
      <c r="C33" s="689"/>
      <c r="D33" s="689"/>
      <c r="E33" s="689"/>
    </row>
    <row r="34" spans="1:7">
      <c r="A34" s="719"/>
      <c r="B34" s="720"/>
    </row>
    <row r="35" spans="1:7">
      <c r="A35" s="691" t="s">
        <v>342</v>
      </c>
      <c r="B35" s="721" t="s">
        <v>455</v>
      </c>
      <c r="C35" s="691" t="s">
        <v>456</v>
      </c>
      <c r="D35" s="691" t="s">
        <v>457</v>
      </c>
      <c r="E35" s="691" t="s">
        <v>458</v>
      </c>
      <c r="F35" s="691" t="s">
        <v>459</v>
      </c>
      <c r="G35" s="691" t="s">
        <v>460</v>
      </c>
    </row>
    <row r="36" spans="1:7">
      <c r="A36" s="742">
        <v>45135</v>
      </c>
      <c r="B36" s="722">
        <v>-1.2039903680769459E-3</v>
      </c>
      <c r="C36" s="723">
        <v>1.1000000000000001E-3</v>
      </c>
      <c r="D36" s="723">
        <v>-2.3039903680769462E-3</v>
      </c>
      <c r="E36" s="723">
        <v>9.7000000000000003E-3</v>
      </c>
      <c r="F36" s="723">
        <v>-2.9999999999999997E-4</v>
      </c>
      <c r="G36" s="723">
        <v>9.4999999999999998E-3</v>
      </c>
    </row>
    <row r="37" spans="1:7">
      <c r="A37" s="743">
        <v>45142</v>
      </c>
      <c r="B37" s="724">
        <v>0.14138109178577579</v>
      </c>
      <c r="C37" s="725">
        <v>1.1000000000000001E-3</v>
      </c>
      <c r="D37" s="725">
        <v>0.1402810917857758</v>
      </c>
      <c r="E37" s="725">
        <v>-2.2599999999999999E-2</v>
      </c>
      <c r="F37" s="725">
        <v>7.7000000000000002E-3</v>
      </c>
      <c r="G37" s="725">
        <v>1.5299999999999999E-2</v>
      </c>
    </row>
    <row r="38" spans="1:7">
      <c r="A38" s="726">
        <v>45149</v>
      </c>
      <c r="B38" s="723">
        <v>-5.9344196338765309E-3</v>
      </c>
      <c r="C38" s="723">
        <v>1.1000000000000001E-3</v>
      </c>
      <c r="D38" s="723">
        <v>-7.0344196338765312E-3</v>
      </c>
      <c r="E38" s="723">
        <v>-6.0000000000000001E-3</v>
      </c>
      <c r="F38" s="723">
        <v>-1.34E-2</v>
      </c>
      <c r="G38" s="723">
        <v>4.3E-3</v>
      </c>
    </row>
    <row r="39" spans="1:7">
      <c r="A39" s="727">
        <v>45156</v>
      </c>
      <c r="B39" s="725">
        <v>-5.7472427400586779E-2</v>
      </c>
      <c r="C39" s="725">
        <v>1.1000000000000001E-3</v>
      </c>
      <c r="D39" s="725">
        <v>-5.8572427400586782E-2</v>
      </c>
      <c r="E39" s="725">
        <v>-2.3E-2</v>
      </c>
      <c r="F39" s="725">
        <v>-7.4000000000000003E-3</v>
      </c>
      <c r="G39" s="725">
        <v>-1.6400000000000001E-2</v>
      </c>
    </row>
    <row r="40" spans="1:7">
      <c r="A40" s="726">
        <v>45163</v>
      </c>
      <c r="B40" s="723">
        <v>2.53354804079442E-2</v>
      </c>
      <c r="C40" s="723">
        <v>1.1000000000000001E-3</v>
      </c>
      <c r="D40" s="723">
        <v>2.4235480407944199E-2</v>
      </c>
      <c r="E40" s="723">
        <v>5.8999999999999999E-3</v>
      </c>
      <c r="F40" s="723">
        <v>-8.1000000000000013E-3</v>
      </c>
      <c r="G40" s="723">
        <v>-1.7000000000000001E-2</v>
      </c>
    </row>
    <row r="41" spans="1:7">
      <c r="A41" s="727">
        <v>45170</v>
      </c>
      <c r="B41" s="725">
        <v>7.0306774159773822E-2</v>
      </c>
      <c r="C41" s="725">
        <v>1.1000000000000001E-3</v>
      </c>
      <c r="D41" s="725">
        <v>6.9206774159773818E-2</v>
      </c>
      <c r="E41" s="725">
        <v>2.7300000000000001E-2</v>
      </c>
      <c r="F41" s="725">
        <v>7.1000000000000004E-3</v>
      </c>
      <c r="G41" s="725">
        <v>6.3E-3</v>
      </c>
    </row>
    <row r="42" spans="1:7">
      <c r="A42" s="726">
        <v>45177</v>
      </c>
      <c r="B42" s="723">
        <v>1.0516018586451461E-2</v>
      </c>
      <c r="C42" s="723">
        <v>1.1000000000000001E-3</v>
      </c>
      <c r="D42" s="723">
        <v>9.4160185864514603E-3</v>
      </c>
      <c r="E42" s="723">
        <v>-1.55E-2</v>
      </c>
      <c r="F42" s="723">
        <v>-2.5499999999999998E-2</v>
      </c>
      <c r="G42" s="723">
        <v>-6.0000000000000001E-3</v>
      </c>
    </row>
    <row r="43" spans="1:7">
      <c r="A43" s="727">
        <v>45184</v>
      </c>
      <c r="B43" s="725">
        <v>-1.7279767666989351E-2</v>
      </c>
      <c r="C43" s="725">
        <v>1.1000000000000001E-3</v>
      </c>
      <c r="D43" s="725">
        <v>-1.8379767666989351E-2</v>
      </c>
      <c r="E43" s="725">
        <v>-2.8999999999999998E-3</v>
      </c>
      <c r="F43" s="725">
        <v>-9.1999999999999998E-3</v>
      </c>
      <c r="G43" s="725">
        <v>1.37E-2</v>
      </c>
    </row>
    <row r="44" spans="1:7">
      <c r="A44" s="726">
        <v>45191</v>
      </c>
      <c r="B44" s="723">
        <v>-3.728513027631386E-2</v>
      </c>
      <c r="C44" s="723">
        <v>1.1000000000000001E-3</v>
      </c>
      <c r="D44" s="723">
        <v>-3.8385130276313857E-2</v>
      </c>
      <c r="E44" s="723">
        <v>-3.1600000000000003E-2</v>
      </c>
      <c r="F44" s="723">
        <v>-8.199999999999999E-3</v>
      </c>
      <c r="G44" s="723">
        <v>-2.9999999999999997E-4</v>
      </c>
    </row>
    <row r="45" spans="1:7">
      <c r="A45" s="727">
        <v>45198</v>
      </c>
      <c r="B45" s="725">
        <v>3.0952624577918589E-2</v>
      </c>
      <c r="C45" s="725">
        <v>1.1000000000000001E-3</v>
      </c>
      <c r="D45" s="725">
        <v>2.9852624577918589E-2</v>
      </c>
      <c r="E45" s="725">
        <v>-5.7999999999999996E-3</v>
      </c>
      <c r="F45" s="725">
        <v>1.12E-2</v>
      </c>
      <c r="G45" s="725">
        <v>2.5999999999999999E-3</v>
      </c>
    </row>
    <row r="46" spans="1:7">
      <c r="A46" s="726">
        <v>45205</v>
      </c>
      <c r="B46" s="723">
        <v>-1.1413825616594649E-2</v>
      </c>
      <c r="C46" s="723">
        <v>1.1999999999999999E-3</v>
      </c>
      <c r="D46" s="723">
        <v>-1.2613825616594651E-2</v>
      </c>
      <c r="E46" s="723">
        <v>1.8E-3</v>
      </c>
      <c r="F46" s="723">
        <v>-1.52E-2</v>
      </c>
      <c r="G46" s="723">
        <v>-2.01E-2</v>
      </c>
    </row>
    <row r="47" spans="1:7">
      <c r="A47" s="727">
        <v>45212</v>
      </c>
      <c r="B47" s="725">
        <v>-5.4716128708398148E-2</v>
      </c>
      <c r="C47" s="725">
        <v>1.1999999999999999E-3</v>
      </c>
      <c r="D47" s="725">
        <v>-5.5916128708398148E-2</v>
      </c>
      <c r="E47" s="725">
        <v>1.1000000000000001E-3</v>
      </c>
      <c r="F47" s="725">
        <v>-2.7300000000000001E-2</v>
      </c>
      <c r="G47" s="725">
        <v>1.38E-2</v>
      </c>
    </row>
    <row r="48" spans="1:7">
      <c r="A48" s="726">
        <v>45219</v>
      </c>
      <c r="B48" s="723">
        <v>-6.5848866231215109E-3</v>
      </c>
      <c r="C48" s="723">
        <v>1.1999999999999999E-3</v>
      </c>
      <c r="D48" s="723">
        <v>-7.7848866231215114E-3</v>
      </c>
      <c r="E48" s="723">
        <v>-2.4899999999999999E-2</v>
      </c>
      <c r="F48" s="723">
        <v>3.8E-3</v>
      </c>
      <c r="G48" s="723">
        <v>2.9999999999999997E-4</v>
      </c>
    </row>
    <row r="49" spans="1:7">
      <c r="A49" s="727">
        <v>45226</v>
      </c>
      <c r="B49" s="725">
        <v>-5.6716737050302002E-2</v>
      </c>
      <c r="C49" s="725">
        <v>1.1999999999999999E-3</v>
      </c>
      <c r="D49" s="725">
        <v>-5.7916737050302002E-2</v>
      </c>
      <c r="E49" s="725">
        <v>-2.7300000000000001E-2</v>
      </c>
      <c r="F49" s="725">
        <v>1.6999999999999999E-3</v>
      </c>
      <c r="G49" s="725">
        <v>6.0000000000000001E-3</v>
      </c>
    </row>
    <row r="50" spans="1:7">
      <c r="A50" s="726">
        <v>45233</v>
      </c>
      <c r="B50" s="723">
        <v>2.4934829423097771E-3</v>
      </c>
      <c r="C50" s="723">
        <v>1.1000000000000001E-3</v>
      </c>
      <c r="D50" s="723">
        <v>1.393482942309777E-3</v>
      </c>
      <c r="E50" s="723">
        <v>5.8799999999999998E-2</v>
      </c>
      <c r="F50" s="723">
        <v>1.11E-2</v>
      </c>
      <c r="G50" s="723">
        <v>2.64E-2</v>
      </c>
    </row>
    <row r="51" spans="1:7">
      <c r="A51" s="727">
        <v>45240</v>
      </c>
      <c r="B51" s="725">
        <v>-3.448275862069083E-3</v>
      </c>
      <c r="C51" s="725">
        <v>1.1000000000000001E-3</v>
      </c>
      <c r="D51" s="725">
        <v>-4.5482758620690828E-3</v>
      </c>
      <c r="E51" s="725">
        <v>9.1999999999999998E-3</v>
      </c>
      <c r="F51" s="725">
        <v>-3.5099999999999999E-2</v>
      </c>
      <c r="G51" s="725">
        <v>-2.2599999999999999E-2</v>
      </c>
    </row>
    <row r="52" spans="1:7">
      <c r="A52" s="726">
        <v>45247</v>
      </c>
      <c r="B52" s="723">
        <v>4.9350502013727482E-2</v>
      </c>
      <c r="C52" s="723">
        <v>1.1000000000000001E-3</v>
      </c>
      <c r="D52" s="723">
        <v>4.8250502013727492E-2</v>
      </c>
      <c r="E52" s="723">
        <v>2.4500000000000001E-2</v>
      </c>
      <c r="F52" s="723">
        <v>2.6499999999999999E-2</v>
      </c>
      <c r="G52" s="723">
        <v>1.7999999999999999E-2</v>
      </c>
    </row>
    <row r="53" spans="1:7">
      <c r="A53" s="727">
        <v>45254</v>
      </c>
      <c r="B53" s="725">
        <v>-1.837937185793825E-2</v>
      </c>
      <c r="C53" s="725">
        <v>1.1000000000000001E-3</v>
      </c>
      <c r="D53" s="725">
        <v>-1.947937185793825E-2</v>
      </c>
      <c r="E53" s="725">
        <v>9.5999999999999992E-3</v>
      </c>
      <c r="F53" s="725">
        <v>-2.9999999999999997E-4</v>
      </c>
      <c r="G53" s="725">
        <v>-7.3000000000000001E-3</v>
      </c>
    </row>
    <row r="54" spans="1:7">
      <c r="A54" s="726">
        <v>45261</v>
      </c>
      <c r="B54" s="723">
        <v>7.445343906602786E-2</v>
      </c>
      <c r="C54" s="723">
        <v>1.1000000000000001E-3</v>
      </c>
      <c r="D54" s="723">
        <v>7.3353439066027856E-2</v>
      </c>
      <c r="E54" s="723">
        <v>1.01E-2</v>
      </c>
      <c r="F54" s="723">
        <v>1.6400000000000001E-2</v>
      </c>
      <c r="G54" s="723">
        <v>1.7399999999999999E-2</v>
      </c>
    </row>
    <row r="55" spans="1:7">
      <c r="A55" s="727">
        <v>45268</v>
      </c>
      <c r="B55" s="725">
        <v>-1.409461329506434E-2</v>
      </c>
      <c r="C55" s="725">
        <v>1.1000000000000001E-3</v>
      </c>
      <c r="D55" s="725">
        <v>-1.519461329506434E-2</v>
      </c>
      <c r="E55" s="725">
        <v>2E-3</v>
      </c>
      <c r="F55" s="725">
        <v>9.0000000000000011E-3</v>
      </c>
      <c r="G55" s="725">
        <v>1.03E-2</v>
      </c>
    </row>
    <row r="56" spans="1:7">
      <c r="A56" s="726">
        <v>45275</v>
      </c>
      <c r="B56" s="723">
        <v>0.19338739862757309</v>
      </c>
      <c r="C56" s="723">
        <v>1.1000000000000001E-3</v>
      </c>
      <c r="D56" s="723">
        <v>0.1922873986275731</v>
      </c>
      <c r="E56" s="723">
        <v>2.7099999999999999E-2</v>
      </c>
      <c r="F56" s="723">
        <v>1.6199999999999999E-2</v>
      </c>
      <c r="G56" s="723">
        <v>1.7999999999999999E-2</v>
      </c>
    </row>
    <row r="57" spans="1:7">
      <c r="A57" s="727">
        <v>45282</v>
      </c>
      <c r="B57" s="725">
        <v>4.8963234012894263E-2</v>
      </c>
      <c r="C57" s="725">
        <v>1.1000000000000001E-3</v>
      </c>
      <c r="D57" s="725">
        <v>4.7863234012894267E-2</v>
      </c>
      <c r="E57" s="725">
        <v>8.6E-3</v>
      </c>
      <c r="F57" s="725">
        <v>1.9699999999999999E-2</v>
      </c>
      <c r="G57" s="725">
        <v>5.4000000000000003E-3</v>
      </c>
    </row>
    <row r="58" spans="1:7">
      <c r="A58" s="726">
        <v>45289</v>
      </c>
      <c r="B58" s="723">
        <v>-1.2209302325581369E-2</v>
      </c>
      <c r="C58" s="723">
        <v>1.1000000000000001E-3</v>
      </c>
      <c r="D58" s="723">
        <v>-1.3309302325581369E-2</v>
      </c>
      <c r="E58" s="723">
        <v>1.6999999999999999E-3</v>
      </c>
      <c r="F58" s="723">
        <v>-6.6E-3</v>
      </c>
      <c r="G58" s="723">
        <v>2.0999999999999999E-3</v>
      </c>
    </row>
    <row r="59" spans="1:7">
      <c r="A59" s="727">
        <v>45296</v>
      </c>
      <c r="B59" s="725">
        <v>-4.9440847557386758E-2</v>
      </c>
      <c r="C59" s="725">
        <v>1.1999999999999999E-3</v>
      </c>
      <c r="D59" s="725">
        <v>-5.0640847557386758E-2</v>
      </c>
      <c r="E59" s="725">
        <v>-1.9E-2</v>
      </c>
      <c r="F59" s="725">
        <v>-3.0800000000000001E-2</v>
      </c>
      <c r="G59" s="725">
        <v>1.43E-2</v>
      </c>
    </row>
    <row r="60" spans="1:7">
      <c r="A60" s="726">
        <v>45303</v>
      </c>
      <c r="B60" s="723">
        <v>4.8208757187085283E-2</v>
      </c>
      <c r="C60" s="723">
        <v>1.1999999999999999E-3</v>
      </c>
      <c r="D60" s="723">
        <v>4.7008757187085283E-2</v>
      </c>
      <c r="E60" s="723">
        <v>1.6299999999999999E-2</v>
      </c>
      <c r="F60" s="723">
        <v>-2E-3</v>
      </c>
      <c r="G60" s="723">
        <v>-3.6499999999999998E-2</v>
      </c>
    </row>
    <row r="61" spans="1:7">
      <c r="A61" s="727">
        <v>45310</v>
      </c>
      <c r="B61" s="725">
        <v>2.514767932489459E-2</v>
      </c>
      <c r="C61" s="725">
        <v>1.1999999999999999E-3</v>
      </c>
      <c r="D61" s="725">
        <v>2.394767932489459E-2</v>
      </c>
      <c r="E61" s="725">
        <v>9.7000000000000003E-3</v>
      </c>
      <c r="F61" s="725">
        <v>-1.3899999999999999E-2</v>
      </c>
      <c r="G61" s="725">
        <v>-5.7999999999999996E-3</v>
      </c>
    </row>
    <row r="62" spans="1:7">
      <c r="A62" s="726">
        <v>45317</v>
      </c>
      <c r="B62" s="723">
        <v>1.987981560750729E-2</v>
      </c>
      <c r="C62" s="723">
        <v>1.1999999999999999E-3</v>
      </c>
      <c r="D62" s="723">
        <v>1.867981560750729E-2</v>
      </c>
      <c r="E62" s="723">
        <v>1.03E-2</v>
      </c>
      <c r="F62" s="723">
        <v>7.8000000000000014E-3</v>
      </c>
      <c r="G62" s="723">
        <v>3.8E-3</v>
      </c>
    </row>
    <row r="63" spans="1:7">
      <c r="A63" s="727">
        <v>45324</v>
      </c>
      <c r="B63" s="725">
        <v>-0.1226845312563057</v>
      </c>
      <c r="C63" s="725">
        <v>1.1000000000000001E-3</v>
      </c>
      <c r="D63" s="725">
        <v>-0.1237845312563057</v>
      </c>
      <c r="E63" s="725">
        <v>1.18E-2</v>
      </c>
      <c r="F63" s="725">
        <v>-1.9800000000000002E-2</v>
      </c>
      <c r="G63" s="725">
        <v>-1.8499999999999999E-2</v>
      </c>
    </row>
    <row r="64" spans="1:7">
      <c r="A64" s="726">
        <v>45331</v>
      </c>
      <c r="B64" s="723">
        <v>6.3020378122269349E-3</v>
      </c>
      <c r="C64" s="723">
        <v>1.1000000000000001E-3</v>
      </c>
      <c r="D64" s="723">
        <v>5.2020378122269346E-3</v>
      </c>
      <c r="E64" s="723">
        <v>1.49E-2</v>
      </c>
      <c r="F64" s="723">
        <v>1.72E-2</v>
      </c>
      <c r="G64" s="723">
        <v>-2.1999999999999999E-2</v>
      </c>
    </row>
    <row r="65" spans="1:7">
      <c r="A65" s="727">
        <v>45338</v>
      </c>
      <c r="B65" s="725">
        <v>-4.991771804717493E-2</v>
      </c>
      <c r="C65" s="725">
        <v>1.1000000000000001E-3</v>
      </c>
      <c r="D65" s="725">
        <v>-5.1017718047174927E-2</v>
      </c>
      <c r="E65" s="725">
        <v>-2.8999999999999998E-3</v>
      </c>
      <c r="F65" s="725">
        <v>5.1999999999999998E-3</v>
      </c>
      <c r="G65" s="725">
        <v>1.0699999999999999E-2</v>
      </c>
    </row>
    <row r="66" spans="1:7">
      <c r="A66" s="726">
        <v>45345</v>
      </c>
      <c r="B66" s="723">
        <v>-1.6358737490377199E-2</v>
      </c>
      <c r="C66" s="723">
        <v>1.1000000000000001E-3</v>
      </c>
      <c r="D66" s="723">
        <v>-1.7458737490377199E-2</v>
      </c>
      <c r="E66" s="723">
        <v>1.2500000000000001E-2</v>
      </c>
      <c r="F66" s="723">
        <v>-2.58E-2</v>
      </c>
      <c r="G66" s="723">
        <v>-8.3000000000000001E-3</v>
      </c>
    </row>
    <row r="67" spans="1:7">
      <c r="A67" s="727">
        <v>45352</v>
      </c>
      <c r="B67" s="725">
        <v>2.328311485032275E-2</v>
      </c>
      <c r="C67" s="725">
        <v>1.1000000000000001E-3</v>
      </c>
      <c r="D67" s="725">
        <v>2.218311485032275E-2</v>
      </c>
      <c r="E67" s="725">
        <v>1.0500000000000001E-2</v>
      </c>
      <c r="F67" s="725">
        <v>1.0500000000000001E-2</v>
      </c>
      <c r="G67" s="725">
        <v>-1.1000000000000001E-3</v>
      </c>
    </row>
    <row r="68" spans="1:7">
      <c r="A68" s="726">
        <v>45359</v>
      </c>
      <c r="B68" s="723">
        <v>-1.91204588910121E-3</v>
      </c>
      <c r="C68" s="723">
        <v>1.1000000000000001E-3</v>
      </c>
      <c r="D68" s="723">
        <v>-3.0120458891012098E-3</v>
      </c>
      <c r="E68" s="723">
        <v>-3.8E-3</v>
      </c>
      <c r="F68" s="723">
        <v>-1.24E-2</v>
      </c>
      <c r="G68" s="723">
        <v>2.07E-2</v>
      </c>
    </row>
    <row r="69" spans="1:7">
      <c r="A69" s="727">
        <v>45366</v>
      </c>
      <c r="B69" s="725">
        <v>-6.8821839080459801E-2</v>
      </c>
      <c r="C69" s="725">
        <v>1.1000000000000001E-3</v>
      </c>
      <c r="D69" s="725">
        <v>-6.9921839080459805E-2</v>
      </c>
      <c r="E69" s="725">
        <v>-3.2000000000000002E-3</v>
      </c>
      <c r="F69" s="725">
        <v>-1.9199999999999998E-2</v>
      </c>
      <c r="G69" s="725">
        <v>-5.6999999999999993E-3</v>
      </c>
    </row>
    <row r="70" spans="1:7">
      <c r="A70" s="726">
        <v>45373</v>
      </c>
      <c r="B70" s="723">
        <v>-9.7721545029059165E-3</v>
      </c>
      <c r="C70" s="723">
        <v>1.1000000000000001E-3</v>
      </c>
      <c r="D70" s="723">
        <v>-1.087215450290592E-2</v>
      </c>
      <c r="E70" s="723">
        <v>2.3E-2</v>
      </c>
      <c r="F70" s="723">
        <v>-4.4000000000000003E-3</v>
      </c>
      <c r="G70" s="723">
        <v>9.1999999999999998E-3</v>
      </c>
    </row>
    <row r="71" spans="1:7">
      <c r="A71" s="727">
        <v>45379</v>
      </c>
      <c r="B71" s="725">
        <v>1.340050901158274E-2</v>
      </c>
      <c r="C71" s="725">
        <v>1.1000000000000001E-3</v>
      </c>
      <c r="D71" s="725">
        <v>1.2300509011582739E-2</v>
      </c>
      <c r="E71" s="725">
        <v>4.3E-3</v>
      </c>
      <c r="F71" s="725">
        <v>1.1900000000000001E-2</v>
      </c>
      <c r="G71" s="725">
        <v>2.1499999999999998E-2</v>
      </c>
    </row>
    <row r="72" spans="1:7">
      <c r="A72" s="726">
        <v>45387</v>
      </c>
      <c r="B72" s="723">
        <v>7.7392240274716251E-3</v>
      </c>
      <c r="C72" s="723">
        <v>1.1999999999999999E-3</v>
      </c>
      <c r="D72" s="723">
        <v>6.5392240274716254E-3</v>
      </c>
      <c r="E72" s="723">
        <v>-1.1299999999999999E-2</v>
      </c>
      <c r="F72" s="723">
        <v>-1.7999999999999999E-2</v>
      </c>
      <c r="G72" s="723">
        <v>-8.0000000000000002E-3</v>
      </c>
    </row>
    <row r="73" spans="1:7">
      <c r="A73" s="727">
        <v>45394</v>
      </c>
      <c r="B73" s="725">
        <v>5.0401790255314882E-2</v>
      </c>
      <c r="C73" s="725">
        <v>1.1999999999999999E-3</v>
      </c>
      <c r="D73" s="725">
        <v>4.9201790255314883E-2</v>
      </c>
      <c r="E73" s="725">
        <v>-1.6799999999999999E-2</v>
      </c>
      <c r="F73" s="725">
        <v>-6.0000000000000001E-3</v>
      </c>
      <c r="G73" s="725">
        <v>-1.7000000000000001E-2</v>
      </c>
    </row>
    <row r="74" spans="1:7">
      <c r="A74" s="726">
        <v>45401</v>
      </c>
      <c r="B74" s="723">
        <v>-7.2531835568682479E-2</v>
      </c>
      <c r="C74" s="723">
        <v>1.1999999999999999E-3</v>
      </c>
      <c r="D74" s="723">
        <v>-7.3731835568682486E-2</v>
      </c>
      <c r="E74" s="723">
        <v>-3.2300000000000002E-2</v>
      </c>
      <c r="F74" s="723">
        <v>-4.5000000000000014E-3</v>
      </c>
      <c r="G74" s="723">
        <v>3.1899999999999998E-2</v>
      </c>
    </row>
    <row r="75" spans="1:7">
      <c r="A75" s="727">
        <v>45408</v>
      </c>
      <c r="B75" s="725">
        <v>-6.3168885408509623E-2</v>
      </c>
      <c r="C75" s="725">
        <v>1.1999999999999999E-3</v>
      </c>
      <c r="D75" s="725">
        <v>-6.436888540850963E-2</v>
      </c>
      <c r="E75" s="725">
        <v>2.7E-2</v>
      </c>
      <c r="F75" s="725">
        <v>2.0999999999999999E-3</v>
      </c>
      <c r="G75" s="725">
        <v>-4.8999999999999998E-3</v>
      </c>
    </row>
    <row r="76" spans="1:7">
      <c r="A76" s="726">
        <v>45415</v>
      </c>
      <c r="B76" s="723">
        <v>2.2680412371134159E-2</v>
      </c>
      <c r="C76" s="723">
        <v>1.1000000000000001E-3</v>
      </c>
      <c r="D76" s="723">
        <v>2.1580412371134158E-2</v>
      </c>
      <c r="E76" s="723">
        <v>5.6000000000000008E-3</v>
      </c>
      <c r="F76" s="723">
        <v>1.9900000000000001E-2</v>
      </c>
      <c r="G76" s="723">
        <v>-9.0000000000000011E-3</v>
      </c>
    </row>
    <row r="77" spans="1:7">
      <c r="A77" s="727">
        <v>45422</v>
      </c>
      <c r="B77" s="725">
        <v>-2.054272013949443E-2</v>
      </c>
      <c r="C77" s="725">
        <v>1.1000000000000001E-3</v>
      </c>
      <c r="D77" s="725">
        <v>-2.1642720139494431E-2</v>
      </c>
      <c r="E77" s="725">
        <v>1.6500000000000001E-2</v>
      </c>
      <c r="F77" s="725">
        <v>-9.4999999999999998E-3</v>
      </c>
      <c r="G77" s="725">
        <v>2.7000000000000001E-3</v>
      </c>
    </row>
    <row r="78" spans="1:7">
      <c r="A78" s="726">
        <v>45429</v>
      </c>
      <c r="B78" s="723">
        <v>-1.6689847009732081E-4</v>
      </c>
      <c r="C78" s="723">
        <v>1.1000000000000001E-3</v>
      </c>
      <c r="D78" s="723">
        <v>-1.2668984700973209E-3</v>
      </c>
      <c r="E78" s="723">
        <v>1.54E-2</v>
      </c>
      <c r="F78" s="723">
        <v>1E-4</v>
      </c>
      <c r="G78" s="723">
        <v>-8.0000000000000004E-4</v>
      </c>
    </row>
    <row r="79" spans="1:7">
      <c r="A79" s="727">
        <v>45436</v>
      </c>
      <c r="B79" s="725">
        <v>-6.0427331404406807E-2</v>
      </c>
      <c r="C79" s="725">
        <v>1.1000000000000001E-3</v>
      </c>
      <c r="D79" s="725">
        <v>-6.1527331404406797E-2</v>
      </c>
      <c r="E79" s="725">
        <v>-2E-3</v>
      </c>
      <c r="F79" s="725">
        <v>-1.0200000000000001E-2</v>
      </c>
      <c r="G79" s="725">
        <v>-1.5699999999999999E-2</v>
      </c>
    </row>
    <row r="80" spans="1:7">
      <c r="A80" s="726">
        <v>45443</v>
      </c>
      <c r="B80" s="723">
        <v>-7.1064787397844387E-2</v>
      </c>
      <c r="C80" s="723">
        <v>1.1000000000000001E-3</v>
      </c>
      <c r="D80" s="723">
        <v>-7.216478739784439E-2</v>
      </c>
      <c r="E80" s="723">
        <v>-6.8999999999999999E-3</v>
      </c>
      <c r="F80" s="723">
        <v>6.8999999999999999E-3</v>
      </c>
      <c r="G80" s="723">
        <v>2.5999999999999999E-3</v>
      </c>
    </row>
    <row r="81" spans="1:7">
      <c r="A81" s="727">
        <v>45450</v>
      </c>
      <c r="B81" s="725">
        <v>4.1438225168940468E-2</v>
      </c>
      <c r="C81" s="725">
        <v>1E-3</v>
      </c>
      <c r="D81" s="725">
        <v>4.0438225168940467E-2</v>
      </c>
      <c r="E81" s="725">
        <v>9.300000000000001E-3</v>
      </c>
      <c r="F81" s="725">
        <v>-2.1600000000000001E-2</v>
      </c>
      <c r="G81" s="725">
        <v>-1.9300000000000001E-2</v>
      </c>
    </row>
    <row r="82" spans="1:7">
      <c r="A82" s="726">
        <v>45457</v>
      </c>
      <c r="B82" s="723">
        <v>-2.0017140058765981E-2</v>
      </c>
      <c r="C82" s="723">
        <v>1E-3</v>
      </c>
      <c r="D82" s="723">
        <v>-2.1017140058765978E-2</v>
      </c>
      <c r="E82" s="723">
        <v>1.3100000000000001E-2</v>
      </c>
      <c r="F82" s="723">
        <v>-1.32E-2</v>
      </c>
      <c r="G82" s="723">
        <v>-2.52E-2</v>
      </c>
    </row>
    <row r="83" spans="1:7">
      <c r="A83" s="727">
        <v>45464</v>
      </c>
      <c r="B83" s="725">
        <v>1.48041726528827E-2</v>
      </c>
      <c r="C83" s="725">
        <v>1E-3</v>
      </c>
      <c r="D83" s="725">
        <v>1.3804172652882699E-2</v>
      </c>
      <c r="E83" s="725">
        <v>5.3E-3</v>
      </c>
      <c r="F83" s="725">
        <v>-7.4000000000000003E-3</v>
      </c>
      <c r="G83" s="725">
        <v>6.4000000000000003E-3</v>
      </c>
    </row>
    <row r="84" spans="1:7">
      <c r="A84" s="726">
        <v>45471</v>
      </c>
      <c r="B84" s="723">
        <v>8.876031023021036E-2</v>
      </c>
      <c r="C84" s="723">
        <v>1E-3</v>
      </c>
      <c r="D84" s="723">
        <v>8.7760310230210359E-2</v>
      </c>
      <c r="E84" s="723">
        <v>0</v>
      </c>
      <c r="F84" s="723">
        <v>1.24E-2</v>
      </c>
      <c r="G84" s="723">
        <v>5.6000000000000008E-3</v>
      </c>
    </row>
    <row r="85" spans="1:7">
      <c r="A85" s="727">
        <v>45478</v>
      </c>
      <c r="B85" s="725">
        <v>5.9023066485752951E-2</v>
      </c>
      <c r="C85" s="725">
        <v>1.1000000000000001E-3</v>
      </c>
      <c r="D85" s="725">
        <v>5.7923066485752947E-2</v>
      </c>
      <c r="E85" s="725">
        <v>1.7399999999999999E-2</v>
      </c>
      <c r="F85" s="725">
        <v>-2.0500000000000001E-2</v>
      </c>
      <c r="G85" s="725">
        <v>-2.1999999999999999E-2</v>
      </c>
    </row>
    <row r="86" spans="1:7">
      <c r="A86" s="726">
        <v>45485</v>
      </c>
      <c r="B86" s="723">
        <v>-3.1336749946615387E-2</v>
      </c>
      <c r="C86" s="723">
        <v>1.1000000000000001E-3</v>
      </c>
      <c r="D86" s="723">
        <v>-3.2436749946615377E-2</v>
      </c>
      <c r="E86" s="723">
        <v>1.03E-2</v>
      </c>
      <c r="F86" s="723">
        <v>4.36E-2</v>
      </c>
      <c r="G86" s="723">
        <v>2.0500000000000001E-2</v>
      </c>
    </row>
    <row r="87" spans="1:7">
      <c r="A87" s="727">
        <v>45492</v>
      </c>
      <c r="B87" s="725">
        <v>-2.728024249104433E-2</v>
      </c>
      <c r="C87" s="725">
        <v>1.1000000000000001E-3</v>
      </c>
      <c r="D87" s="725">
        <v>-2.838024249104433E-2</v>
      </c>
      <c r="E87" s="725">
        <v>-1.9300000000000001E-2</v>
      </c>
      <c r="F87" s="725">
        <v>2.01E-2</v>
      </c>
      <c r="G87" s="725">
        <v>4.2699999999999988E-2</v>
      </c>
    </row>
    <row r="88" spans="1:7">
      <c r="A88" s="726">
        <v>45499</v>
      </c>
      <c r="B88" s="723">
        <v>4.6458923512746608E-3</v>
      </c>
      <c r="C88" s="723">
        <v>1.1000000000000001E-3</v>
      </c>
      <c r="D88" s="723">
        <v>3.545892351274661E-3</v>
      </c>
      <c r="E88" s="723">
        <v>-6.4000000000000003E-3</v>
      </c>
      <c r="F88" s="723">
        <v>3.5400000000000001E-2</v>
      </c>
      <c r="G88" s="723">
        <v>1.7299999999999999E-2</v>
      </c>
    </row>
    <row r="89" spans="1:7">
      <c r="A89" s="727">
        <v>45506</v>
      </c>
      <c r="B89" s="725">
        <v>-0.18971351229415731</v>
      </c>
      <c r="C89" s="725">
        <v>1.1999999999999999E-3</v>
      </c>
      <c r="D89" s="725">
        <v>-0.19091351229415729</v>
      </c>
      <c r="E89" s="725">
        <v>-2.7400000000000001E-2</v>
      </c>
      <c r="F89" s="725">
        <v>-3.4599999999999999E-2</v>
      </c>
      <c r="G89" s="725">
        <v>-1.8100000000000002E-2</v>
      </c>
    </row>
    <row r="90" spans="1:7">
      <c r="A90" s="726">
        <v>45513</v>
      </c>
      <c r="B90" s="723">
        <v>-1.5659799554565649E-2</v>
      </c>
      <c r="C90" s="723">
        <v>1.1999999999999999E-3</v>
      </c>
      <c r="D90" s="723">
        <v>-1.6859799554565649E-2</v>
      </c>
      <c r="E90" s="723">
        <v>-1.2999999999999999E-3</v>
      </c>
      <c r="F90" s="723">
        <v>-1.5599999999999999E-2</v>
      </c>
      <c r="G90" s="723">
        <v>-9.5999999999999992E-3</v>
      </c>
    </row>
    <row r="91" spans="1:7">
      <c r="A91" s="727">
        <v>45520</v>
      </c>
      <c r="B91" s="725">
        <v>9.0362723608852447E-2</v>
      </c>
      <c r="C91" s="725">
        <v>1.1999999999999999E-3</v>
      </c>
      <c r="D91" s="725">
        <v>8.916272360885244E-2</v>
      </c>
      <c r="E91" s="725">
        <v>3.9399999999999998E-2</v>
      </c>
      <c r="F91" s="725">
        <v>-2.0000000000000001E-4</v>
      </c>
      <c r="G91" s="725">
        <v>-1.09E-2</v>
      </c>
    </row>
    <row r="92" spans="1:7">
      <c r="A92" s="726">
        <v>45527</v>
      </c>
      <c r="B92" s="723">
        <v>3.7546203229362529E-2</v>
      </c>
      <c r="C92" s="723">
        <v>1.1999999999999999E-3</v>
      </c>
      <c r="D92" s="723">
        <v>3.634620322936253E-2</v>
      </c>
      <c r="E92" s="723">
        <v>1.49E-2</v>
      </c>
      <c r="F92" s="723">
        <v>2.0299999999999999E-2</v>
      </c>
      <c r="G92" s="723">
        <v>6.7999999999999996E-3</v>
      </c>
    </row>
    <row r="93" spans="1:7">
      <c r="A93" s="727">
        <v>45534</v>
      </c>
      <c r="B93" s="725">
        <v>3.499999999999992E-2</v>
      </c>
      <c r="C93" s="725">
        <v>1.1999999999999999E-3</v>
      </c>
      <c r="D93" s="725">
        <v>3.379999999999992E-2</v>
      </c>
      <c r="E93" s="725">
        <v>8.9999999999999998E-4</v>
      </c>
      <c r="F93" s="725">
        <v>-1.4999999999999999E-2</v>
      </c>
      <c r="G93" s="725">
        <v>1.72E-2</v>
      </c>
    </row>
    <row r="94" spans="1:7">
      <c r="A94" s="726">
        <v>45541</v>
      </c>
      <c r="B94" s="723">
        <v>-2.590579710144925E-2</v>
      </c>
      <c r="C94" s="723">
        <v>1E-3</v>
      </c>
      <c r="D94" s="723">
        <v>-2.690579710144925E-2</v>
      </c>
      <c r="E94" s="723">
        <v>-4.5599999999999988E-2</v>
      </c>
      <c r="F94" s="723">
        <v>-1.0200000000000001E-2</v>
      </c>
      <c r="G94" s="723">
        <v>3.0000000000000001E-3</v>
      </c>
    </row>
    <row r="95" spans="1:7">
      <c r="A95" s="727">
        <v>45548</v>
      </c>
      <c r="B95" s="725">
        <v>1.506416217221496E-2</v>
      </c>
      <c r="C95" s="725">
        <v>1E-3</v>
      </c>
      <c r="D95" s="725">
        <v>1.4064162172214959E-2</v>
      </c>
      <c r="E95" s="725">
        <v>4.0899999999999999E-2</v>
      </c>
      <c r="F95" s="725">
        <v>1.83E-2</v>
      </c>
      <c r="G95" s="725">
        <v>-3.8100000000000002E-2</v>
      </c>
    </row>
    <row r="96" spans="1:7">
      <c r="A96" s="726">
        <v>45555</v>
      </c>
      <c r="B96" s="723">
        <v>-4.0307805056797319E-3</v>
      </c>
      <c r="C96" s="723">
        <v>1E-3</v>
      </c>
      <c r="D96" s="723">
        <v>-5.0307805056797319E-3</v>
      </c>
      <c r="E96" s="723">
        <v>1.49E-2</v>
      </c>
      <c r="F96" s="723">
        <v>5.0000000000000001E-4</v>
      </c>
      <c r="G96" s="723">
        <v>9.0000000000000011E-3</v>
      </c>
    </row>
    <row r="97" spans="1:7">
      <c r="A97" s="727">
        <v>45562</v>
      </c>
      <c r="B97" s="725">
        <v>-1.140544518027975E-2</v>
      </c>
      <c r="C97" s="725">
        <v>1E-3</v>
      </c>
      <c r="D97" s="725">
        <v>-1.2405445180279751E-2</v>
      </c>
      <c r="E97" s="725">
        <v>5.0000000000000001E-3</v>
      </c>
      <c r="F97" s="725">
        <v>-7.4999999999999997E-3</v>
      </c>
      <c r="G97" s="725">
        <v>-4.0000000000000001E-3</v>
      </c>
    </row>
    <row r="98" spans="1:7">
      <c r="A98" s="726">
        <v>45569</v>
      </c>
      <c r="B98" s="723">
        <v>6.0662448827688793E-2</v>
      </c>
      <c r="C98" s="723">
        <v>1E-3</v>
      </c>
      <c r="D98" s="723">
        <v>5.9662448827688792E-2</v>
      </c>
      <c r="E98" s="723">
        <v>1.9E-3</v>
      </c>
      <c r="F98" s="723">
        <v>-1.44E-2</v>
      </c>
      <c r="G98" s="723">
        <v>4.1999999999999997E-3</v>
      </c>
    </row>
    <row r="99" spans="1:7">
      <c r="A99" s="727">
        <v>45576</v>
      </c>
      <c r="B99" s="725">
        <v>9.3918128654970845E-2</v>
      </c>
      <c r="C99" s="725">
        <v>1E-3</v>
      </c>
      <c r="D99" s="725">
        <v>9.2918128654970844E-2</v>
      </c>
      <c r="E99" s="725">
        <v>1.12E-2</v>
      </c>
      <c r="F99" s="725">
        <v>-1.8E-3</v>
      </c>
      <c r="G99" s="725">
        <v>1.9E-3</v>
      </c>
    </row>
    <row r="100" spans="1:7">
      <c r="A100" s="726">
        <v>45583</v>
      </c>
      <c r="B100" s="723">
        <v>2.480487544103482E-2</v>
      </c>
      <c r="C100" s="723">
        <v>1E-3</v>
      </c>
      <c r="D100" s="723">
        <v>2.3804875441034819E-2</v>
      </c>
      <c r="E100" s="723">
        <v>8.0000000000000002E-3</v>
      </c>
      <c r="F100" s="723">
        <v>1.3899999999999999E-2</v>
      </c>
      <c r="G100" s="723">
        <v>1.5E-3</v>
      </c>
    </row>
    <row r="101" spans="1:7">
      <c r="A101" s="727">
        <v>45590</v>
      </c>
      <c r="B101" s="725">
        <v>-1.5492957746478851E-2</v>
      </c>
      <c r="C101" s="725">
        <v>1E-3</v>
      </c>
      <c r="D101" s="725">
        <v>-1.649295774647885E-2</v>
      </c>
      <c r="E101" s="725">
        <v>-1.18E-2</v>
      </c>
      <c r="F101" s="725">
        <v>-1.5699999999999999E-2</v>
      </c>
      <c r="G101" s="725">
        <v>-6.5000000000000006E-3</v>
      </c>
    </row>
    <row r="102" spans="1:7">
      <c r="A102" s="726">
        <v>45597</v>
      </c>
      <c r="B102" s="723">
        <v>0.18873523022307001</v>
      </c>
      <c r="C102" s="723">
        <v>1E-3</v>
      </c>
      <c r="D102" s="723">
        <v>0.18773523022307001</v>
      </c>
      <c r="E102" s="723">
        <v>-1.15E-2</v>
      </c>
      <c r="F102" s="723">
        <v>1.37E-2</v>
      </c>
      <c r="G102" s="723">
        <v>-1.5E-3</v>
      </c>
    </row>
    <row r="103" spans="1:7">
      <c r="A103" s="727">
        <v>45604</v>
      </c>
      <c r="B103" s="725">
        <v>5.9950969467350117E-2</v>
      </c>
      <c r="C103" s="725">
        <v>1E-3</v>
      </c>
      <c r="D103" s="725">
        <v>5.8950969467350123E-2</v>
      </c>
      <c r="E103" s="725">
        <v>5.1100000000000013E-2</v>
      </c>
      <c r="F103" s="725">
        <v>3.9399999999999998E-2</v>
      </c>
      <c r="G103" s="725">
        <v>-5.8999999999999999E-3</v>
      </c>
    </row>
    <row r="104" spans="1:7">
      <c r="A104" s="726">
        <v>45611</v>
      </c>
      <c r="B104" s="723">
        <v>9.4196804037005588E-3</v>
      </c>
      <c r="C104" s="723">
        <v>1E-3</v>
      </c>
      <c r="D104" s="723">
        <v>8.4196804037005579E-3</v>
      </c>
      <c r="E104" s="723">
        <v>-2.2499999999999999E-2</v>
      </c>
      <c r="F104" s="723">
        <v>-3.0200000000000001E-2</v>
      </c>
      <c r="G104" s="723">
        <v>3.49E-2</v>
      </c>
    </row>
    <row r="105" spans="1:7">
      <c r="A105" s="727">
        <v>45618</v>
      </c>
      <c r="B105" s="725">
        <v>8.5569071821363085E-2</v>
      </c>
      <c r="C105" s="725">
        <v>1E-3</v>
      </c>
      <c r="D105" s="725">
        <v>8.4569071821363084E-2</v>
      </c>
      <c r="E105" s="725">
        <v>2.1399999999999999E-2</v>
      </c>
      <c r="F105" s="725">
        <v>2.53E-2</v>
      </c>
      <c r="G105" s="725">
        <v>-1.0999999999999999E-2</v>
      </c>
    </row>
    <row r="106" spans="1:7">
      <c r="A106" s="726">
        <v>45625</v>
      </c>
      <c r="B106" s="723">
        <v>1.1512779184895241E-2</v>
      </c>
      <c r="C106" s="723">
        <v>1E-3</v>
      </c>
      <c r="D106" s="723">
        <v>1.051277918489524E-2</v>
      </c>
      <c r="E106" s="723">
        <v>9.5999999999999992E-3</v>
      </c>
      <c r="F106" s="723">
        <v>5.4000000000000003E-3</v>
      </c>
      <c r="G106" s="723">
        <v>-6.1999999999999998E-3</v>
      </c>
    </row>
    <row r="107" spans="1:7">
      <c r="A107" s="727">
        <v>45632</v>
      </c>
      <c r="B107" s="725">
        <v>5.6605205250777717E-2</v>
      </c>
      <c r="C107" s="725">
        <v>8.9999999999999998E-4</v>
      </c>
      <c r="D107" s="725">
        <v>5.5705205250777719E-2</v>
      </c>
      <c r="E107" s="725">
        <v>1.04E-2</v>
      </c>
      <c r="F107" s="725">
        <v>-2.0999999999999999E-3</v>
      </c>
      <c r="G107" s="725">
        <v>-3.0499999999999999E-2</v>
      </c>
    </row>
    <row r="108" spans="1:7">
      <c r="A108" s="726">
        <v>45639</v>
      </c>
      <c r="B108" s="723">
        <v>5.3859964093350143E-4</v>
      </c>
      <c r="C108" s="723">
        <v>8.9999999999999998E-4</v>
      </c>
      <c r="D108" s="723">
        <v>-3.6140035906649849E-4</v>
      </c>
      <c r="E108" s="723">
        <v>-9.1000000000000004E-3</v>
      </c>
      <c r="F108" s="723">
        <v>-7.9000000000000008E-3</v>
      </c>
      <c r="G108" s="723">
        <v>-2.0999999999999999E-3</v>
      </c>
    </row>
    <row r="109" spans="1:7">
      <c r="A109" s="727">
        <v>45646</v>
      </c>
      <c r="B109" s="725">
        <v>-7.6762964292122704E-2</v>
      </c>
      <c r="C109" s="725">
        <v>8.9999999999999998E-4</v>
      </c>
      <c r="D109" s="725">
        <v>-7.7662964292122702E-2</v>
      </c>
      <c r="E109" s="725">
        <v>-2.29E-2</v>
      </c>
      <c r="F109" s="725">
        <v>-1.52E-2</v>
      </c>
      <c r="G109" s="725">
        <v>-1.41E-2</v>
      </c>
    </row>
    <row r="110" spans="1:7">
      <c r="A110" s="726">
        <v>45653</v>
      </c>
      <c r="B110" s="723">
        <v>-2.7792894348130259E-2</v>
      </c>
      <c r="C110" s="723">
        <v>8.9999999999999998E-4</v>
      </c>
      <c r="D110" s="723">
        <v>-2.8692894348130261E-2</v>
      </c>
      <c r="E110" s="723">
        <v>5.1999999999999998E-3</v>
      </c>
      <c r="F110" s="723">
        <v>-4.1999999999999997E-3</v>
      </c>
      <c r="G110" s="723">
        <v>1.4E-3</v>
      </c>
    </row>
    <row r="111" spans="1:7">
      <c r="A111" s="727">
        <v>45660</v>
      </c>
      <c r="B111" s="725">
        <v>6.3971852384958616E-4</v>
      </c>
      <c r="C111" s="725">
        <v>8.9999999999999998E-4</v>
      </c>
      <c r="D111" s="725">
        <v>-2.6028147615041381E-4</v>
      </c>
      <c r="E111" s="725">
        <v>-4.0000000000000001E-3</v>
      </c>
      <c r="F111" s="725">
        <v>8.3999999999999995E-3</v>
      </c>
      <c r="G111" s="725">
        <v>2.3E-3</v>
      </c>
    </row>
    <row r="112" spans="1:7">
      <c r="A112" s="726">
        <v>45667</v>
      </c>
      <c r="B112" s="723">
        <v>-3.1485995125264843E-2</v>
      </c>
      <c r="C112" s="723">
        <v>8.9999999999999998E-4</v>
      </c>
      <c r="D112" s="723">
        <v>-3.2385995125264841E-2</v>
      </c>
      <c r="E112" s="723">
        <v>-2.0899999999999998E-2</v>
      </c>
      <c r="F112" s="723">
        <v>-2.18E-2</v>
      </c>
      <c r="G112" s="723">
        <v>2.3E-3</v>
      </c>
    </row>
    <row r="113" spans="1:7">
      <c r="A113" s="727">
        <v>45674</v>
      </c>
      <c r="B113" s="725">
        <v>4.1132059903461471E-2</v>
      </c>
      <c r="C113" s="725">
        <v>8.9999999999999998E-4</v>
      </c>
      <c r="D113" s="725">
        <v>4.0232059903461473E-2</v>
      </c>
      <c r="E113" s="725">
        <v>2.98E-2</v>
      </c>
      <c r="F113" s="725">
        <v>-5.1999999999999998E-3</v>
      </c>
      <c r="G113" s="725">
        <v>3.3599999999999998E-2</v>
      </c>
    </row>
    <row r="114" spans="1:7">
      <c r="A114" s="726">
        <v>45681</v>
      </c>
      <c r="B114" s="723">
        <v>4.9334284355682323E-2</v>
      </c>
      <c r="C114" s="723">
        <v>8.9999999999999998E-4</v>
      </c>
      <c r="D114" s="723">
        <v>4.8434284355682318E-2</v>
      </c>
      <c r="E114" s="723">
        <v>1.6899999999999998E-2</v>
      </c>
      <c r="F114" s="723">
        <v>5.7999999999999996E-3</v>
      </c>
      <c r="G114" s="723">
        <v>-1.8499999999999999E-2</v>
      </c>
    </row>
    <row r="115" spans="1:7">
      <c r="A115" s="727">
        <v>45688</v>
      </c>
      <c r="B115" s="725">
        <v>0.15849099354253979</v>
      </c>
      <c r="C115" s="725">
        <v>8.9999999999999998E-4</v>
      </c>
      <c r="D115" s="725">
        <v>0.1575909935425398</v>
      </c>
      <c r="E115" s="725">
        <v>-9.5999999999999992E-3</v>
      </c>
      <c r="F115" s="725">
        <v>-4.0999999999999986E-3</v>
      </c>
      <c r="G115" s="725">
        <v>1.17E-2</v>
      </c>
    </row>
    <row r="116" spans="1:7">
      <c r="A116" s="726">
        <v>45695</v>
      </c>
      <c r="B116" s="723">
        <v>2.4447486798357069E-2</v>
      </c>
      <c r="C116" s="723">
        <v>8.0000000000000004E-4</v>
      </c>
      <c r="D116" s="723">
        <v>2.364748679835707E-2</v>
      </c>
      <c r="E116" s="723">
        <v>-3.5999999999999999E-3</v>
      </c>
      <c r="F116" s="723">
        <v>-2.3E-3</v>
      </c>
      <c r="G116" s="723">
        <v>4.6999999999999993E-3</v>
      </c>
    </row>
    <row r="117" spans="1:7">
      <c r="A117" s="727">
        <v>45702</v>
      </c>
      <c r="B117" s="725">
        <v>-3.754613720249322E-3</v>
      </c>
      <c r="C117" s="725">
        <v>8.0000000000000004E-4</v>
      </c>
      <c r="D117" s="725">
        <v>-4.5546137202493219E-3</v>
      </c>
      <c r="E117" s="725">
        <v>1.3299999999999999E-2</v>
      </c>
      <c r="F117" s="725">
        <v>-7.3000000000000001E-3</v>
      </c>
      <c r="G117" s="725">
        <v>-1.5E-3</v>
      </c>
    </row>
    <row r="118" spans="1:7">
      <c r="A118" s="726">
        <v>45709</v>
      </c>
      <c r="B118" s="723">
        <v>-8.6585755349728566E-2</v>
      </c>
      <c r="C118" s="723">
        <v>8.0000000000000004E-4</v>
      </c>
      <c r="D118" s="723">
        <v>-8.7385755349728561E-2</v>
      </c>
      <c r="E118" s="723">
        <v>-2.1899999999999999E-2</v>
      </c>
      <c r="F118" s="723">
        <v>-2.29E-2</v>
      </c>
      <c r="G118" s="723">
        <v>7.9000000000000008E-3</v>
      </c>
    </row>
    <row r="119" spans="1:7">
      <c r="A119" s="727">
        <v>45716</v>
      </c>
      <c r="B119" s="725">
        <v>-6.0491625581314823E-3</v>
      </c>
      <c r="C119" s="725">
        <v>8.0000000000000004E-4</v>
      </c>
      <c r="D119" s="725">
        <v>-6.8491625581314827E-3</v>
      </c>
      <c r="E119" s="725">
        <v>-1.21E-2</v>
      </c>
      <c r="F119" s="725">
        <v>-2.6800000000000001E-2</v>
      </c>
      <c r="G119" s="725">
        <v>3.8600000000000002E-2</v>
      </c>
    </row>
    <row r="120" spans="1:7">
      <c r="A120" s="726">
        <v>45723</v>
      </c>
      <c r="B120" s="723">
        <v>-0.15971293885879109</v>
      </c>
      <c r="C120" s="723">
        <v>8.9999999999999998E-4</v>
      </c>
      <c r="D120" s="723">
        <v>-0.1606129388587911</v>
      </c>
      <c r="E120" s="723">
        <v>-3.4799999999999998E-2</v>
      </c>
      <c r="F120" s="723">
        <v>-5.9999999999999995E-4</v>
      </c>
      <c r="G120" s="723">
        <v>-1.21E-2</v>
      </c>
    </row>
    <row r="121" spans="1:7">
      <c r="A121" s="727">
        <v>45730</v>
      </c>
      <c r="B121" s="725">
        <v>-8.5489408021435231E-2</v>
      </c>
      <c r="C121" s="725">
        <v>8.9999999999999998E-4</v>
      </c>
      <c r="D121" s="725">
        <v>-8.6389408021435229E-2</v>
      </c>
      <c r="E121" s="725">
        <v>-2.35E-2</v>
      </c>
      <c r="F121" s="725">
        <v>-5.0000000000000001E-3</v>
      </c>
      <c r="G121" s="725">
        <v>1.8100000000000002E-2</v>
      </c>
    </row>
    <row r="122" spans="1:7">
      <c r="A122" s="726">
        <v>45737</v>
      </c>
      <c r="B122" s="723">
        <v>4.0743453579930478E-2</v>
      </c>
      <c r="C122" s="723">
        <v>8.9999999999999998E-4</v>
      </c>
      <c r="D122" s="723">
        <v>3.984345357993048E-2</v>
      </c>
      <c r="E122" s="723">
        <v>6.1999999999999998E-3</v>
      </c>
      <c r="F122" s="723">
        <v>-2.7000000000000001E-3</v>
      </c>
      <c r="G122" s="723">
        <v>3.0000000000000001E-3</v>
      </c>
    </row>
    <row r="123" spans="1:7">
      <c r="A123" s="727">
        <v>45744</v>
      </c>
      <c r="B123" s="725">
        <v>-4.1127826163455561E-2</v>
      </c>
      <c r="C123" s="725">
        <v>8.9999999999999998E-4</v>
      </c>
      <c r="D123" s="725">
        <v>-4.2027826163455559E-2</v>
      </c>
      <c r="E123" s="725">
        <v>-1.6899999999999998E-2</v>
      </c>
      <c r="F123" s="725">
        <v>-9.5999999999999992E-3</v>
      </c>
      <c r="G123" s="725">
        <v>1.8700000000000001E-2</v>
      </c>
    </row>
    <row r="124" spans="1:7">
      <c r="A124" s="726">
        <v>45751</v>
      </c>
      <c r="B124" s="723">
        <v>-0.13908894903435939</v>
      </c>
      <c r="C124" s="723">
        <v>8.9999999999999998E-4</v>
      </c>
      <c r="D124" s="723">
        <v>-0.13998894903435941</v>
      </c>
      <c r="E124" s="723">
        <v>-9.3200000000000005E-2</v>
      </c>
      <c r="F124" s="723">
        <v>-2.0999999999999999E-3</v>
      </c>
      <c r="G124" s="723">
        <v>-4.3E-3</v>
      </c>
    </row>
    <row r="125" spans="1:7">
      <c r="A125" s="727">
        <v>45758</v>
      </c>
      <c r="B125" s="725">
        <v>5.7014973091064292E-2</v>
      </c>
      <c r="C125" s="725">
        <v>8.9999999999999998E-4</v>
      </c>
      <c r="D125" s="725">
        <v>5.6114973091064287E-2</v>
      </c>
      <c r="E125" s="725">
        <v>5.5899999999999998E-2</v>
      </c>
      <c r="F125" s="725">
        <v>-2.86E-2</v>
      </c>
      <c r="G125" s="725">
        <v>-3.2899999999999999E-2</v>
      </c>
    </row>
    <row r="126" spans="1:7">
      <c r="A126" s="726">
        <v>45764</v>
      </c>
      <c r="B126" s="723">
        <v>2.2079951605585402E-2</v>
      </c>
      <c r="C126" s="723">
        <v>8.9999999999999998E-4</v>
      </c>
      <c r="D126" s="723">
        <v>2.11799516055854E-2</v>
      </c>
      <c r="E126" s="723">
        <v>-1.3899999999999999E-2</v>
      </c>
      <c r="F126" s="723">
        <v>1.34E-2</v>
      </c>
      <c r="G126" s="723">
        <v>2.8899999999999999E-2</v>
      </c>
    </row>
    <row r="127" spans="1:7">
      <c r="A127" s="727">
        <v>45772</v>
      </c>
      <c r="B127" s="725">
        <v>0.12789149198520339</v>
      </c>
      <c r="C127" s="725">
        <v>8.9999999999999998E-4</v>
      </c>
      <c r="D127" s="725">
        <v>0.1269914919852034</v>
      </c>
      <c r="E127" s="725">
        <v>4.6899999999999997E-2</v>
      </c>
      <c r="F127" s="725">
        <v>6.0000000000000001E-3</v>
      </c>
      <c r="G127" s="725">
        <v>-1.8499999999999999E-2</v>
      </c>
    </row>
    <row r="128" spans="1:7">
      <c r="A128" s="726">
        <v>45779</v>
      </c>
      <c r="B128" s="723">
        <v>-8.8333041805142676E-2</v>
      </c>
      <c r="C128" s="723">
        <v>8.9999999999999998E-4</v>
      </c>
      <c r="D128" s="723">
        <v>-8.9233041805142674E-2</v>
      </c>
      <c r="E128" s="723">
        <v>2.8500000000000001E-2</v>
      </c>
      <c r="F128" s="723">
        <v>5.5000000000000014E-3</v>
      </c>
      <c r="G128" s="723">
        <v>-5.1000000000000004E-3</v>
      </c>
    </row>
    <row r="129" spans="1:7">
      <c r="A129" s="727">
        <v>45786</v>
      </c>
      <c r="B129" s="725">
        <v>-4.6047582501917983E-3</v>
      </c>
      <c r="C129" s="725">
        <v>8.9999999999999998E-4</v>
      </c>
      <c r="D129" s="725">
        <v>-5.5047582501917981E-3</v>
      </c>
      <c r="E129" s="725">
        <v>-4.3E-3</v>
      </c>
      <c r="F129" s="725">
        <v>4.0999999999999986E-3</v>
      </c>
      <c r="G129" s="725">
        <v>4.8999999999999998E-3</v>
      </c>
    </row>
    <row r="130" spans="1:7">
      <c r="A130" s="726">
        <v>45793</v>
      </c>
      <c r="B130" s="723">
        <v>6.39456437933692E-2</v>
      </c>
      <c r="C130" s="723">
        <v>8.9999999999999998E-4</v>
      </c>
      <c r="D130" s="723">
        <v>6.3045643793369202E-2</v>
      </c>
      <c r="E130" s="723">
        <v>5.3400000000000003E-2</v>
      </c>
      <c r="F130" s="723">
        <v>2.7000000000000001E-3</v>
      </c>
      <c r="G130" s="723">
        <v>-2.52E-2</v>
      </c>
    </row>
    <row r="131" spans="1:7">
      <c r="A131" s="727">
        <v>45800</v>
      </c>
      <c r="B131" s="725">
        <v>-6.3272793151863738E-2</v>
      </c>
      <c r="C131" s="725">
        <v>8.9999999999999998E-4</v>
      </c>
      <c r="D131" s="725">
        <v>-6.4172793151863736E-2</v>
      </c>
      <c r="E131" s="725">
        <v>-2.75E-2</v>
      </c>
      <c r="F131" s="725">
        <v>-7.4000000000000003E-3</v>
      </c>
      <c r="G131" s="725">
        <v>-4.8999999999999998E-3</v>
      </c>
    </row>
    <row r="132" spans="1:7">
      <c r="A132" s="726">
        <v>45807</v>
      </c>
      <c r="B132" s="723">
        <v>3.916449086161844E-3</v>
      </c>
      <c r="C132" s="723">
        <v>8.9999999999999998E-4</v>
      </c>
      <c r="D132" s="723">
        <v>3.0164490861618442E-3</v>
      </c>
      <c r="E132" s="723">
        <v>1.7299999999999999E-2</v>
      </c>
      <c r="F132" s="723">
        <v>-2.7000000000000001E-3</v>
      </c>
      <c r="G132" s="723">
        <v>-3.8E-3</v>
      </c>
    </row>
    <row r="133" spans="1:7">
      <c r="A133" s="727">
        <v>45814</v>
      </c>
      <c r="B133" s="725">
        <v>3.3135866685931603E-2</v>
      </c>
      <c r="C133" s="725">
        <v>8.0000000000000004E-4</v>
      </c>
      <c r="D133" s="725">
        <v>3.2335866685931601E-2</v>
      </c>
      <c r="E133" s="725">
        <v>1.5800000000000002E-2</v>
      </c>
      <c r="F133" s="725">
        <v>2.0899999999999998E-2</v>
      </c>
      <c r="G133" s="725">
        <v>-2.0899999999999998E-2</v>
      </c>
    </row>
    <row r="134" spans="1:7">
      <c r="A134" s="726">
        <v>45821</v>
      </c>
      <c r="B134" s="723">
        <v>-8.2467017854645497E-2</v>
      </c>
      <c r="C134" s="723">
        <v>8.0000000000000004E-4</v>
      </c>
      <c r="D134" s="723">
        <v>-8.3267017854645492E-2</v>
      </c>
      <c r="E134" s="723">
        <v>-5.6000000000000008E-3</v>
      </c>
      <c r="F134" s="723">
        <v>-1.6799999999999999E-2</v>
      </c>
      <c r="G134" s="723">
        <v>5.3E-3</v>
      </c>
    </row>
    <row r="135" spans="1:7">
      <c r="A135" s="727">
        <v>45828</v>
      </c>
      <c r="B135" s="725">
        <v>-3.703891880906407E-2</v>
      </c>
      <c r="C135" s="725">
        <v>8.0000000000000004E-4</v>
      </c>
      <c r="D135" s="725">
        <v>-3.7838918809064072E-2</v>
      </c>
      <c r="E135" s="725">
        <v>-1.2999999999999999E-3</v>
      </c>
      <c r="F135" s="725">
        <v>3.0000000000000001E-3</v>
      </c>
      <c r="G135" s="725">
        <v>3.8999999999999998E-3</v>
      </c>
    </row>
    <row r="136" spans="1:7">
      <c r="A136" s="726">
        <v>45835</v>
      </c>
      <c r="B136" s="723">
        <v>6.7482720413654773E-2</v>
      </c>
      <c r="C136" s="723">
        <v>8.0000000000000004E-4</v>
      </c>
      <c r="D136" s="723">
        <v>6.6682720413654778E-2</v>
      </c>
      <c r="E136" s="723">
        <v>3.4099999999999998E-2</v>
      </c>
      <c r="F136" s="723">
        <v>5.5000000000000014E-3</v>
      </c>
      <c r="G136" s="723">
        <v>-3.8E-3</v>
      </c>
    </row>
    <row r="137" spans="1:7">
      <c r="A137" s="727">
        <v>45841</v>
      </c>
      <c r="B137" s="725">
        <v>5.540727560300529E-2</v>
      </c>
      <c r="C137" s="725">
        <v>8.9999999999999998E-4</v>
      </c>
      <c r="D137" s="725">
        <v>5.4507275603005292E-2</v>
      </c>
      <c r="E137" s="725">
        <v>1.8100000000000002E-2</v>
      </c>
      <c r="F137" s="725">
        <v>1.89E-2</v>
      </c>
      <c r="G137" s="725">
        <v>1.8700000000000001E-2</v>
      </c>
    </row>
    <row r="138" spans="1:7">
      <c r="A138" s="726">
        <v>45849</v>
      </c>
      <c r="B138" s="723">
        <v>-0.1241980049641737</v>
      </c>
      <c r="C138" s="723">
        <v>8.9999999999999998E-4</v>
      </c>
      <c r="D138" s="723">
        <v>-0.1250980049641737</v>
      </c>
      <c r="E138" s="723">
        <v>-5.0000000000000001E-3</v>
      </c>
      <c r="F138" s="723">
        <v>-8.9999999999999998E-4</v>
      </c>
      <c r="G138" s="723">
        <v>4.0000000000000001E-3</v>
      </c>
    </row>
    <row r="139" spans="1:7">
      <c r="A139" s="727">
        <v>45856</v>
      </c>
      <c r="B139" s="725">
        <v>4.19763649002729E-2</v>
      </c>
      <c r="C139" s="725">
        <v>8.9999999999999998E-4</v>
      </c>
      <c r="D139" s="725">
        <v>4.1076364900272902E-2</v>
      </c>
      <c r="E139" s="725">
        <v>6.1999999999999998E-3</v>
      </c>
      <c r="F139" s="725">
        <v>-2.3999999999999998E-3</v>
      </c>
      <c r="G139" s="725">
        <v>-1.83E-2</v>
      </c>
    </row>
    <row r="140" spans="1:7">
      <c r="A140" s="726">
        <v>45863</v>
      </c>
      <c r="B140" s="723">
        <v>4.1773581032536138E-2</v>
      </c>
      <c r="C140" s="723">
        <v>8.9999999999999998E-4</v>
      </c>
      <c r="D140" s="723">
        <v>4.087358103253614E-2</v>
      </c>
      <c r="E140" s="723">
        <v>1.26E-2</v>
      </c>
      <c r="F140" s="723">
        <v>2.9999999999999997E-4</v>
      </c>
      <c r="G140" s="723">
        <v>2.3E-3</v>
      </c>
    </row>
    <row r="141" spans="1:7">
      <c r="A141" s="727">
        <v>45870</v>
      </c>
      <c r="B141" s="725">
        <v>-9.871921182266008E-2</v>
      </c>
      <c r="C141" s="725">
        <v>8.9999999999999998E-4</v>
      </c>
      <c r="D141" s="725">
        <v>-9.9619211822660078E-2</v>
      </c>
      <c r="E141" s="725">
        <v>-2.52E-2</v>
      </c>
      <c r="F141" s="725">
        <v>-2.1499999999999998E-2</v>
      </c>
      <c r="G141" s="725">
        <v>-0.02</v>
      </c>
    </row>
    <row r="142" spans="1:7">
      <c r="A142" s="726">
        <v>45877</v>
      </c>
      <c r="B142" s="723">
        <v>-8.1438565806733698E-2</v>
      </c>
      <c r="C142" s="723">
        <v>8.9999999999999998E-4</v>
      </c>
      <c r="D142" s="723">
        <v>-8.2338565806733696E-2</v>
      </c>
      <c r="E142" s="723">
        <v>2.3800000000000002E-2</v>
      </c>
      <c r="F142" s="723">
        <v>4.1999999999999997E-3</v>
      </c>
      <c r="G142" s="723">
        <v>-8.0000000000000002E-3</v>
      </c>
    </row>
    <row r="143" spans="1:7">
      <c r="A143" s="727">
        <v>45884</v>
      </c>
      <c r="B143" s="725">
        <v>-6.3072712126621688E-3</v>
      </c>
      <c r="C143" s="725">
        <v>8.9999999999999998E-4</v>
      </c>
      <c r="D143" s="725">
        <v>-7.2072712126621686E-3</v>
      </c>
      <c r="E143" s="725">
        <v>1.0200000000000001E-2</v>
      </c>
      <c r="F143" s="725">
        <v>2.12E-2</v>
      </c>
      <c r="G143" s="725">
        <v>1.0800000000000001E-2</v>
      </c>
    </row>
    <row r="144" spans="1:7">
      <c r="A144" s="726">
        <v>45891</v>
      </c>
      <c r="B144" s="723">
        <v>2.2694610778443151E-2</v>
      </c>
      <c r="C144" s="723">
        <v>8.9999999999999998E-4</v>
      </c>
      <c r="D144" s="723">
        <v>2.1794610778443149E-2</v>
      </c>
      <c r="E144" s="723">
        <v>3.3999999999999998E-3</v>
      </c>
      <c r="F144" s="723">
        <v>1.83E-2</v>
      </c>
      <c r="G144" s="723">
        <v>2.8799999999999999E-2</v>
      </c>
    </row>
    <row r="145" spans="1:7">
      <c r="A145" s="727">
        <v>45898</v>
      </c>
      <c r="B145" s="725">
        <v>4.0927454769014597E-2</v>
      </c>
      <c r="C145" s="725">
        <v>8.9999999999999998E-4</v>
      </c>
      <c r="D145" s="725">
        <v>4.0027454769014599E-2</v>
      </c>
      <c r="E145" s="725">
        <v>-1.4E-3</v>
      </c>
      <c r="F145" s="725">
        <v>-4.6999999999999993E-3</v>
      </c>
      <c r="G145" s="725">
        <v>9.3999999999999986E-3</v>
      </c>
    </row>
    <row r="146" spans="1:7">
      <c r="A146" s="726">
        <v>45905</v>
      </c>
      <c r="B146" s="723">
        <v>-3.009337383282706E-2</v>
      </c>
      <c r="C146" s="723">
        <v>8.0000000000000004E-4</v>
      </c>
      <c r="D146" s="723">
        <v>-3.0893373832827059E-2</v>
      </c>
      <c r="E146" s="723">
        <v>4.5000000000000014E-3</v>
      </c>
      <c r="F146" s="723">
        <v>7.4000000000000003E-3</v>
      </c>
      <c r="G146" s="723">
        <v>-6.4000000000000003E-3</v>
      </c>
    </row>
    <row r="147" spans="1:7">
      <c r="A147" s="727">
        <v>45912</v>
      </c>
      <c r="B147" s="725">
        <v>1.4150669837035281E-2</v>
      </c>
      <c r="C147" s="725">
        <v>8.0000000000000004E-4</v>
      </c>
      <c r="D147" s="725">
        <v>1.335066983703528E-2</v>
      </c>
      <c r="E147" s="725">
        <v>1.54E-2</v>
      </c>
      <c r="F147" s="725">
        <v>-1.9800000000000002E-2</v>
      </c>
      <c r="G147" s="725">
        <v>-4.0999999999999986E-3</v>
      </c>
    </row>
    <row r="148" spans="1:7">
      <c r="A148" s="726">
        <v>45919</v>
      </c>
      <c r="B148" s="723">
        <v>-3.3281866529421777E-2</v>
      </c>
      <c r="C148" s="723">
        <v>8.0000000000000004E-4</v>
      </c>
      <c r="D148" s="723">
        <v>-3.408186652942178E-2</v>
      </c>
      <c r="E148" s="723">
        <v>1.3100000000000001E-2</v>
      </c>
      <c r="F148" s="723">
        <v>0</v>
      </c>
      <c r="G148" s="723">
        <v>-4.5000000000000014E-3</v>
      </c>
    </row>
    <row r="149" spans="1:7">
      <c r="A149" s="727">
        <v>45926</v>
      </c>
      <c r="B149" s="725">
        <v>-1.4196983141082529E-2</v>
      </c>
      <c r="C149" s="725">
        <v>8.0000000000000004E-4</v>
      </c>
      <c r="D149" s="725">
        <v>-1.499698314108253E-2</v>
      </c>
      <c r="E149" s="725">
        <v>-5.1000000000000004E-3</v>
      </c>
      <c r="F149" s="725">
        <v>-5.3E-3</v>
      </c>
      <c r="G149" s="725">
        <v>1.7600000000000001E-2</v>
      </c>
    </row>
    <row r="150" spans="1:7">
      <c r="A150" s="726">
        <v>45933</v>
      </c>
      <c r="B150" s="723">
        <v>-9.6969696969696928E-2</v>
      </c>
      <c r="C150" s="723">
        <v>8.9999999999999998E-4</v>
      </c>
      <c r="D150" s="723">
        <v>-9.7869696969696926E-2</v>
      </c>
      <c r="E150" s="723">
        <v>9.8999999999999991E-3</v>
      </c>
      <c r="F150" s="723">
        <v>7.6E-3</v>
      </c>
      <c r="G150" s="723">
        <v>-1.37E-2</v>
      </c>
    </row>
    <row r="151" spans="1:7">
      <c r="A151" s="727">
        <v>45940</v>
      </c>
      <c r="B151" s="725">
        <v>-3.9404611602099848E-2</v>
      </c>
      <c r="C151" s="725">
        <v>8.9999999999999998E-4</v>
      </c>
      <c r="D151" s="725">
        <v>-4.0304611602099853E-2</v>
      </c>
      <c r="E151" s="725">
        <v>-2.5499999999999998E-2</v>
      </c>
      <c r="F151" s="725">
        <v>-7.4000000000000003E-3</v>
      </c>
      <c r="G151" s="725">
        <v>-1.7299999999999999E-2</v>
      </c>
    </row>
    <row r="152" spans="1:7">
      <c r="A152" s="726">
        <v>45947</v>
      </c>
      <c r="B152" s="723">
        <v>5.1120641947979939E-2</v>
      </c>
      <c r="C152" s="723">
        <v>8.9999999999999998E-4</v>
      </c>
      <c r="D152" s="723">
        <v>5.0220641947979941E-2</v>
      </c>
      <c r="E152" s="723">
        <v>1.6299999999999999E-2</v>
      </c>
      <c r="F152" s="723">
        <v>2.3E-3</v>
      </c>
      <c r="G152" s="723">
        <v>1.1000000000000001E-3</v>
      </c>
    </row>
    <row r="153" spans="1:7">
      <c r="A153" s="727">
        <v>45954</v>
      </c>
      <c r="B153" s="725">
        <v>7.0352089503125992E-2</v>
      </c>
      <c r="C153" s="725">
        <v>8.9999999999999998E-4</v>
      </c>
      <c r="D153" s="725">
        <v>6.9452089503125994E-2</v>
      </c>
      <c r="E153" s="725">
        <v>1.8599999999999998E-2</v>
      </c>
      <c r="F153" s="725">
        <v>7.9000000000000008E-3</v>
      </c>
      <c r="G153" s="725">
        <v>1.01E-2</v>
      </c>
    </row>
    <row r="154" spans="1:7">
      <c r="A154" s="726">
        <v>45961</v>
      </c>
      <c r="B154" s="723">
        <v>4.168716182980825E-2</v>
      </c>
      <c r="C154" s="723">
        <v>8.9999999999999998E-4</v>
      </c>
      <c r="D154" s="723">
        <v>4.0787161829808252E-2</v>
      </c>
      <c r="E154" s="723">
        <v>5.5000000000000014E-3</v>
      </c>
      <c r="F154" s="723">
        <v>-2.0400000000000001E-2</v>
      </c>
      <c r="G154" s="723">
        <v>-2.0299999999999999E-2</v>
      </c>
    </row>
    <row r="155" spans="1:7">
      <c r="A155" s="727">
        <v>45968</v>
      </c>
      <c r="B155" s="725">
        <v>-6.8409868964702913E-2</v>
      </c>
      <c r="C155" s="725">
        <v>7.000000000000001E-4</v>
      </c>
      <c r="D155" s="725">
        <v>-6.910986896470292E-2</v>
      </c>
      <c r="E155" s="725">
        <v>-1.78E-2</v>
      </c>
      <c r="F155" s="725">
        <v>-1.54E-2</v>
      </c>
      <c r="G155" s="725">
        <v>3.32E-2</v>
      </c>
    </row>
    <row r="156" spans="1:7">
      <c r="A156" s="726">
        <v>45975</v>
      </c>
      <c r="B156" s="723">
        <v>-3.826902363302298E-2</v>
      </c>
      <c r="C156" s="723">
        <v>7.000000000000001E-4</v>
      </c>
      <c r="D156" s="723">
        <v>-3.896902363302298E-2</v>
      </c>
      <c r="E156" s="723">
        <v>-1.5E-3</v>
      </c>
      <c r="F156" s="723">
        <v>-3.8E-3</v>
      </c>
      <c r="G156" s="723">
        <v>1.4E-3</v>
      </c>
    </row>
    <row r="157" spans="1:7">
      <c r="A157" s="727">
        <v>45982</v>
      </c>
      <c r="B157" s="725">
        <v>-3.6300151525133328E-2</v>
      </c>
      <c r="C157" s="725">
        <v>7.000000000000001E-4</v>
      </c>
      <c r="D157" s="725">
        <v>-3.7000151525133328E-2</v>
      </c>
      <c r="E157" s="725">
        <v>-0.02</v>
      </c>
      <c r="F157" s="725">
        <v>1.0999999999999999E-2</v>
      </c>
      <c r="G157" s="725">
        <v>6.3E-3</v>
      </c>
    </row>
    <row r="158" spans="1:7">
      <c r="A158" s="726">
        <v>45989</v>
      </c>
      <c r="B158" s="723">
        <v>2.2149302707137108E-2</v>
      </c>
      <c r="C158" s="723">
        <v>7.000000000000001E-4</v>
      </c>
      <c r="D158" s="723">
        <v>2.1449302707137109E-2</v>
      </c>
      <c r="E158" s="723">
        <v>3.9100000000000003E-2</v>
      </c>
      <c r="F158" s="723">
        <v>1.52E-2</v>
      </c>
      <c r="G158" s="723">
        <v>-6.6E-3</v>
      </c>
    </row>
    <row r="159" spans="1:7">
      <c r="A159" s="727">
        <v>45996</v>
      </c>
      <c r="B159" s="725">
        <v>6.5609951845907011E-2</v>
      </c>
      <c r="C159" s="725">
        <v>8.0000000000000004E-4</v>
      </c>
      <c r="D159" s="725">
        <v>6.4809951845907016E-2</v>
      </c>
      <c r="E159" s="725">
        <v>4.3E-3</v>
      </c>
      <c r="F159" s="725">
        <v>1.2999999999999999E-3</v>
      </c>
      <c r="G159" s="725">
        <v>2.9999999999999997E-4</v>
      </c>
    </row>
    <row r="160" spans="1:7">
      <c r="A160" s="726">
        <v>46003</v>
      </c>
      <c r="B160" s="723">
        <v>1.7008724031883471E-2</v>
      </c>
      <c r="C160" s="723">
        <v>8.0000000000000004E-4</v>
      </c>
      <c r="D160" s="723">
        <v>1.6208724031883469E-2</v>
      </c>
      <c r="E160" s="723">
        <v>-6.7999999999999996E-3</v>
      </c>
      <c r="F160" s="723">
        <v>1.3299999999999999E-2</v>
      </c>
      <c r="G160" s="723">
        <v>2.63E-2</v>
      </c>
    </row>
    <row r="161" spans="1:7">
      <c r="A161" s="727">
        <v>46010</v>
      </c>
      <c r="B161" s="725">
        <v>-5.9861762527770868E-3</v>
      </c>
      <c r="C161" s="725">
        <v>8.0000000000000004E-4</v>
      </c>
      <c r="D161" s="725">
        <v>-6.7861762527770871E-3</v>
      </c>
      <c r="E161" s="725">
        <v>0</v>
      </c>
      <c r="F161" s="725">
        <v>-1.01E-2</v>
      </c>
      <c r="G161" s="725">
        <v>-4.4000000000000003E-3</v>
      </c>
    </row>
    <row r="162" spans="1:7">
      <c r="A162" s="726">
        <v>46017</v>
      </c>
      <c r="B162" s="723">
        <v>1.291364003228423E-2</v>
      </c>
      <c r="C162" s="723">
        <v>8.0000000000000004E-4</v>
      </c>
      <c r="D162" s="723">
        <v>1.2113640032284229E-2</v>
      </c>
      <c r="E162" s="723">
        <v>1.23E-2</v>
      </c>
      <c r="F162" s="723">
        <v>-1.15E-2</v>
      </c>
      <c r="G162" s="723">
        <v>-3.8E-3</v>
      </c>
    </row>
    <row r="163" spans="1:7">
      <c r="A163" s="727">
        <v>46024</v>
      </c>
      <c r="B163" s="725">
        <v>-5.1425068954949471E-2</v>
      </c>
      <c r="C163" s="725">
        <v>8.0000000000000004E-4</v>
      </c>
      <c r="D163" s="725">
        <v>-5.2225068954949473E-2</v>
      </c>
      <c r="E163" s="725">
        <v>-1.1299999999999999E-2</v>
      </c>
      <c r="F163" s="725">
        <v>-9.8999999999999991E-3</v>
      </c>
      <c r="G163" s="725">
        <v>1.09E-2</v>
      </c>
    </row>
    <row r="164" spans="1:7">
      <c r="A164" s="726">
        <v>46031</v>
      </c>
      <c r="B164" s="723">
        <v>-5.388989402946498E-2</v>
      </c>
      <c r="C164" s="723">
        <v>8.0000000000000004E-4</v>
      </c>
      <c r="D164" s="723">
        <v>-5.4689894029464982E-2</v>
      </c>
      <c r="E164" s="723">
        <v>1.77E-2</v>
      </c>
      <c r="F164" s="723">
        <v>2.69E-2</v>
      </c>
      <c r="G164" s="723">
        <v>-1.1999999999999999E-3</v>
      </c>
    </row>
    <row r="165" spans="1:7">
      <c r="A165" s="727">
        <v>46038</v>
      </c>
      <c r="B165" s="725">
        <v>-0.1903428493375221</v>
      </c>
      <c r="C165" s="725">
        <v>8.0000000000000004E-4</v>
      </c>
      <c r="D165" s="725">
        <v>-0.1911428493375221</v>
      </c>
      <c r="E165" s="725">
        <v>-3.8999999999999998E-3</v>
      </c>
      <c r="F165" s="725">
        <v>1.6199999999999999E-2</v>
      </c>
      <c r="G165" s="725">
        <v>6.9999999999999993E-3</v>
      </c>
    </row>
    <row r="166" spans="1:7">
      <c r="A166" s="726">
        <v>46045</v>
      </c>
      <c r="B166" s="723">
        <v>0.1113454238717841</v>
      </c>
      <c r="C166" s="723">
        <v>8.0000000000000004E-4</v>
      </c>
      <c r="D166" s="723">
        <v>0.11054542387178409</v>
      </c>
      <c r="E166" s="723">
        <v>-4.3E-3</v>
      </c>
      <c r="F166" s="723">
        <v>5.7999999999999996E-3</v>
      </c>
      <c r="G166" s="723">
        <v>-1E-4</v>
      </c>
    </row>
    <row r="167" spans="1:7">
      <c r="A167" s="727">
        <v>46052</v>
      </c>
      <c r="B167" s="725">
        <v>-0.1029981024667931</v>
      </c>
      <c r="C167" s="725">
        <v>8.0000000000000004E-4</v>
      </c>
      <c r="D167" s="725">
        <v>-0.10379810246679309</v>
      </c>
      <c r="E167" s="725">
        <v>-1.8E-3</v>
      </c>
      <c r="F167" s="725">
        <v>-2.4199999999999999E-2</v>
      </c>
      <c r="G167" s="725">
        <v>2.24E-2</v>
      </c>
    </row>
    <row r="168" spans="1:7">
      <c r="A168" s="726">
        <v>46059</v>
      </c>
      <c r="B168" s="723">
        <v>-0.1985107463191742</v>
      </c>
      <c r="C168" s="723">
        <v>7.000000000000001E-4</v>
      </c>
      <c r="D168" s="723">
        <v>-0.19921074631917421</v>
      </c>
      <c r="E168" s="723">
        <v>-7.000000000000001E-4</v>
      </c>
      <c r="F168" s="723">
        <v>3.5999999999999999E-3</v>
      </c>
      <c r="G168" s="723">
        <v>5.2999999999999999E-2</v>
      </c>
    </row>
    <row r="169" spans="1:7">
      <c r="A169" s="727">
        <v>46066</v>
      </c>
      <c r="B169" s="725">
        <v>-0.1091638513513514</v>
      </c>
      <c r="C169" s="725">
        <v>7.000000000000001E-4</v>
      </c>
      <c r="D169" s="725">
        <v>-0.1098638513513514</v>
      </c>
      <c r="E169" s="725">
        <v>-1.46E-2</v>
      </c>
      <c r="F169" s="725">
        <v>7.000000000000001E-4</v>
      </c>
      <c r="G169" s="725">
        <v>6.1000000000000004E-3</v>
      </c>
    </row>
    <row r="170" spans="1:7">
      <c r="A170" s="726">
        <v>46073</v>
      </c>
      <c r="B170" s="723">
        <v>-9.9549656316662571E-2</v>
      </c>
      <c r="C170" s="723">
        <v>7.000000000000001E-4</v>
      </c>
      <c r="D170" s="723">
        <v>-0.10024965631666261</v>
      </c>
      <c r="E170" s="723">
        <v>9.3999999999999986E-3</v>
      </c>
      <c r="F170" s="723">
        <v>-2.2000000000000001E-3</v>
      </c>
      <c r="G170" s="723">
        <v>-4.5000000000000014E-3</v>
      </c>
    </row>
    <row r="171" spans="1:7">
      <c r="A171" s="727">
        <v>46080</v>
      </c>
      <c r="B171" s="725">
        <v>-1.1187154514346039E-2</v>
      </c>
      <c r="C171" s="725">
        <v>7.000000000000001E-4</v>
      </c>
      <c r="D171" s="725">
        <v>-1.188715451434604E-2</v>
      </c>
      <c r="E171" s="725">
        <v>-5.6999999999999993E-3</v>
      </c>
      <c r="F171" s="725">
        <v>2.9999999999999997E-4</v>
      </c>
      <c r="G171" s="725">
        <v>-2.5899999999999999E-2</v>
      </c>
    </row>
    <row r="172" spans="1:7">
      <c r="A172" s="726">
        <v>46087</v>
      </c>
      <c r="B172" s="723">
        <v>0.113004126181286</v>
      </c>
      <c r="C172" s="723">
        <v>7.000000000000001E-4</v>
      </c>
      <c r="D172" s="723">
        <v>0.112304126181286</v>
      </c>
      <c r="E172" s="723">
        <v>-2.0500000000000001E-2</v>
      </c>
      <c r="F172" s="723">
        <v>-6.1000000000000004E-3</v>
      </c>
      <c r="G172" s="723">
        <v>-3.8E-3</v>
      </c>
    </row>
    <row r="173" spans="1:7">
      <c r="A173" s="727">
        <v>46094</v>
      </c>
      <c r="B173" s="725">
        <v>-0.1005740253527866</v>
      </c>
      <c r="C173" s="725">
        <v>7.000000000000001E-4</v>
      </c>
      <c r="D173" s="725">
        <v>-0.1012740253527866</v>
      </c>
      <c r="E173" s="725">
        <v>-1.7100000000000001E-2</v>
      </c>
      <c r="F173" s="725">
        <v>-4.5000000000000014E-3</v>
      </c>
      <c r="G173" s="725">
        <v>1.9E-3</v>
      </c>
    </row>
    <row r="174" spans="1:7">
      <c r="A174" s="726">
        <v>46101</v>
      </c>
      <c r="B174" s="723">
        <v>-1.9678234277356599E-2</v>
      </c>
      <c r="C174" s="723">
        <v>7.000000000000001E-4</v>
      </c>
      <c r="D174" s="723">
        <v>-2.0378234277356602E-2</v>
      </c>
      <c r="E174" s="723">
        <v>-1.9900000000000001E-2</v>
      </c>
      <c r="F174" s="723">
        <v>-1.8E-3</v>
      </c>
      <c r="G174" s="723">
        <v>1.21E-2</v>
      </c>
    </row>
    <row r="175" spans="1:7">
      <c r="A175" s="727">
        <v>46108</v>
      </c>
      <c r="B175" s="725">
        <v>-0.1167774311677743</v>
      </c>
      <c r="C175" s="725">
        <v>7.000000000000001E-4</v>
      </c>
      <c r="D175" s="725">
        <v>-0.1174774311677743</v>
      </c>
      <c r="E175" s="725">
        <v>-0.02</v>
      </c>
      <c r="F175" s="725">
        <v>1.6799999999999999E-2</v>
      </c>
      <c r="G175" s="725">
        <v>3.7599999999999988E-2</v>
      </c>
    </row>
    <row r="176" spans="1:7">
      <c r="A176" s="726">
        <v>46114</v>
      </c>
      <c r="B176" s="723">
        <v>4.8679361179361218E-2</v>
      </c>
      <c r="C176" s="723">
        <v>7.000000000000001E-4</v>
      </c>
      <c r="D176" s="723">
        <v>4.7979361179361218E-2</v>
      </c>
      <c r="E176" s="723">
        <v>3.32E-2</v>
      </c>
      <c r="F176" s="723">
        <v>2E-3</v>
      </c>
      <c r="G176" s="723">
        <v>-0.01</v>
      </c>
    </row>
    <row r="177" spans="1:8">
      <c r="A177" s="727">
        <v>46122</v>
      </c>
      <c r="B177" s="725">
        <v>-0.16312783716503149</v>
      </c>
      <c r="C177" s="725">
        <v>7.000000000000001E-4</v>
      </c>
      <c r="D177" s="725">
        <v>-0.16382783716503149</v>
      </c>
      <c r="E177" s="725">
        <v>3.2899999999999999E-2</v>
      </c>
      <c r="F177" s="725">
        <v>-2.0999999999999999E-3</v>
      </c>
      <c r="G177" s="725">
        <v>9.1999999999999998E-3</v>
      </c>
    </row>
    <row r="178" spans="1:8">
      <c r="A178" s="726">
        <v>46129</v>
      </c>
      <c r="B178" s="723">
        <v>0.17130358705161861</v>
      </c>
      <c r="C178" s="723">
        <v>7.000000000000001E-4</v>
      </c>
      <c r="D178" s="723">
        <v>0.1706035870516186</v>
      </c>
      <c r="E178" s="723">
        <v>4.7199999999999999E-2</v>
      </c>
      <c r="F178" s="723">
        <v>1.9199999999999998E-2</v>
      </c>
      <c r="G178" s="723">
        <v>-4.2799999999999998E-2</v>
      </c>
    </row>
    <row r="179" spans="1:8">
      <c r="A179" s="727">
        <v>46136</v>
      </c>
      <c r="B179" s="725">
        <v>6.886764266507317E-2</v>
      </c>
      <c r="C179" s="725">
        <v>7.000000000000001E-4</v>
      </c>
      <c r="D179" s="725">
        <v>6.8167642665073164E-2</v>
      </c>
      <c r="E179" s="725">
        <v>3.0000000000000001E-3</v>
      </c>
      <c r="F179" s="725">
        <v>-6.6E-3</v>
      </c>
      <c r="G179" s="725">
        <v>6.7000000000000002E-3</v>
      </c>
    </row>
    <row r="180" spans="1:8">
      <c r="A180" s="726">
        <v>46143</v>
      </c>
      <c r="B180" s="723">
        <v>0.24220824598183091</v>
      </c>
      <c r="C180" s="723">
        <v>8.0000000000000004E-4</v>
      </c>
      <c r="D180" s="723">
        <v>0.24140824598183089</v>
      </c>
      <c r="E180" s="723">
        <v>8.3000000000000001E-3</v>
      </c>
      <c r="F180" s="723">
        <v>-8.1000000000000013E-3</v>
      </c>
      <c r="G180" s="723">
        <v>9.4999999999999998E-3</v>
      </c>
    </row>
    <row r="181" spans="1:8">
      <c r="A181" s="727">
        <v>46150</v>
      </c>
      <c r="B181" s="725">
        <v>3.0603060306030549E-2</v>
      </c>
      <c r="C181" s="725">
        <v>8.0000000000000004E-4</v>
      </c>
      <c r="D181" s="725">
        <v>2.9803060306030551E-2</v>
      </c>
      <c r="E181" s="725">
        <v>2.18E-2</v>
      </c>
      <c r="F181" s="725">
        <v>-1.3299999999999999E-2</v>
      </c>
      <c r="G181" s="725">
        <v>-6.1999999999999998E-3</v>
      </c>
    </row>
    <row r="182" spans="1:8">
      <c r="A182" s="726">
        <v>46157</v>
      </c>
      <c r="B182" s="723">
        <v>-4.5196506550218341E-2</v>
      </c>
      <c r="C182" s="723">
        <v>8.0000000000000004E-4</v>
      </c>
      <c r="D182" s="723">
        <v>-4.5996506550218343E-2</v>
      </c>
      <c r="E182" s="723">
        <v>-1.2999999999999999E-3</v>
      </c>
      <c r="F182" s="723">
        <v>-1.9400000000000001E-2</v>
      </c>
      <c r="G182" s="723">
        <v>-2.0199999999999999E-2</v>
      </c>
    </row>
    <row r="183" spans="1:8">
      <c r="A183" s="727">
        <v>46164</v>
      </c>
      <c r="B183" s="725">
        <v>-2.3324948547907561E-2</v>
      </c>
      <c r="C183" s="725">
        <v>8.0000000000000004E-4</v>
      </c>
      <c r="D183" s="725">
        <v>-2.412494854790756E-2</v>
      </c>
      <c r="E183" s="725">
        <v>9.1999999999999998E-3</v>
      </c>
      <c r="F183" s="725">
        <v>6.7999999999999996E-3</v>
      </c>
      <c r="G183" s="725">
        <v>2.01E-2</v>
      </c>
    </row>
    <row r="184" spans="1:8">
      <c r="A184" s="726">
        <v>46171</v>
      </c>
      <c r="B184" s="723">
        <v>0.2597752282837742</v>
      </c>
      <c r="C184" s="723">
        <v>8.0000000000000004E-4</v>
      </c>
      <c r="D184" s="723">
        <v>0.25897522828377417</v>
      </c>
      <c r="E184" s="723">
        <v>1.52E-2</v>
      </c>
      <c r="F184" s="723">
        <v>5.3E-3</v>
      </c>
      <c r="G184" s="723">
        <v>-9.4999999999999998E-3</v>
      </c>
    </row>
    <row r="187" spans="1:8">
      <c r="A187" s="1106" t="s">
        <v>461</v>
      </c>
      <c r="B187" s="1107"/>
      <c r="C187" s="1107"/>
      <c r="D187" s="1107"/>
      <c r="E187" s="1107"/>
      <c r="F187" s="1107"/>
      <c r="G187" s="1107"/>
      <c r="H187" s="1107"/>
    </row>
    <row r="188" spans="1:8">
      <c r="A188" s="731" t="s">
        <v>439</v>
      </c>
      <c r="B188" s="732">
        <f>INDEX(LINEST(D212:D360,E212:I360,TRUE,TRUE),1,6)</f>
        <v>-8.7970286279776457E-3</v>
      </c>
      <c r="C188" s="733"/>
      <c r="D188" s="733"/>
      <c r="E188" s="733"/>
      <c r="F188" s="733"/>
      <c r="G188" s="733"/>
      <c r="H188" s="733"/>
    </row>
    <row r="189" spans="1:8">
      <c r="A189" s="734" t="s">
        <v>440</v>
      </c>
      <c r="B189" s="735">
        <f>INDEX(LINEST(D212:D360,E212:I360,TRUE,TRUE),1,5)</f>
        <v>0.85013040697271114</v>
      </c>
      <c r="C189" s="733"/>
      <c r="D189" s="733"/>
      <c r="E189" s="733"/>
      <c r="F189" s="733"/>
      <c r="G189" s="733"/>
      <c r="H189" s="733"/>
    </row>
    <row r="190" spans="1:8">
      <c r="A190" s="734" t="s">
        <v>441</v>
      </c>
      <c r="B190" s="735">
        <f>INDEX(LINEST(D212:D360,E212:I360,TRUE,TRUE),1,4)</f>
        <v>-0.12841843796856575</v>
      </c>
      <c r="C190" s="733"/>
      <c r="D190" s="733"/>
      <c r="E190" s="733"/>
      <c r="F190" s="733"/>
      <c r="G190" s="733"/>
      <c r="H190" s="733"/>
    </row>
    <row r="191" spans="1:8">
      <c r="A191" s="734" t="s">
        <v>442</v>
      </c>
      <c r="B191" s="735">
        <f>INDEX(LINEST(D212:D360,E212:I360,TRUE,TRUE),1,3)</f>
        <v>0.42811867048665442</v>
      </c>
      <c r="C191" s="733"/>
      <c r="D191" s="733"/>
      <c r="E191" s="733"/>
      <c r="F191" s="733"/>
      <c r="G191" s="733"/>
      <c r="H191" s="733"/>
    </row>
    <row r="192" spans="1:8">
      <c r="A192" s="736" t="s">
        <v>462</v>
      </c>
      <c r="B192" s="737">
        <f>INDEX(LINEST(D212:D360,E212:I360,TRUE,TRUE),1,2)</f>
        <v>-2.6659628927325274</v>
      </c>
      <c r="C192" s="733">
        <f>B192*B207</f>
        <v>-8.0509413397629598E-2</v>
      </c>
      <c r="D192" s="733"/>
      <c r="E192" s="733"/>
      <c r="F192" s="733"/>
      <c r="G192" s="733"/>
      <c r="H192" s="733"/>
    </row>
    <row r="193" spans="1:8">
      <c r="A193" s="736" t="s">
        <v>463</v>
      </c>
      <c r="B193" s="737">
        <f>INDEX(LINEST(D212:D360,E212:I360,TRUE,TRUE),1,1)</f>
        <v>-1.258868359591645</v>
      </c>
      <c r="C193" s="733">
        <f>B193*B208</f>
        <v>-3.7118992450919243E-2</v>
      </c>
      <c r="D193" s="733"/>
      <c r="E193" s="733"/>
      <c r="F193" s="733"/>
      <c r="G193" s="733"/>
      <c r="H193" s="733"/>
    </row>
    <row r="194" spans="1:8">
      <c r="A194" s="734" t="s">
        <v>443</v>
      </c>
      <c r="B194" s="738">
        <f>INDEX(LINEST(D212:D360,E212:I360,TRUE,TRUE),2,6)</f>
        <v>5.4165785206592059E-3</v>
      </c>
      <c r="C194" s="733">
        <f>C192+C193</f>
        <v>-0.11762840584854883</v>
      </c>
      <c r="D194" s="733"/>
      <c r="E194" s="733"/>
      <c r="F194" s="733"/>
      <c r="G194" s="733"/>
      <c r="H194" s="733"/>
    </row>
    <row r="195" spans="1:8">
      <c r="A195" s="734" t="s">
        <v>444</v>
      </c>
      <c r="B195" s="738">
        <f>INDEX(LINEST(D212:D360,E212:I360,TRUE,TRUE),2,5)</f>
        <v>0.28563237543068842</v>
      </c>
      <c r="C195" s="733"/>
      <c r="D195" s="733"/>
      <c r="E195" s="733"/>
      <c r="F195" s="733"/>
      <c r="G195" s="733"/>
      <c r="H195" s="733"/>
    </row>
    <row r="196" spans="1:8">
      <c r="A196" s="734" t="s">
        <v>445</v>
      </c>
      <c r="B196" s="738">
        <f>INDEX(LINEST(D212:D360,E212:I360,TRUE,TRUE),2,4)</f>
        <v>0.43739256658881109</v>
      </c>
      <c r="C196" s="918"/>
      <c r="D196" s="733"/>
      <c r="E196" s="733"/>
      <c r="F196" s="733"/>
      <c r="G196" s="733"/>
      <c r="H196" s="733"/>
    </row>
    <row r="197" spans="1:8">
      <c r="A197" s="734" t="s">
        <v>446</v>
      </c>
      <c r="B197" s="738">
        <f>INDEX(LINEST(D212:D360,E212:I360,TRUE,TRUE),2,3)</f>
        <v>0.42189980222042484</v>
      </c>
      <c r="C197" s="733"/>
      <c r="D197" s="733"/>
      <c r="E197" s="733"/>
      <c r="F197" s="733"/>
      <c r="G197" s="733"/>
      <c r="H197" s="733"/>
    </row>
    <row r="198" spans="1:8">
      <c r="A198" s="734" t="s">
        <v>464</v>
      </c>
      <c r="B198" s="738">
        <f>INDEX(LINEST(D212:D360,E212:I360,TRUE,TRUE),2,2)</f>
        <v>0.51711155715077906</v>
      </c>
      <c r="C198" s="733"/>
      <c r="D198" s="733"/>
      <c r="E198" s="733"/>
      <c r="F198" s="733"/>
      <c r="G198" s="733"/>
      <c r="H198" s="733"/>
    </row>
    <row r="199" spans="1:8">
      <c r="A199" s="734" t="s">
        <v>465</v>
      </c>
      <c r="B199" s="738">
        <f>INDEX(LINEST(D212:D360,E212:I360,TRUE,TRUE),2,1)</f>
        <v>0.56467016588086361</v>
      </c>
      <c r="C199" s="733"/>
      <c r="D199" s="733"/>
      <c r="E199" s="733"/>
      <c r="F199" s="733"/>
      <c r="G199" s="733"/>
      <c r="H199" s="733"/>
    </row>
    <row r="200" spans="1:8">
      <c r="A200" s="739" t="s">
        <v>466</v>
      </c>
      <c r="B200" s="740">
        <f>2.7664%</f>
        <v>2.7664000000000001E-2</v>
      </c>
      <c r="C200" s="733"/>
      <c r="D200" s="733"/>
      <c r="E200" s="733"/>
      <c r="F200" s="733"/>
      <c r="G200" s="733"/>
      <c r="H200" s="733"/>
    </row>
    <row r="201" spans="1:8">
      <c r="A201" s="741" t="s">
        <v>448</v>
      </c>
      <c r="B201" s="732">
        <f>INDEX(LINEST(D212:D360,E212:I360,TRUE,TRUE),3,1)</f>
        <v>0.3246687999535065</v>
      </c>
      <c r="C201" s="733"/>
      <c r="D201" s="733"/>
      <c r="E201" s="733"/>
      <c r="F201" s="733"/>
      <c r="G201" s="733"/>
      <c r="H201" s="733"/>
    </row>
    <row r="203" spans="1:8">
      <c r="A203" s="1108" t="s">
        <v>467</v>
      </c>
      <c r="B203" s="1109"/>
      <c r="C203" s="1109"/>
      <c r="D203" s="1109"/>
      <c r="E203" s="1110"/>
    </row>
    <row r="204" spans="1:8">
      <c r="A204" s="697" t="s">
        <v>435</v>
      </c>
      <c r="B204" s="707">
        <f>B13</f>
        <v>4.4600000000000001E-2</v>
      </c>
      <c r="C204" s="230" t="s">
        <v>450</v>
      </c>
    </row>
    <row r="205" spans="1:8">
      <c r="A205" s="697" t="s">
        <v>451</v>
      </c>
      <c r="B205" s="707">
        <v>1.5095000000000001E-2</v>
      </c>
      <c r="C205" s="230" t="s">
        <v>468</v>
      </c>
    </row>
    <row r="206" spans="1:8">
      <c r="A206" s="697" t="s">
        <v>453</v>
      </c>
      <c r="B206" s="707">
        <v>3.7096999999999998E-2</v>
      </c>
      <c r="C206" s="230" t="s">
        <v>469</v>
      </c>
    </row>
    <row r="207" spans="1:8">
      <c r="A207" s="697" t="s">
        <v>470</v>
      </c>
      <c r="B207" s="707">
        <v>3.0199E-2</v>
      </c>
      <c r="C207" s="230" t="s">
        <v>471</v>
      </c>
    </row>
    <row r="208" spans="1:8">
      <c r="A208" s="697" t="s">
        <v>472</v>
      </c>
      <c r="B208" s="707">
        <v>2.9485999999999998E-2</v>
      </c>
      <c r="C208" s="230" t="s">
        <v>473</v>
      </c>
    </row>
    <row r="209" spans="1:9">
      <c r="A209" s="728" t="s">
        <v>400</v>
      </c>
      <c r="B209" s="729">
        <f ca="1">B12+B13*B189+B190*B205+B191*B206+B192*B207+B193*B208</f>
        <v>-1.6019147699658016E-2</v>
      </c>
    </row>
    <row r="210" spans="1:9">
      <c r="A210" s="708"/>
      <c r="B210" s="709"/>
    </row>
    <row r="211" spans="1:9">
      <c r="A211" s="691" t="s">
        <v>342</v>
      </c>
      <c r="B211" s="721" t="s">
        <v>455</v>
      </c>
      <c r="C211" s="691" t="s">
        <v>456</v>
      </c>
      <c r="D211" s="691" t="s">
        <v>457</v>
      </c>
      <c r="E211" s="691" t="s">
        <v>458</v>
      </c>
      <c r="F211" s="691" t="s">
        <v>459</v>
      </c>
      <c r="G211" s="691" t="s">
        <v>460</v>
      </c>
      <c r="H211" s="691" t="s">
        <v>474</v>
      </c>
      <c r="I211" s="691" t="s">
        <v>475</v>
      </c>
    </row>
    <row r="212" spans="1:9">
      <c r="A212" s="726">
        <v>45135</v>
      </c>
      <c r="B212" s="723">
        <v>-1.2039903680769459E-3</v>
      </c>
      <c r="C212" s="723">
        <v>1.000400080007902E-3</v>
      </c>
      <c r="D212" s="723">
        <v>-2.204390448084848E-3</v>
      </c>
      <c r="E212" s="723">
        <v>9.5464758580756648E-3</v>
      </c>
      <c r="F212" s="723">
        <v>2.01845428521974E-3</v>
      </c>
      <c r="G212" s="723">
        <v>9.3224978883161835E-3</v>
      </c>
      <c r="H212" s="723">
        <v>6.8305458917206066E-3</v>
      </c>
      <c r="I212" s="723">
        <v>-2.236555385393801E-3</v>
      </c>
    </row>
    <row r="213" spans="1:9">
      <c r="A213" s="727">
        <v>45142</v>
      </c>
      <c r="B213" s="725">
        <v>0.14138109178577579</v>
      </c>
      <c r="C213" s="725">
        <v>1.000400080007902E-3</v>
      </c>
      <c r="D213" s="725">
        <v>0.14038069170576789</v>
      </c>
      <c r="E213" s="725">
        <v>-2.2380161145620799E-2</v>
      </c>
      <c r="F213" s="725">
        <v>9.2922427737875957E-3</v>
      </c>
      <c r="G213" s="725">
        <v>1.6382303954598051E-2</v>
      </c>
      <c r="H213" s="725">
        <v>4.235508036576352E-4</v>
      </c>
      <c r="I213" s="725">
        <v>-5.3382315878437447E-3</v>
      </c>
    </row>
    <row r="214" spans="1:9">
      <c r="A214" s="726">
        <v>45149</v>
      </c>
      <c r="B214" s="723">
        <v>-5.9344196338765309E-3</v>
      </c>
      <c r="C214" s="723">
        <v>1.000400080007902E-3</v>
      </c>
      <c r="D214" s="723">
        <v>-6.9348197138844334E-3</v>
      </c>
      <c r="E214" s="723">
        <v>-5.8545578757581707E-3</v>
      </c>
      <c r="F214" s="723">
        <v>-1.209957999427291E-2</v>
      </c>
      <c r="G214" s="723">
        <v>4.7596634654774039E-3</v>
      </c>
      <c r="H214" s="723">
        <v>1.737771062998306E-2</v>
      </c>
      <c r="I214" s="723">
        <v>2.5959000606488041E-3</v>
      </c>
    </row>
    <row r="215" spans="1:9">
      <c r="A215" s="727">
        <v>45156</v>
      </c>
      <c r="B215" s="725">
        <v>-5.7472427400586779E-2</v>
      </c>
      <c r="C215" s="725">
        <v>1.000400080007902E-3</v>
      </c>
      <c r="D215" s="725">
        <v>-5.847282748059468E-2</v>
      </c>
      <c r="E215" s="725">
        <v>-2.298596601203096E-2</v>
      </c>
      <c r="F215" s="725">
        <v>-1.109547477376005E-2</v>
      </c>
      <c r="G215" s="725">
        <v>-1.6658271150212681E-2</v>
      </c>
      <c r="H215" s="725">
        <v>1.255576787024615E-2</v>
      </c>
      <c r="I215" s="725">
        <v>-5.0101388127370416E-3</v>
      </c>
    </row>
    <row r="216" spans="1:9">
      <c r="A216" s="726">
        <v>45163</v>
      </c>
      <c r="B216" s="723">
        <v>2.53354804079442E-2</v>
      </c>
      <c r="C216" s="723">
        <v>1.000400080007902E-3</v>
      </c>
      <c r="D216" s="723">
        <v>2.4335080327936302E-2</v>
      </c>
      <c r="E216" s="723">
        <v>6.1123586239479888E-3</v>
      </c>
      <c r="F216" s="723">
        <v>-1.3255641625560701E-2</v>
      </c>
      <c r="G216" s="723">
        <v>-1.6962587615926731E-2</v>
      </c>
      <c r="H216" s="723">
        <v>-3.7284564924148218E-3</v>
      </c>
      <c r="I216" s="723">
        <v>-1.0991319633668841E-2</v>
      </c>
    </row>
    <row r="217" spans="1:9">
      <c r="A217" s="727">
        <v>45170</v>
      </c>
      <c r="B217" s="725">
        <v>7.0306774159773822E-2</v>
      </c>
      <c r="C217" s="725">
        <v>1.000400080007902E-3</v>
      </c>
      <c r="D217" s="725">
        <v>6.930637407976592E-2</v>
      </c>
      <c r="E217" s="725">
        <v>2.7426132230397471E-2</v>
      </c>
      <c r="F217" s="725">
        <v>7.4888482635089293E-3</v>
      </c>
      <c r="G217" s="725">
        <v>6.280754808347E-3</v>
      </c>
      <c r="H217" s="725">
        <v>-1.610048698000077E-3</v>
      </c>
      <c r="I217" s="725">
        <v>-8.5770677349870095E-3</v>
      </c>
    </row>
    <row r="218" spans="1:9">
      <c r="A218" s="726">
        <v>45177</v>
      </c>
      <c r="B218" s="723">
        <v>1.0516018586451461E-2</v>
      </c>
      <c r="C218" s="723">
        <v>8.0024003200152016E-4</v>
      </c>
      <c r="D218" s="723">
        <v>9.7157785544499404E-3</v>
      </c>
      <c r="E218" s="723">
        <v>-1.523150753603186E-2</v>
      </c>
      <c r="F218" s="723">
        <v>-2.737971017924834E-2</v>
      </c>
      <c r="G218" s="723">
        <v>-6.3275826154721706E-3</v>
      </c>
      <c r="H218" s="723">
        <v>-6.499455249385111E-3</v>
      </c>
      <c r="I218" s="723">
        <v>-3.605550998048157E-3</v>
      </c>
    </row>
    <row r="219" spans="1:9">
      <c r="A219" s="727">
        <v>45184</v>
      </c>
      <c r="B219" s="725">
        <v>-1.7279767666989351E-2</v>
      </c>
      <c r="C219" s="725">
        <v>1.000400080007902E-3</v>
      </c>
      <c r="D219" s="725">
        <v>-1.8280167746997249E-2</v>
      </c>
      <c r="E219" s="725">
        <v>-2.942921002781373E-3</v>
      </c>
      <c r="F219" s="725">
        <v>-4.3562871515585577E-3</v>
      </c>
      <c r="G219" s="725">
        <v>1.4092447755447161E-2</v>
      </c>
      <c r="H219" s="725">
        <v>4.6533622933251362E-3</v>
      </c>
      <c r="I219" s="725">
        <v>7.3895845380755887E-5</v>
      </c>
    </row>
    <row r="220" spans="1:9">
      <c r="A220" s="726">
        <v>45191</v>
      </c>
      <c r="B220" s="723">
        <v>-3.728513027631386E-2</v>
      </c>
      <c r="C220" s="723">
        <v>1.000400080007902E-3</v>
      </c>
      <c r="D220" s="723">
        <v>-3.8285530356321762E-2</v>
      </c>
      <c r="E220" s="723">
        <v>-3.1488313571050967E-2</v>
      </c>
      <c r="F220" s="723">
        <v>-7.4131884392864E-3</v>
      </c>
      <c r="G220" s="723">
        <v>-4.2464949508014271E-4</v>
      </c>
      <c r="H220" s="723">
        <v>1.548996954992732E-2</v>
      </c>
      <c r="I220" s="723">
        <v>6.9054745703684972E-3</v>
      </c>
    </row>
    <row r="221" spans="1:9">
      <c r="A221" s="727">
        <v>45198</v>
      </c>
      <c r="B221" s="725">
        <v>3.0952624577918589E-2</v>
      </c>
      <c r="C221" s="725">
        <v>1.000400080007902E-3</v>
      </c>
      <c r="D221" s="725">
        <v>2.9952224497910691E-2</v>
      </c>
      <c r="E221" s="725">
        <v>-5.7242973185669399E-3</v>
      </c>
      <c r="F221" s="725">
        <v>1.253923511929367E-2</v>
      </c>
      <c r="G221" s="725">
        <v>2.6802808588965998E-3</v>
      </c>
      <c r="H221" s="725">
        <v>6.5876082923952417E-3</v>
      </c>
      <c r="I221" s="725">
        <v>-9.569309622670219E-3</v>
      </c>
    </row>
    <row r="222" spans="1:9">
      <c r="A222" s="726">
        <v>45205</v>
      </c>
      <c r="B222" s="723">
        <v>-1.1413825616594649E-2</v>
      </c>
      <c r="C222" s="723">
        <v>1.000400080007902E-3</v>
      </c>
      <c r="D222" s="723">
        <v>-1.2414225696602549E-2</v>
      </c>
      <c r="E222" s="723">
        <v>1.7852510210756289E-3</v>
      </c>
      <c r="F222" s="723">
        <v>-2.2263159691606419E-2</v>
      </c>
      <c r="G222" s="723">
        <v>-2.007534726638938E-2</v>
      </c>
      <c r="H222" s="723">
        <v>3.3777901202070033E-5</v>
      </c>
      <c r="I222" s="723">
        <v>-1.344331306423896E-2</v>
      </c>
    </row>
    <row r="223" spans="1:9">
      <c r="A223" s="727">
        <v>45212</v>
      </c>
      <c r="B223" s="725">
        <v>-5.4716128708398148E-2</v>
      </c>
      <c r="C223" s="725">
        <v>1.000400080007902E-3</v>
      </c>
      <c r="D223" s="725">
        <v>-5.571652878840605E-2</v>
      </c>
      <c r="E223" s="725">
        <v>1.109459786582168E-3</v>
      </c>
      <c r="F223" s="725">
        <v>-2.297792802863929E-2</v>
      </c>
      <c r="G223" s="725">
        <v>1.437142192324981E-2</v>
      </c>
      <c r="H223" s="725">
        <v>2.5183548369833501E-2</v>
      </c>
      <c r="I223" s="725">
        <v>-1.8229105267000281E-3</v>
      </c>
    </row>
    <row r="224" spans="1:9">
      <c r="A224" s="726">
        <v>45219</v>
      </c>
      <c r="B224" s="723">
        <v>-6.5848866231215109E-3</v>
      </c>
      <c r="C224" s="723">
        <v>1.000400080007902E-3</v>
      </c>
      <c r="D224" s="723">
        <v>-7.5852867031294116E-3</v>
      </c>
      <c r="E224" s="723">
        <v>-2.4789444945882869E-2</v>
      </c>
      <c r="F224" s="723">
        <v>5.5116454897170541E-3</v>
      </c>
      <c r="G224" s="723">
        <v>4.7005221468165992E-4</v>
      </c>
      <c r="H224" s="723">
        <v>5.7708344218780896E-3</v>
      </c>
      <c r="I224" s="723">
        <v>1.1240271836458369E-2</v>
      </c>
    </row>
    <row r="225" spans="1:9">
      <c r="A225" s="727">
        <v>45226</v>
      </c>
      <c r="B225" s="725">
        <v>-5.6716737050302002E-2</v>
      </c>
      <c r="C225" s="725">
        <v>1.000400080007902E-3</v>
      </c>
      <c r="D225" s="725">
        <v>-5.7717137130309903E-2</v>
      </c>
      <c r="E225" s="725">
        <v>-2.7060609635407021E-2</v>
      </c>
      <c r="F225" s="725">
        <v>6.9529444106719573E-4</v>
      </c>
      <c r="G225" s="725">
        <v>5.5750642554532881E-3</v>
      </c>
      <c r="H225" s="725">
        <v>3.8106781811571011E-3</v>
      </c>
      <c r="I225" s="725">
        <v>-5.9542741815533651E-3</v>
      </c>
    </row>
    <row r="226" spans="1:9">
      <c r="A226" s="726">
        <v>45233</v>
      </c>
      <c r="B226" s="723">
        <v>2.4934829423097771E-3</v>
      </c>
      <c r="C226" s="723">
        <v>1.000400080007902E-3</v>
      </c>
      <c r="D226" s="723">
        <v>1.493082862301875E-3</v>
      </c>
      <c r="E226" s="723">
        <v>5.8788993234915932E-2</v>
      </c>
      <c r="F226" s="723">
        <v>1.470305261685168E-2</v>
      </c>
      <c r="G226" s="723">
        <v>2.4644429660083619E-2</v>
      </c>
      <c r="H226" s="723">
        <v>-2.2060692267190759E-2</v>
      </c>
      <c r="I226" s="723">
        <v>2.1581990177221839E-3</v>
      </c>
    </row>
    <row r="227" spans="1:9">
      <c r="A227" s="727">
        <v>45240</v>
      </c>
      <c r="B227" s="725">
        <v>-3.448275862069083E-3</v>
      </c>
      <c r="C227" s="725">
        <v>1.000400080007902E-3</v>
      </c>
      <c r="D227" s="725">
        <v>-4.448675942076985E-3</v>
      </c>
      <c r="E227" s="725">
        <v>9.1860179981890777E-3</v>
      </c>
      <c r="F227" s="725">
        <v>-4.2095837189393248E-2</v>
      </c>
      <c r="G227" s="725">
        <v>-2.2569300855918791E-2</v>
      </c>
      <c r="H227" s="725">
        <v>1.2311663897870201E-2</v>
      </c>
      <c r="I227" s="725">
        <v>-8.4763111789131207E-3</v>
      </c>
    </row>
    <row r="228" spans="1:9">
      <c r="A228" s="726">
        <v>45247</v>
      </c>
      <c r="B228" s="723">
        <v>4.9350502013727482E-2</v>
      </c>
      <c r="C228" s="723">
        <v>1.000400080007902E-3</v>
      </c>
      <c r="D228" s="723">
        <v>4.835010193371958E-2</v>
      </c>
      <c r="E228" s="723">
        <v>2.4556985168126211E-2</v>
      </c>
      <c r="F228" s="723">
        <v>3.1174977643414259E-2</v>
      </c>
      <c r="G228" s="723">
        <v>1.76434755763295E-2</v>
      </c>
      <c r="H228" s="723">
        <v>-1.829378322715414E-2</v>
      </c>
      <c r="I228" s="723">
        <v>7.7024056356944648E-4</v>
      </c>
    </row>
    <row r="229" spans="1:9">
      <c r="A229" s="727">
        <v>45254</v>
      </c>
      <c r="B229" s="725">
        <v>-1.837937185793825E-2</v>
      </c>
      <c r="C229" s="725">
        <v>8.0024003200152016E-4</v>
      </c>
      <c r="D229" s="725">
        <v>-1.917961188993977E-2</v>
      </c>
      <c r="E229" s="725">
        <v>9.9054755882288514E-3</v>
      </c>
      <c r="F229" s="725">
        <v>-2.5636700998988848E-3</v>
      </c>
      <c r="G229" s="725">
        <v>-7.5955987667367664E-3</v>
      </c>
      <c r="H229" s="725">
        <v>-7.4048602093301774E-3</v>
      </c>
      <c r="I229" s="725">
        <v>-9.0732849077679312E-4</v>
      </c>
    </row>
    <row r="230" spans="1:9">
      <c r="A230" s="726">
        <v>45261</v>
      </c>
      <c r="B230" s="723">
        <v>7.445343906602786E-2</v>
      </c>
      <c r="C230" s="723">
        <v>1.000400080007902E-3</v>
      </c>
      <c r="D230" s="723">
        <v>7.3453038986019958E-2</v>
      </c>
      <c r="E230" s="723">
        <v>9.9072362229573052E-3</v>
      </c>
      <c r="F230" s="723">
        <v>1.9511953683909681E-2</v>
      </c>
      <c r="G230" s="723">
        <v>1.7266343185093239E-2</v>
      </c>
      <c r="H230" s="723">
        <v>-1.275615570872146E-2</v>
      </c>
      <c r="I230" s="723">
        <v>4.7906675016977651E-3</v>
      </c>
    </row>
    <row r="231" spans="1:9">
      <c r="A231" s="727">
        <v>45268</v>
      </c>
      <c r="B231" s="725">
        <v>-1.409461329506434E-2</v>
      </c>
      <c r="C231" s="725">
        <v>1.000400080007902E-3</v>
      </c>
      <c r="D231" s="725">
        <v>-1.509501337507224E-2</v>
      </c>
      <c r="E231" s="725">
        <v>1.939660112636465E-3</v>
      </c>
      <c r="F231" s="725">
        <v>1.017699900715829E-2</v>
      </c>
      <c r="G231" s="725">
        <v>9.8712114718646493E-3</v>
      </c>
      <c r="H231" s="725">
        <v>-4.902475028540132E-3</v>
      </c>
      <c r="I231" s="725">
        <v>2.459044204879524E-3</v>
      </c>
    </row>
    <row r="232" spans="1:9">
      <c r="A232" s="726">
        <v>45275</v>
      </c>
      <c r="B232" s="723">
        <v>0.19338739862757309</v>
      </c>
      <c r="C232" s="723">
        <v>1.000400080007902E-3</v>
      </c>
      <c r="D232" s="723">
        <v>0.19238699854756519</v>
      </c>
      <c r="E232" s="723">
        <v>2.701624994069696E-2</v>
      </c>
      <c r="F232" s="723">
        <v>2.081708897228984E-2</v>
      </c>
      <c r="G232" s="723">
        <v>1.7908887214832751E-2</v>
      </c>
      <c r="H232" s="723">
        <v>-1.138808490900545E-2</v>
      </c>
      <c r="I232" s="723">
        <v>6.6813941993011383E-3</v>
      </c>
    </row>
    <row r="233" spans="1:9">
      <c r="A233" s="727">
        <v>45282</v>
      </c>
      <c r="B233" s="725">
        <v>4.8963234012894263E-2</v>
      </c>
      <c r="C233" s="725">
        <v>1.000400080007902E-3</v>
      </c>
      <c r="D233" s="725">
        <v>4.7962833932886362E-2</v>
      </c>
      <c r="E233" s="725">
        <v>8.6199933164661235E-3</v>
      </c>
      <c r="F233" s="725">
        <v>2.0020512573963201E-2</v>
      </c>
      <c r="G233" s="725">
        <v>5.181763526857619E-3</v>
      </c>
      <c r="H233" s="725">
        <v>-5.3651862654889859E-3</v>
      </c>
      <c r="I233" s="725">
        <v>-1.106496738672802E-3</v>
      </c>
    </row>
    <row r="234" spans="1:9">
      <c r="A234" s="726">
        <v>45289</v>
      </c>
      <c r="B234" s="723">
        <v>-1.2209302325581369E-2</v>
      </c>
      <c r="C234" s="723">
        <v>8.0024003200152016E-4</v>
      </c>
      <c r="D234" s="723">
        <v>-1.3009542357582889E-2</v>
      </c>
      <c r="E234" s="723">
        <v>1.9799189633022958E-3</v>
      </c>
      <c r="F234" s="723">
        <v>-5.391696736627094E-3</v>
      </c>
      <c r="G234" s="723">
        <v>2.1851858808366038E-3</v>
      </c>
      <c r="H234" s="723">
        <v>-2.9334271635454989E-3</v>
      </c>
      <c r="I234" s="723">
        <v>-2.0015648584958971E-3</v>
      </c>
    </row>
    <row r="235" spans="1:9">
      <c r="A235" s="727">
        <v>45296</v>
      </c>
      <c r="B235" s="725">
        <v>-4.9440847557386758E-2</v>
      </c>
      <c r="C235" s="725">
        <v>8.0024003200152016E-4</v>
      </c>
      <c r="D235" s="725">
        <v>-5.0241087589388278E-2</v>
      </c>
      <c r="E235" s="725">
        <v>-1.880351296496496E-2</v>
      </c>
      <c r="F235" s="725">
        <v>-2.528586651084808E-2</v>
      </c>
      <c r="G235" s="725">
        <v>1.394530616435152E-2</v>
      </c>
      <c r="H235" s="725">
        <v>6.8851080376555176E-3</v>
      </c>
      <c r="I235" s="725">
        <v>5.1877037482670474E-3</v>
      </c>
    </row>
    <row r="236" spans="1:9">
      <c r="A236" s="726">
        <v>45303</v>
      </c>
      <c r="B236" s="723">
        <v>4.8208757187085283E-2</v>
      </c>
      <c r="C236" s="723">
        <v>1.000400080007902E-3</v>
      </c>
      <c r="D236" s="723">
        <v>4.7208357107077381E-2</v>
      </c>
      <c r="E236" s="723">
        <v>1.640707218610515E-2</v>
      </c>
      <c r="F236" s="723">
        <v>-1.377637024903311E-2</v>
      </c>
      <c r="G236" s="723">
        <v>-3.5607101006995268E-2</v>
      </c>
      <c r="H236" s="723">
        <v>-4.954411905202849E-3</v>
      </c>
      <c r="I236" s="723">
        <v>-1.174739256206303E-2</v>
      </c>
    </row>
    <row r="237" spans="1:9">
      <c r="A237" s="727">
        <v>45310</v>
      </c>
      <c r="B237" s="725">
        <v>2.514767932489459E-2</v>
      </c>
      <c r="C237" s="725">
        <v>8.0024003200152016E-4</v>
      </c>
      <c r="D237" s="725">
        <v>2.4347439292893069E-2</v>
      </c>
      <c r="E237" s="725">
        <v>9.9123766908868483E-3</v>
      </c>
      <c r="F237" s="725">
        <v>-1.680825807953934E-2</v>
      </c>
      <c r="G237" s="725">
        <v>-5.4354698876124541E-3</v>
      </c>
      <c r="H237" s="725">
        <v>1.093021904326408E-2</v>
      </c>
      <c r="I237" s="725">
        <v>-9.1684380307310853E-3</v>
      </c>
    </row>
    <row r="238" spans="1:9">
      <c r="A238" s="726">
        <v>45317</v>
      </c>
      <c r="B238" s="723">
        <v>1.987981560750729E-2</v>
      </c>
      <c r="C238" s="723">
        <v>1.000400080007902E-3</v>
      </c>
      <c r="D238" s="723">
        <v>1.8879415527499391E-2</v>
      </c>
      <c r="E238" s="723">
        <v>1.033282786918299E-2</v>
      </c>
      <c r="F238" s="723">
        <v>8.9114404785473056E-3</v>
      </c>
      <c r="G238" s="723">
        <v>3.7551369290278469E-3</v>
      </c>
      <c r="H238" s="723">
        <v>-3.112972673165904E-3</v>
      </c>
      <c r="I238" s="723">
        <v>4.7860676804034608E-3</v>
      </c>
    </row>
    <row r="239" spans="1:9">
      <c r="A239" s="727">
        <v>45324</v>
      </c>
      <c r="B239" s="725">
        <v>-0.1226845312563057</v>
      </c>
      <c r="C239" s="725">
        <v>1.000400080007902E-3</v>
      </c>
      <c r="D239" s="725">
        <v>-0.1236849313363136</v>
      </c>
      <c r="E239" s="725">
        <v>1.175626241031247E-2</v>
      </c>
      <c r="F239" s="725">
        <v>-2.2108492365316309E-2</v>
      </c>
      <c r="G239" s="725">
        <v>-1.8882068853034339E-2</v>
      </c>
      <c r="H239" s="725">
        <v>-5.8931363065350961E-3</v>
      </c>
      <c r="I239" s="725">
        <v>-1.519826041171468E-2</v>
      </c>
    </row>
    <row r="240" spans="1:9">
      <c r="A240" s="726">
        <v>45331</v>
      </c>
      <c r="B240" s="723">
        <v>6.3020378122269349E-3</v>
      </c>
      <c r="C240" s="723">
        <v>1.000400080007902E-3</v>
      </c>
      <c r="D240" s="723">
        <v>5.3016377322190333E-3</v>
      </c>
      <c r="E240" s="723">
        <v>1.4843879393424689E-2</v>
      </c>
      <c r="F240" s="723">
        <v>1.0191412835895969E-2</v>
      </c>
      <c r="G240" s="723">
        <v>-2.132972097508945E-2</v>
      </c>
      <c r="H240" s="723">
        <v>-8.7273722434970669E-3</v>
      </c>
      <c r="I240" s="723">
        <v>-1.0011932079541539E-2</v>
      </c>
    </row>
    <row r="241" spans="1:9">
      <c r="A241" s="727">
        <v>45338</v>
      </c>
      <c r="B241" s="725">
        <v>-4.991771804717493E-2</v>
      </c>
      <c r="C241" s="725">
        <v>1.000400080007902E-3</v>
      </c>
      <c r="D241" s="725">
        <v>-5.0918118127182832E-2</v>
      </c>
      <c r="E241" s="725">
        <v>-3.0258053111907879E-3</v>
      </c>
      <c r="F241" s="725">
        <v>9.89594645440528E-3</v>
      </c>
      <c r="G241" s="725">
        <v>1.102033338167829E-2</v>
      </c>
      <c r="H241" s="725">
        <v>-1.01020417769212E-2</v>
      </c>
      <c r="I241" s="725">
        <v>6.8054403191573076E-3</v>
      </c>
    </row>
    <row r="242" spans="1:9">
      <c r="A242" s="726">
        <v>45345</v>
      </c>
      <c r="B242" s="723">
        <v>-1.6358737490377199E-2</v>
      </c>
      <c r="C242" s="723">
        <v>8.0024003200152016E-4</v>
      </c>
      <c r="D242" s="723">
        <v>-1.7158977522378719E-2</v>
      </c>
      <c r="E242" s="723">
        <v>1.275249948989843E-2</v>
      </c>
      <c r="F242" s="723">
        <v>-2.5933079499251051E-2</v>
      </c>
      <c r="G242" s="723">
        <v>-8.2560695979999599E-3</v>
      </c>
      <c r="H242" s="723">
        <v>1.7193476291253781E-2</v>
      </c>
      <c r="I242" s="723">
        <v>-5.6683163506598966E-3</v>
      </c>
    </row>
    <row r="243" spans="1:9">
      <c r="A243" s="727">
        <v>45352</v>
      </c>
      <c r="B243" s="725">
        <v>2.328311485032275E-2</v>
      </c>
      <c r="C243" s="725">
        <v>1.000400080007902E-3</v>
      </c>
      <c r="D243" s="725">
        <v>2.2282714770314849E-2</v>
      </c>
      <c r="E243" s="725">
        <v>1.0299805599145451E-2</v>
      </c>
      <c r="F243" s="725">
        <v>1.129816297428388E-2</v>
      </c>
      <c r="G243" s="725">
        <v>-1.4722385030178089E-3</v>
      </c>
      <c r="H243" s="725">
        <v>-1.862014876939011E-2</v>
      </c>
      <c r="I243" s="725">
        <v>3.1423357805364649E-3</v>
      </c>
    </row>
    <row r="244" spans="1:9">
      <c r="A244" s="726">
        <v>45359</v>
      </c>
      <c r="B244" s="723">
        <v>-1.91204588910121E-3</v>
      </c>
      <c r="C244" s="723">
        <v>1.000400080007902E-3</v>
      </c>
      <c r="D244" s="723">
        <v>-2.912445969109112E-3</v>
      </c>
      <c r="E244" s="723">
        <v>-3.7398088580242739E-3</v>
      </c>
      <c r="F244" s="723">
        <v>-7.0282271791061168E-3</v>
      </c>
      <c r="G244" s="723">
        <v>2.0925984862653291E-2</v>
      </c>
      <c r="H244" s="723">
        <v>-4.3104250694097068E-3</v>
      </c>
      <c r="I244" s="723">
        <v>5.7544316832858211E-3</v>
      </c>
    </row>
    <row r="245" spans="1:9">
      <c r="A245" s="727">
        <v>45366</v>
      </c>
      <c r="B245" s="725">
        <v>-6.8821839080459801E-2</v>
      </c>
      <c r="C245" s="725">
        <v>1.000400080007902E-3</v>
      </c>
      <c r="D245" s="725">
        <v>-6.9822239160467703E-2</v>
      </c>
      <c r="E245" s="725">
        <v>-3.0776758436521501E-3</v>
      </c>
      <c r="F245" s="725">
        <v>-1.9750362123061801E-2</v>
      </c>
      <c r="G245" s="725">
        <v>-5.7011000282901616E-3</v>
      </c>
      <c r="H245" s="725">
        <v>1.869183783580497E-2</v>
      </c>
      <c r="I245" s="725">
        <v>3.548425004725519E-3</v>
      </c>
    </row>
    <row r="246" spans="1:9">
      <c r="A246" s="726">
        <v>45373</v>
      </c>
      <c r="B246" s="723">
        <v>-9.7721545029059165E-3</v>
      </c>
      <c r="C246" s="723">
        <v>1.000400080007902E-3</v>
      </c>
      <c r="D246" s="723">
        <v>-1.077255458291382E-2</v>
      </c>
      <c r="E246" s="723">
        <v>2.2968160995074038E-2</v>
      </c>
      <c r="F246" s="723">
        <v>-1.6696834020762941E-3</v>
      </c>
      <c r="G246" s="723">
        <v>9.0240918134221193E-3</v>
      </c>
      <c r="H246" s="723">
        <v>9.7256471052586946E-3</v>
      </c>
      <c r="I246" s="723">
        <v>-4.5980952771724759E-3</v>
      </c>
    </row>
    <row r="247" spans="1:9">
      <c r="A247" s="727">
        <v>45379</v>
      </c>
      <c r="B247" s="725">
        <v>1.340050901158274E-2</v>
      </c>
      <c r="C247" s="725">
        <v>8.0024003200152016E-4</v>
      </c>
      <c r="D247" s="725">
        <v>1.2600268979581219E-2</v>
      </c>
      <c r="E247" s="725">
        <v>4.5642482619534519E-3</v>
      </c>
      <c r="F247" s="725">
        <v>1.7456668262593841E-2</v>
      </c>
      <c r="G247" s="725">
        <v>2.1334132973657379E-2</v>
      </c>
      <c r="H247" s="725">
        <v>-9.1747128379600085E-3</v>
      </c>
      <c r="I247" s="725">
        <v>7.4058062967021776E-3</v>
      </c>
    </row>
    <row r="248" spans="1:9">
      <c r="A248" s="726">
        <v>45387</v>
      </c>
      <c r="B248" s="723">
        <v>7.7392240274716251E-3</v>
      </c>
      <c r="C248" s="723">
        <v>1.000400080007902E-3</v>
      </c>
      <c r="D248" s="723">
        <v>6.7388239474637226E-3</v>
      </c>
      <c r="E248" s="723">
        <v>-1.1109802472674121E-2</v>
      </c>
      <c r="F248" s="723">
        <v>-1.922746887592541E-2</v>
      </c>
      <c r="G248" s="723">
        <v>-8.0954207114202203E-3</v>
      </c>
      <c r="H248" s="723">
        <v>2.4866070750990681E-3</v>
      </c>
      <c r="I248" s="723">
        <v>-9.6770663168482818E-3</v>
      </c>
    </row>
    <row r="249" spans="1:9">
      <c r="A249" s="727">
        <v>45394</v>
      </c>
      <c r="B249" s="725">
        <v>5.0401790255314882E-2</v>
      </c>
      <c r="C249" s="725">
        <v>1.000400080007902E-3</v>
      </c>
      <c r="D249" s="725">
        <v>4.9401390175306981E-2</v>
      </c>
      <c r="E249" s="725">
        <v>-1.6655688246314249E-2</v>
      </c>
      <c r="F249" s="725">
        <v>-1.0396077031713189E-2</v>
      </c>
      <c r="G249" s="725">
        <v>-1.7230303163053521E-2</v>
      </c>
      <c r="H249" s="725">
        <v>7.0938458402629578E-3</v>
      </c>
      <c r="I249" s="725">
        <v>-1.047214872962254E-2</v>
      </c>
    </row>
    <row r="250" spans="1:9">
      <c r="A250" s="726">
        <v>45401</v>
      </c>
      <c r="B250" s="723">
        <v>-7.2531835568682479E-2</v>
      </c>
      <c r="C250" s="723">
        <v>1.000400080007902E-3</v>
      </c>
      <c r="D250" s="723">
        <v>-7.3532235648690381E-2</v>
      </c>
      <c r="E250" s="723">
        <v>-3.2117516990751938E-2</v>
      </c>
      <c r="F250" s="723">
        <v>2.5112122881696401E-3</v>
      </c>
      <c r="G250" s="723">
        <v>3.2834243025264609E-2</v>
      </c>
      <c r="H250" s="723">
        <v>4.7730174230169453E-3</v>
      </c>
      <c r="I250" s="723">
        <v>2.274216204512336E-2</v>
      </c>
    </row>
    <row r="251" spans="1:9">
      <c r="A251" s="727">
        <v>45408</v>
      </c>
      <c r="B251" s="725">
        <v>-6.3168885408509623E-2</v>
      </c>
      <c r="C251" s="725">
        <v>1.000400080007902E-3</v>
      </c>
      <c r="D251" s="725">
        <v>-6.4169285488517525E-2</v>
      </c>
      <c r="E251" s="725">
        <v>2.7078779271436652E-2</v>
      </c>
      <c r="F251" s="725">
        <v>-4.2973787842537359E-4</v>
      </c>
      <c r="G251" s="725">
        <v>-4.6669015139881864E-3</v>
      </c>
      <c r="H251" s="725">
        <v>1.483427031026441E-3</v>
      </c>
      <c r="I251" s="725">
        <v>-1.1560975130570529E-2</v>
      </c>
    </row>
    <row r="252" spans="1:9">
      <c r="A252" s="726">
        <v>45415</v>
      </c>
      <c r="B252" s="723">
        <v>2.2680412371134159E-2</v>
      </c>
      <c r="C252" s="723">
        <v>1.000400080007902E-3</v>
      </c>
      <c r="D252" s="723">
        <v>2.168001229112626E-2</v>
      </c>
      <c r="E252" s="723">
        <v>5.545476452310405E-3</v>
      </c>
      <c r="F252" s="723">
        <v>1.686132935951434E-2</v>
      </c>
      <c r="G252" s="723">
        <v>-9.1742419743262582E-3</v>
      </c>
      <c r="H252" s="723">
        <v>-1.3427715044877719E-2</v>
      </c>
      <c r="I252" s="723">
        <v>-7.6362015111649528E-3</v>
      </c>
    </row>
    <row r="253" spans="1:9">
      <c r="A253" s="727">
        <v>45422</v>
      </c>
      <c r="B253" s="725">
        <v>-2.054272013949443E-2</v>
      </c>
      <c r="C253" s="725">
        <v>1.000400080007902E-3</v>
      </c>
      <c r="D253" s="725">
        <v>-2.1543120219502328E-2</v>
      </c>
      <c r="E253" s="725">
        <v>1.6563364663007452E-2</v>
      </c>
      <c r="F253" s="725">
        <v>-7.9306495020916579E-3</v>
      </c>
      <c r="G253" s="725">
        <v>2.9625388665202031E-3</v>
      </c>
      <c r="H253" s="725">
        <v>1.1826134184473419E-2</v>
      </c>
      <c r="I253" s="725">
        <v>-3.0236937515997209E-3</v>
      </c>
    </row>
    <row r="254" spans="1:9">
      <c r="A254" s="726">
        <v>45429</v>
      </c>
      <c r="B254" s="723">
        <v>-1.6689847009732081E-4</v>
      </c>
      <c r="C254" s="723">
        <v>1.000400080007902E-3</v>
      </c>
      <c r="D254" s="723">
        <v>-1.167298550105222E-3</v>
      </c>
      <c r="E254" s="723">
        <v>1.533127760884523E-2</v>
      </c>
      <c r="F254" s="723">
        <v>-1.2308212263782981E-3</v>
      </c>
      <c r="G254" s="723">
        <v>-7.1355844944287483E-4</v>
      </c>
      <c r="H254" s="723">
        <v>-5.8963700873044811E-3</v>
      </c>
      <c r="I254" s="723">
        <v>8.823079147730617E-4</v>
      </c>
    </row>
    <row r="255" spans="1:9">
      <c r="A255" s="727">
        <v>45436</v>
      </c>
      <c r="B255" s="725">
        <v>-6.0427331404406807E-2</v>
      </c>
      <c r="C255" s="725">
        <v>1.000400080007902E-3</v>
      </c>
      <c r="D255" s="725">
        <v>-6.1427731484414709E-2</v>
      </c>
      <c r="E255" s="725">
        <v>-1.867216778713821E-3</v>
      </c>
      <c r="F255" s="725">
        <v>-1.1971529477436521E-2</v>
      </c>
      <c r="G255" s="725">
        <v>-1.55469983503177E-2</v>
      </c>
      <c r="H255" s="725">
        <v>1.6032051189490689E-2</v>
      </c>
      <c r="I255" s="725">
        <v>-2.0147972006460901E-2</v>
      </c>
    </row>
    <row r="256" spans="1:9">
      <c r="A256" s="726">
        <v>45443</v>
      </c>
      <c r="B256" s="723">
        <v>-7.1064787397844387E-2</v>
      </c>
      <c r="C256" s="723">
        <v>8.0024003200152016E-4</v>
      </c>
      <c r="D256" s="723">
        <v>-7.1865027429845907E-2</v>
      </c>
      <c r="E256" s="723">
        <v>-6.6448135670031938E-3</v>
      </c>
      <c r="F256" s="723">
        <v>1.0858405097895259E-2</v>
      </c>
      <c r="G256" s="723">
        <v>2.6653654236801221E-3</v>
      </c>
      <c r="H256" s="723">
        <v>1.8303679500199621E-2</v>
      </c>
      <c r="I256" s="723">
        <v>6.9760867475496813E-3</v>
      </c>
    </row>
    <row r="257" spans="1:9">
      <c r="A257" s="727">
        <v>45450</v>
      </c>
      <c r="B257" s="725">
        <v>4.1438225168940468E-2</v>
      </c>
      <c r="C257" s="725">
        <v>1.000400080007902E-3</v>
      </c>
      <c r="D257" s="725">
        <v>4.0437825088932573E-2</v>
      </c>
      <c r="E257" s="725">
        <v>9.2644875915843805E-3</v>
      </c>
      <c r="F257" s="725">
        <v>-2.7664403018639368E-2</v>
      </c>
      <c r="G257" s="725">
        <v>-1.9276294806851221E-2</v>
      </c>
      <c r="H257" s="725">
        <v>3.7489987560612731E-4</v>
      </c>
      <c r="I257" s="725">
        <v>-1.2260933760162129E-2</v>
      </c>
    </row>
    <row r="258" spans="1:9">
      <c r="A258" s="726">
        <v>45457</v>
      </c>
      <c r="B258" s="723">
        <v>-2.0017140058765981E-2</v>
      </c>
      <c r="C258" s="723">
        <v>1.000400080007902E-3</v>
      </c>
      <c r="D258" s="723">
        <v>-2.1017540138773879E-2</v>
      </c>
      <c r="E258" s="723">
        <v>1.3033254846459339E-2</v>
      </c>
      <c r="F258" s="723">
        <v>-2.096845296901018E-2</v>
      </c>
      <c r="G258" s="723">
        <v>-2.498401068972711E-2</v>
      </c>
      <c r="H258" s="723">
        <v>1.2923991527600929E-2</v>
      </c>
      <c r="I258" s="723">
        <v>-9.3733563467401915E-3</v>
      </c>
    </row>
    <row r="259" spans="1:9">
      <c r="A259" s="727">
        <v>45464</v>
      </c>
      <c r="B259" s="725">
        <v>1.48041726528827E-2</v>
      </c>
      <c r="C259" s="725">
        <v>8.0024003200152016E-4</v>
      </c>
      <c r="D259" s="725">
        <v>1.400393262088118E-2</v>
      </c>
      <c r="E259" s="725">
        <v>5.477331200840041E-3</v>
      </c>
      <c r="F259" s="725">
        <v>-6.8085625338873967E-3</v>
      </c>
      <c r="G259" s="725">
        <v>6.2831862556902429E-3</v>
      </c>
      <c r="H259" s="725">
        <v>-3.1842300782080062E-3</v>
      </c>
      <c r="I259" s="725">
        <v>6.3102274617394816E-3</v>
      </c>
    </row>
    <row r="260" spans="1:9">
      <c r="A260" s="726">
        <v>45471</v>
      </c>
      <c r="B260" s="723">
        <v>8.876031023021036E-2</v>
      </c>
      <c r="C260" s="723">
        <v>1.000400080007902E-3</v>
      </c>
      <c r="D260" s="723">
        <v>8.7759910150202458E-2</v>
      </c>
      <c r="E260" s="723">
        <v>-1.6577877281043211E-5</v>
      </c>
      <c r="F260" s="723">
        <v>1.326966018280662E-2</v>
      </c>
      <c r="G260" s="723">
        <v>5.2913707933048837E-3</v>
      </c>
      <c r="H260" s="723">
        <v>-5.8403207140930169E-3</v>
      </c>
      <c r="I260" s="723">
        <v>-2.4203005793996808E-3</v>
      </c>
    </row>
    <row r="261" spans="1:9">
      <c r="A261" s="727">
        <v>45478</v>
      </c>
      <c r="B261" s="725">
        <v>5.9023066485752951E-2</v>
      </c>
      <c r="C261" s="725">
        <v>8.0024003200152016E-4</v>
      </c>
      <c r="D261" s="725">
        <v>5.8222826453751431E-2</v>
      </c>
      <c r="E261" s="725">
        <v>1.7713260478054101E-2</v>
      </c>
      <c r="F261" s="725">
        <v>-2.5862659410080039E-2</v>
      </c>
      <c r="G261" s="725">
        <v>-2.180496236399598E-2</v>
      </c>
      <c r="H261" s="725">
        <v>6.0897026318336156E-3</v>
      </c>
      <c r="I261" s="725">
        <v>-1.3896840231566119E-2</v>
      </c>
    </row>
    <row r="262" spans="1:9">
      <c r="A262" s="726">
        <v>45485</v>
      </c>
      <c r="B262" s="723">
        <v>-3.1336749946615387E-2</v>
      </c>
      <c r="C262" s="723">
        <v>1.000400080007902E-3</v>
      </c>
      <c r="D262" s="723">
        <v>-3.2337150026623289E-2</v>
      </c>
      <c r="E262" s="723">
        <v>1.0472385362440001E-2</v>
      </c>
      <c r="F262" s="723">
        <v>4.6331135601597177E-2</v>
      </c>
      <c r="G262" s="723">
        <v>2.021516800547252E-2</v>
      </c>
      <c r="H262" s="723">
        <v>-2.0862480630295169E-2</v>
      </c>
      <c r="I262" s="723">
        <v>1.365540598472559E-2</v>
      </c>
    </row>
    <row r="263" spans="1:9">
      <c r="A263" s="727">
        <v>45492</v>
      </c>
      <c r="B263" s="725">
        <v>-2.728024249104433E-2</v>
      </c>
      <c r="C263" s="725">
        <v>1.000400080007902E-3</v>
      </c>
      <c r="D263" s="725">
        <v>-2.8280642571052231E-2</v>
      </c>
      <c r="E263" s="725">
        <v>-1.923401709170736E-2</v>
      </c>
      <c r="F263" s="725">
        <v>3.3631952739603399E-2</v>
      </c>
      <c r="G263" s="725">
        <v>4.3206658933576447E-2</v>
      </c>
      <c r="H263" s="725">
        <v>7.8311308322502882E-3</v>
      </c>
      <c r="I263" s="725">
        <v>-5.4118899241667462E-3</v>
      </c>
    </row>
    <row r="264" spans="1:9">
      <c r="A264" s="726">
        <v>45499</v>
      </c>
      <c r="B264" s="723">
        <v>4.6458923512746608E-3</v>
      </c>
      <c r="C264" s="723">
        <v>1.000400080007902E-3</v>
      </c>
      <c r="D264" s="723">
        <v>3.6454922712667588E-3</v>
      </c>
      <c r="E264" s="723">
        <v>-6.2955098457876391E-3</v>
      </c>
      <c r="F264" s="723">
        <v>3.9944473232965023E-2</v>
      </c>
      <c r="G264" s="723">
        <v>1.6449741305706089E-2</v>
      </c>
      <c r="H264" s="723">
        <v>-6.9926466085881156E-3</v>
      </c>
      <c r="I264" s="723">
        <v>8.5091689360785594E-3</v>
      </c>
    </row>
    <row r="265" spans="1:9">
      <c r="A265" s="727">
        <v>45506</v>
      </c>
      <c r="B265" s="725">
        <v>-0.18971351229415731</v>
      </c>
      <c r="C265" s="725">
        <v>1.000400080007902E-3</v>
      </c>
      <c r="D265" s="725">
        <v>-0.19071391237416521</v>
      </c>
      <c r="E265" s="725">
        <v>-2.7206283295474139E-2</v>
      </c>
      <c r="F265" s="725">
        <v>-3.6391720948616868E-2</v>
      </c>
      <c r="G265" s="725">
        <v>-1.9057519259080499E-2</v>
      </c>
      <c r="H265" s="725">
        <v>3.3941930108749352E-2</v>
      </c>
      <c r="I265" s="725">
        <v>-4.2972210065661542E-4</v>
      </c>
    </row>
    <row r="266" spans="1:9">
      <c r="A266" s="726">
        <v>45513</v>
      </c>
      <c r="B266" s="723">
        <v>-1.5659799554565649E-2</v>
      </c>
      <c r="C266" s="723">
        <v>1.000400080007902E-3</v>
      </c>
      <c r="D266" s="723">
        <v>-1.666019963457355E-2</v>
      </c>
      <c r="E266" s="723">
        <v>-1.2369781003701561E-3</v>
      </c>
      <c r="F266" s="723">
        <v>-1.4933258879925139E-2</v>
      </c>
      <c r="G266" s="723">
        <v>-1.022625899639573E-2</v>
      </c>
      <c r="H266" s="723">
        <v>1.559366501888704E-3</v>
      </c>
      <c r="I266" s="723">
        <v>-8.8084075937059358E-3</v>
      </c>
    </row>
    <row r="267" spans="1:9">
      <c r="A267" s="727">
        <v>45520</v>
      </c>
      <c r="B267" s="725">
        <v>9.0362723608852447E-2</v>
      </c>
      <c r="C267" s="725">
        <v>1.000400080007902E-3</v>
      </c>
      <c r="D267" s="725">
        <v>8.9362323528844545E-2</v>
      </c>
      <c r="E267" s="725">
        <v>3.9455205861609548E-2</v>
      </c>
      <c r="F267" s="725">
        <v>-7.9116196198838473E-3</v>
      </c>
      <c r="G267" s="725">
        <v>-1.064892607646784E-2</v>
      </c>
      <c r="H267" s="725">
        <v>-9.4806189677222319E-3</v>
      </c>
      <c r="I267" s="725">
        <v>2.7787252504034798E-2</v>
      </c>
    </row>
    <row r="268" spans="1:9">
      <c r="A268" s="726">
        <v>45527</v>
      </c>
      <c r="B268" s="723">
        <v>3.7546203229362529E-2</v>
      </c>
      <c r="C268" s="723">
        <v>1.000400080007902E-3</v>
      </c>
      <c r="D268" s="723">
        <v>3.6545803149354628E-2</v>
      </c>
      <c r="E268" s="723">
        <v>1.5017285295538359E-2</v>
      </c>
      <c r="F268" s="723">
        <v>1.9847407639090209E-2</v>
      </c>
      <c r="G268" s="723">
        <v>6.5472513093058904E-3</v>
      </c>
      <c r="H268" s="723">
        <v>-1.063719171058408E-2</v>
      </c>
      <c r="I268" s="723">
        <v>4.8503731829618868E-3</v>
      </c>
    </row>
    <row r="269" spans="1:9">
      <c r="A269" s="727">
        <v>45534</v>
      </c>
      <c r="B269" s="725">
        <v>3.499999999999992E-2</v>
      </c>
      <c r="C269" s="725">
        <v>1.000400080007902E-3</v>
      </c>
      <c r="D269" s="725">
        <v>3.3999599919992018E-2</v>
      </c>
      <c r="E269" s="725">
        <v>9.2467940752527511E-4</v>
      </c>
      <c r="F269" s="725">
        <v>-6.6620574791511622E-3</v>
      </c>
      <c r="G269" s="725">
        <v>1.687027232554161E-2</v>
      </c>
      <c r="H269" s="725">
        <v>6.6993598162097268E-3</v>
      </c>
      <c r="I269" s="725">
        <v>-1.338859920075997E-2</v>
      </c>
    </row>
    <row r="270" spans="1:9">
      <c r="A270" s="726">
        <v>45541</v>
      </c>
      <c r="B270" s="723">
        <v>-2.590579710144925E-2</v>
      </c>
      <c r="C270" s="723">
        <v>8.0024003200152016E-4</v>
      </c>
      <c r="D270" s="723">
        <v>-2.670603713345077E-2</v>
      </c>
      <c r="E270" s="723">
        <v>-4.546807544679754E-2</v>
      </c>
      <c r="F270" s="723">
        <v>-7.4995620442118724E-3</v>
      </c>
      <c r="G270" s="723">
        <v>2.6701798934911651E-3</v>
      </c>
      <c r="H270" s="723">
        <v>4.2777678711050093E-3</v>
      </c>
      <c r="I270" s="723">
        <v>-9.0917908215669696E-3</v>
      </c>
    </row>
    <row r="271" spans="1:9">
      <c r="A271" s="727">
        <v>45548</v>
      </c>
      <c r="B271" s="725">
        <v>1.506416217221496E-2</v>
      </c>
      <c r="C271" s="725">
        <v>1.000400080007902E-3</v>
      </c>
      <c r="D271" s="725">
        <v>1.406376209220706E-2</v>
      </c>
      <c r="E271" s="725">
        <v>4.0938926586352453E-2</v>
      </c>
      <c r="F271" s="725">
        <v>3.4353694647986099E-3</v>
      </c>
      <c r="G271" s="725">
        <v>-3.6140013689169082E-2</v>
      </c>
      <c r="H271" s="725">
        <v>-1.249340165513591E-2</v>
      </c>
      <c r="I271" s="725">
        <v>1.0423836104589411E-2</v>
      </c>
    </row>
    <row r="272" spans="1:9">
      <c r="A272" s="726">
        <v>45555</v>
      </c>
      <c r="B272" s="723">
        <v>-4.0307805056797319E-3</v>
      </c>
      <c r="C272" s="723">
        <v>1.000400080007902E-3</v>
      </c>
      <c r="D272" s="723">
        <v>-5.0311805856876326E-3</v>
      </c>
      <c r="E272" s="723">
        <v>1.494768029904159E-2</v>
      </c>
      <c r="F272" s="723">
        <v>5.747895053332952E-3</v>
      </c>
      <c r="G272" s="723">
        <v>8.9580905214043938E-3</v>
      </c>
      <c r="H272" s="723">
        <v>8.5168265502033602E-3</v>
      </c>
      <c r="I272" s="723">
        <v>-1.511259199433179E-2</v>
      </c>
    </row>
    <row r="273" spans="1:9">
      <c r="A273" s="727">
        <v>45562</v>
      </c>
      <c r="B273" s="725">
        <v>-1.140544518027975E-2</v>
      </c>
      <c r="C273" s="725">
        <v>1.000400080007902E-3</v>
      </c>
      <c r="D273" s="725">
        <v>-1.2405845260287649E-2</v>
      </c>
      <c r="E273" s="725">
        <v>4.9935119393609284E-3</v>
      </c>
      <c r="F273" s="725">
        <v>-9.4586745025624364E-3</v>
      </c>
      <c r="G273" s="725">
        <v>-3.8600651080442638E-3</v>
      </c>
      <c r="H273" s="725">
        <v>-2.823806581780719E-3</v>
      </c>
      <c r="I273" s="725">
        <v>1.212136856596757E-2</v>
      </c>
    </row>
    <row r="274" spans="1:9">
      <c r="A274" s="726">
        <v>45569</v>
      </c>
      <c r="B274" s="723">
        <v>6.0662448827688793E-2</v>
      </c>
      <c r="C274" s="723">
        <v>1.000400080007902E-3</v>
      </c>
      <c r="D274" s="723">
        <v>5.9662048747680892E-2</v>
      </c>
      <c r="E274" s="723">
        <v>1.79245597625477E-3</v>
      </c>
      <c r="F274" s="723">
        <v>-1.1788334338991509E-2</v>
      </c>
      <c r="G274" s="723">
        <v>3.9998365422757587E-3</v>
      </c>
      <c r="H274" s="723">
        <v>5.8401906368472636E-3</v>
      </c>
      <c r="I274" s="723">
        <v>-4.3266192859991998E-4</v>
      </c>
    </row>
    <row r="275" spans="1:9">
      <c r="A275" s="727">
        <v>45576</v>
      </c>
      <c r="B275" s="725">
        <v>9.3918128654970845E-2</v>
      </c>
      <c r="C275" s="725">
        <v>1.000400080007902E-3</v>
      </c>
      <c r="D275" s="725">
        <v>9.2917728574962943E-2</v>
      </c>
      <c r="E275" s="725">
        <v>1.1324985289483671E-2</v>
      </c>
      <c r="F275" s="725">
        <v>-5.3141898946772459E-3</v>
      </c>
      <c r="G275" s="725">
        <v>2.1048991506007479E-3</v>
      </c>
      <c r="H275" s="725">
        <v>-9.5101696000845504E-3</v>
      </c>
      <c r="I275" s="725">
        <v>9.105582557494607E-3</v>
      </c>
    </row>
    <row r="276" spans="1:9">
      <c r="A276" s="726">
        <v>45583</v>
      </c>
      <c r="B276" s="723">
        <v>2.480487544103482E-2</v>
      </c>
      <c r="C276" s="723">
        <v>1.000400080007902E-3</v>
      </c>
      <c r="D276" s="723">
        <v>2.3804475361026919E-2</v>
      </c>
      <c r="E276" s="723">
        <v>8.0618287366158725E-3</v>
      </c>
      <c r="F276" s="723">
        <v>1.3883798255987619E-2</v>
      </c>
      <c r="G276" s="723">
        <v>1.540086623498693E-3</v>
      </c>
      <c r="H276" s="723">
        <v>-9.8813258677651339E-3</v>
      </c>
      <c r="I276" s="723">
        <v>9.2986461610551352E-3</v>
      </c>
    </row>
    <row r="277" spans="1:9">
      <c r="A277" s="727">
        <v>45590</v>
      </c>
      <c r="B277" s="725">
        <v>-1.5492957746478851E-2</v>
      </c>
      <c r="C277" s="725">
        <v>1.000400080007902E-3</v>
      </c>
      <c r="D277" s="725">
        <v>-1.6493357826486751E-2</v>
      </c>
      <c r="E277" s="725">
        <v>-1.1589011142325471E-2</v>
      </c>
      <c r="F277" s="725">
        <v>-1.8331975426430058E-2</v>
      </c>
      <c r="G277" s="725">
        <v>-6.5624212115303893E-3</v>
      </c>
      <c r="H277" s="725">
        <v>2.5976929373232589E-3</v>
      </c>
      <c r="I277" s="725">
        <v>-6.0070290779470348E-3</v>
      </c>
    </row>
    <row r="278" spans="1:9">
      <c r="A278" s="726">
        <v>45597</v>
      </c>
      <c r="B278" s="723">
        <v>0.18873523022307001</v>
      </c>
      <c r="C278" s="723">
        <v>1.000400080007902E-3</v>
      </c>
      <c r="D278" s="723">
        <v>0.18773483014306211</v>
      </c>
      <c r="E278" s="723">
        <v>-1.1323834945268899E-2</v>
      </c>
      <c r="F278" s="723">
        <v>1.5826047634539101E-2</v>
      </c>
      <c r="G278" s="723">
        <v>-1.8785222186602499E-3</v>
      </c>
      <c r="H278" s="723">
        <v>-4.5348917282110879E-3</v>
      </c>
      <c r="I278" s="723">
        <v>-2.0486755030024731E-4</v>
      </c>
    </row>
    <row r="279" spans="1:9">
      <c r="A279" s="727">
        <v>45604</v>
      </c>
      <c r="B279" s="725">
        <v>5.9950969467350117E-2</v>
      </c>
      <c r="C279" s="725">
        <v>1.000400080007902E-3</v>
      </c>
      <c r="D279" s="725">
        <v>5.8950569387342222E-2</v>
      </c>
      <c r="E279" s="725">
        <v>5.1025447576842353E-2</v>
      </c>
      <c r="F279" s="725">
        <v>3.5159788600195092E-2</v>
      </c>
      <c r="G279" s="725">
        <v>-4.0264687257239862E-3</v>
      </c>
      <c r="H279" s="725">
        <v>-6.6930491199008726E-3</v>
      </c>
      <c r="I279" s="725">
        <v>-1.340112810140015E-2</v>
      </c>
    </row>
    <row r="280" spans="1:9">
      <c r="A280" s="726">
        <v>45611</v>
      </c>
      <c r="B280" s="723">
        <v>9.4196804037005588E-3</v>
      </c>
      <c r="C280" s="723">
        <v>1.000400080007902E-3</v>
      </c>
      <c r="D280" s="723">
        <v>8.4192803236926572E-3</v>
      </c>
      <c r="E280" s="723">
        <v>-2.257576410043427E-2</v>
      </c>
      <c r="F280" s="723">
        <v>-2.1985970923696248E-2</v>
      </c>
      <c r="G280" s="723">
        <v>3.5929092655436527E-2</v>
      </c>
      <c r="H280" s="723">
        <v>9.5572020982057637E-3</v>
      </c>
      <c r="I280" s="723">
        <v>-2.043731854894371E-3</v>
      </c>
    </row>
    <row r="281" spans="1:9">
      <c r="A281" s="727">
        <v>45618</v>
      </c>
      <c r="B281" s="725">
        <v>8.5569071821363085E-2</v>
      </c>
      <c r="C281" s="725">
        <v>1.000400080007902E-3</v>
      </c>
      <c r="D281" s="725">
        <v>8.4568671741355184E-2</v>
      </c>
      <c r="E281" s="725">
        <v>2.136967231922204E-2</v>
      </c>
      <c r="F281" s="725">
        <v>2.2604833939576571E-2</v>
      </c>
      <c r="G281" s="725">
        <v>-1.029143188865822E-2</v>
      </c>
      <c r="H281" s="725">
        <v>-2.046240853642067E-2</v>
      </c>
      <c r="I281" s="725">
        <v>-6.7436458203051775E-4</v>
      </c>
    </row>
    <row r="282" spans="1:9">
      <c r="A282" s="726">
        <v>45625</v>
      </c>
      <c r="B282" s="723">
        <v>1.1512779184895241E-2</v>
      </c>
      <c r="C282" s="723">
        <v>8.0024003200152016E-4</v>
      </c>
      <c r="D282" s="723">
        <v>1.071253915289372E-2</v>
      </c>
      <c r="E282" s="723">
        <v>9.808460669346708E-3</v>
      </c>
      <c r="F282" s="723">
        <v>6.0679632405673534E-3</v>
      </c>
      <c r="G282" s="723">
        <v>-6.1392528348545028E-3</v>
      </c>
      <c r="H282" s="723">
        <v>-5.3276305027982751E-4</v>
      </c>
      <c r="I282" s="723">
        <v>-3.8152897417501612E-3</v>
      </c>
    </row>
    <row r="283" spans="1:9">
      <c r="A283" s="727">
        <v>45632</v>
      </c>
      <c r="B283" s="725">
        <v>5.6605205250777717E-2</v>
      </c>
      <c r="C283" s="725">
        <v>1.000400080007902E-3</v>
      </c>
      <c r="D283" s="725">
        <v>5.5604805170769822E-2</v>
      </c>
      <c r="E283" s="725">
        <v>1.041673506420859E-2</v>
      </c>
      <c r="F283" s="725">
        <v>-1.349455470799865E-2</v>
      </c>
      <c r="G283" s="725">
        <v>-2.9824806877008839E-2</v>
      </c>
      <c r="H283" s="725">
        <v>-7.6222325855570539E-3</v>
      </c>
      <c r="I283" s="725">
        <v>-1.3739580908190271E-2</v>
      </c>
    </row>
    <row r="284" spans="1:9">
      <c r="A284" s="726">
        <v>45639</v>
      </c>
      <c r="B284" s="723">
        <v>5.3859964093350143E-4</v>
      </c>
      <c r="C284" s="723">
        <v>1.000400080007902E-3</v>
      </c>
      <c r="D284" s="723">
        <v>-4.6180043907440021E-4</v>
      </c>
      <c r="E284" s="723">
        <v>-8.950030642657314E-3</v>
      </c>
      <c r="F284" s="723">
        <v>-9.4110236615996268E-3</v>
      </c>
      <c r="G284" s="723">
        <v>-2.2294479867959178E-3</v>
      </c>
      <c r="H284" s="723">
        <v>2.4597301118616469E-2</v>
      </c>
      <c r="I284" s="723">
        <v>-1.295380514562228E-2</v>
      </c>
    </row>
    <row r="285" spans="1:9">
      <c r="A285" s="727">
        <v>45646</v>
      </c>
      <c r="B285" s="725">
        <v>-7.6762964292122704E-2</v>
      </c>
      <c r="C285" s="725">
        <v>1.000400080007902E-3</v>
      </c>
      <c r="D285" s="725">
        <v>-7.7763364372130606E-2</v>
      </c>
      <c r="E285" s="725">
        <v>-2.2828861440948311E-2</v>
      </c>
      <c r="F285" s="725">
        <v>-1.912520927007888E-2</v>
      </c>
      <c r="G285" s="725">
        <v>-1.4464131254510629E-2</v>
      </c>
      <c r="H285" s="725">
        <v>-9.0520542252660041E-3</v>
      </c>
      <c r="I285" s="725">
        <v>5.8235590299828832E-3</v>
      </c>
    </row>
    <row r="286" spans="1:9">
      <c r="A286" s="726">
        <v>45653</v>
      </c>
      <c r="B286" s="723">
        <v>-2.7792894348130259E-2</v>
      </c>
      <c r="C286" s="723">
        <v>8.0024003200152016E-4</v>
      </c>
      <c r="D286" s="723">
        <v>-2.8593134380131779E-2</v>
      </c>
      <c r="E286" s="723">
        <v>5.4662143607793201E-3</v>
      </c>
      <c r="F286" s="723">
        <v>-3.5960648277280072E-3</v>
      </c>
      <c r="G286" s="723">
        <v>1.181878440100093E-3</v>
      </c>
      <c r="H286" s="723">
        <v>1.4798615252520351E-3</v>
      </c>
      <c r="I286" s="723">
        <v>6.7886028370518492E-3</v>
      </c>
    </row>
    <row r="287" spans="1:9">
      <c r="A287" s="727">
        <v>45660</v>
      </c>
      <c r="B287" s="725">
        <v>6.3971852384958616E-4</v>
      </c>
      <c r="C287" s="725">
        <v>8.0024003200152016E-4</v>
      </c>
      <c r="D287" s="725">
        <v>-1.60521508151934E-4</v>
      </c>
      <c r="E287" s="725">
        <v>-3.85327710300154E-3</v>
      </c>
      <c r="F287" s="725">
        <v>8.4228282893599182E-3</v>
      </c>
      <c r="G287" s="725">
        <v>2.3035225277674432E-3</v>
      </c>
      <c r="H287" s="725">
        <v>-1.0366475574994821E-2</v>
      </c>
      <c r="I287" s="725">
        <v>1.164011197488213E-2</v>
      </c>
    </row>
    <row r="288" spans="1:9">
      <c r="A288" s="726">
        <v>45667</v>
      </c>
      <c r="B288" s="723">
        <v>-3.1485995125264843E-2</v>
      </c>
      <c r="C288" s="723">
        <v>8.0024003200152016E-4</v>
      </c>
      <c r="D288" s="723">
        <v>-3.2286235157266363E-2</v>
      </c>
      <c r="E288" s="723">
        <v>-2.0788010294049971E-2</v>
      </c>
      <c r="F288" s="723">
        <v>-1.8594385377130099E-2</v>
      </c>
      <c r="G288" s="723">
        <v>2.2619589054910789E-3</v>
      </c>
      <c r="H288" s="723">
        <v>1.744391742171203E-2</v>
      </c>
      <c r="I288" s="723">
        <v>-1.0231992669999969E-2</v>
      </c>
    </row>
    <row r="289" spans="1:9">
      <c r="A289" s="727">
        <v>45674</v>
      </c>
      <c r="B289" s="725">
        <v>4.1132059903461471E-2</v>
      </c>
      <c r="C289" s="725">
        <v>1.000400080007902E-3</v>
      </c>
      <c r="D289" s="725">
        <v>4.0131659823453569E-2</v>
      </c>
      <c r="E289" s="725">
        <v>2.9908669146789139E-2</v>
      </c>
      <c r="F289" s="725">
        <v>4.3555856741293031E-3</v>
      </c>
      <c r="G289" s="725">
        <v>3.3331990683010071E-2</v>
      </c>
      <c r="H289" s="725">
        <v>4.367739532078474E-4</v>
      </c>
      <c r="I289" s="725">
        <v>-1.006466193985844E-2</v>
      </c>
    </row>
    <row r="290" spans="1:9">
      <c r="A290" s="726">
        <v>45681</v>
      </c>
      <c r="B290" s="723">
        <v>4.9334284355682323E-2</v>
      </c>
      <c r="C290" s="723">
        <v>8.0024003200152016E-4</v>
      </c>
      <c r="D290" s="723">
        <v>4.8534044323680803E-2</v>
      </c>
      <c r="E290" s="723">
        <v>1.717029379215362E-2</v>
      </c>
      <c r="F290" s="723">
        <v>2.047419994071209E-4</v>
      </c>
      <c r="G290" s="723">
        <v>-1.8086263590775701E-2</v>
      </c>
      <c r="H290" s="723">
        <v>-1.2274314615325131E-2</v>
      </c>
      <c r="I290" s="723">
        <v>3.8729501365459829E-3</v>
      </c>
    </row>
    <row r="291" spans="1:9">
      <c r="A291" s="727">
        <v>45688</v>
      </c>
      <c r="B291" s="725">
        <v>0.15849099354253979</v>
      </c>
      <c r="C291" s="725">
        <v>1.000400080007902E-3</v>
      </c>
      <c r="D291" s="725">
        <v>0.15749059346253191</v>
      </c>
      <c r="E291" s="725">
        <v>-9.5480027599063044E-3</v>
      </c>
      <c r="F291" s="725">
        <v>-3.3451991971555911E-4</v>
      </c>
      <c r="G291" s="725">
        <v>1.1013830330665501E-2</v>
      </c>
      <c r="H291" s="725">
        <v>-9.8888667170430322E-3</v>
      </c>
      <c r="I291" s="725">
        <v>-2.361779085433691E-2</v>
      </c>
    </row>
    <row r="292" spans="1:9">
      <c r="A292" s="726">
        <v>45695</v>
      </c>
      <c r="B292" s="723">
        <v>2.4447486798357069E-2</v>
      </c>
      <c r="C292" s="723">
        <v>1.000400080007902E-3</v>
      </c>
      <c r="D292" s="723">
        <v>2.3447086718349171E-2</v>
      </c>
      <c r="E292" s="723">
        <v>-3.6168601970464338E-3</v>
      </c>
      <c r="F292" s="723">
        <v>-3.5832927691331622E-3</v>
      </c>
      <c r="G292" s="723">
        <v>5.0876712538037161E-3</v>
      </c>
      <c r="H292" s="723">
        <v>-1.186731947692787E-2</v>
      </c>
      <c r="I292" s="723">
        <v>1.045061420546878E-2</v>
      </c>
    </row>
    <row r="293" spans="1:9">
      <c r="A293" s="727">
        <v>45702</v>
      </c>
      <c r="B293" s="725">
        <v>-3.754613720249322E-3</v>
      </c>
      <c r="C293" s="725">
        <v>1.000400080007902E-3</v>
      </c>
      <c r="D293" s="725">
        <v>-4.755013800257224E-3</v>
      </c>
      <c r="E293" s="725">
        <v>1.330010949708371E-2</v>
      </c>
      <c r="F293" s="725">
        <v>-1.1667311827953331E-2</v>
      </c>
      <c r="G293" s="725">
        <v>-8.6895164575107042E-4</v>
      </c>
      <c r="H293" s="725">
        <v>-1.610683674007074E-4</v>
      </c>
      <c r="I293" s="725">
        <v>1.629084803555525E-2</v>
      </c>
    </row>
    <row r="294" spans="1:9">
      <c r="A294" s="726">
        <v>45709</v>
      </c>
      <c r="B294" s="723">
        <v>-8.6585755349728566E-2</v>
      </c>
      <c r="C294" s="723">
        <v>8.0024003200152016E-4</v>
      </c>
      <c r="D294" s="723">
        <v>-8.7385995381730086E-2</v>
      </c>
      <c r="E294" s="723">
        <v>-2.1666852154225039E-2</v>
      </c>
      <c r="F294" s="723">
        <v>-2.035943070391211E-2</v>
      </c>
      <c r="G294" s="723">
        <v>6.994141542521648E-3</v>
      </c>
      <c r="H294" s="723">
        <v>1.130743778608889E-2</v>
      </c>
      <c r="I294" s="723">
        <v>8.6240163954247606E-3</v>
      </c>
    </row>
    <row r="295" spans="1:9">
      <c r="A295" s="727">
        <v>45716</v>
      </c>
      <c r="B295" s="725">
        <v>-6.0491625581314823E-3</v>
      </c>
      <c r="C295" s="725">
        <v>1.000400080007902E-3</v>
      </c>
      <c r="D295" s="725">
        <v>-7.0495626381393839E-3</v>
      </c>
      <c r="E295" s="725">
        <v>-1.212186536458781E-2</v>
      </c>
      <c r="F295" s="725">
        <v>-1.483888275782963E-2</v>
      </c>
      <c r="G295" s="725">
        <v>3.8499781192701921E-2</v>
      </c>
      <c r="H295" s="725">
        <v>1.095707265401513E-2</v>
      </c>
      <c r="I295" s="725">
        <v>-3.4639603393307179E-3</v>
      </c>
    </row>
    <row r="296" spans="1:9">
      <c r="A296" s="726">
        <v>45723</v>
      </c>
      <c r="B296" s="723">
        <v>-0.15971293885879109</v>
      </c>
      <c r="C296" s="723">
        <v>1.000400080007902E-3</v>
      </c>
      <c r="D296" s="723">
        <v>-0.16071333893879899</v>
      </c>
      <c r="E296" s="723">
        <v>-3.4715629564847972E-2</v>
      </c>
      <c r="F296" s="723">
        <v>-1.058890871662332E-3</v>
      </c>
      <c r="G296" s="723">
        <v>-1.356294675222358E-2</v>
      </c>
      <c r="H296" s="723">
        <v>1.5955993510609719E-2</v>
      </c>
      <c r="I296" s="723">
        <v>-2.7663988382974351E-3</v>
      </c>
    </row>
    <row r="297" spans="1:9">
      <c r="A297" s="727">
        <v>45730</v>
      </c>
      <c r="B297" s="725">
        <v>-8.5489408021435231E-2</v>
      </c>
      <c r="C297" s="725">
        <v>1.000400080007902E-3</v>
      </c>
      <c r="D297" s="725">
        <v>-8.6489808101443133E-2</v>
      </c>
      <c r="E297" s="725">
        <v>-2.3533158925282741E-2</v>
      </c>
      <c r="F297" s="725">
        <v>-2.5626122115742782E-3</v>
      </c>
      <c r="G297" s="725">
        <v>1.7530639698436271E-2</v>
      </c>
      <c r="H297" s="725">
        <v>-1.6679734284729238E-2</v>
      </c>
      <c r="I297" s="725">
        <v>1.181671342703927E-2</v>
      </c>
    </row>
    <row r="298" spans="1:9">
      <c r="A298" s="726">
        <v>45737</v>
      </c>
      <c r="B298" s="723">
        <v>4.0743453579930478E-2</v>
      </c>
      <c r="C298" s="723">
        <v>1.000400080007902E-3</v>
      </c>
      <c r="D298" s="723">
        <v>3.9743053499922583E-2</v>
      </c>
      <c r="E298" s="723">
        <v>6.1540992226618574E-3</v>
      </c>
      <c r="F298" s="723">
        <v>6.5715139170752224E-5</v>
      </c>
      <c r="G298" s="723">
        <v>3.017316253527413E-3</v>
      </c>
      <c r="H298" s="723">
        <v>-4.0150377963270589E-3</v>
      </c>
      <c r="I298" s="723">
        <v>-6.6946005882200232E-3</v>
      </c>
    </row>
    <row r="299" spans="1:9">
      <c r="A299" s="727">
        <v>45744</v>
      </c>
      <c r="B299" s="725">
        <v>-4.1127826163455561E-2</v>
      </c>
      <c r="C299" s="725">
        <v>1.000400080007902E-3</v>
      </c>
      <c r="D299" s="725">
        <v>-4.2128226243463462E-2</v>
      </c>
      <c r="E299" s="725">
        <v>-1.6940592863183609E-2</v>
      </c>
      <c r="F299" s="725">
        <v>-3.357989233617853E-3</v>
      </c>
      <c r="G299" s="725">
        <v>1.853853029331742E-2</v>
      </c>
      <c r="H299" s="725">
        <v>1.37047877232408E-2</v>
      </c>
      <c r="I299" s="725">
        <v>-6.2411682047263106E-3</v>
      </c>
    </row>
    <row r="300" spans="1:9">
      <c r="A300" s="726">
        <v>45751</v>
      </c>
      <c r="B300" s="723">
        <v>-0.13908894903435939</v>
      </c>
      <c r="C300" s="723">
        <v>1.000400080007902E-3</v>
      </c>
      <c r="D300" s="723">
        <v>-0.1400893491143673</v>
      </c>
      <c r="E300" s="723">
        <v>-9.3111298842383339E-2</v>
      </c>
      <c r="F300" s="723">
        <v>-1.5056820900998249E-3</v>
      </c>
      <c r="G300" s="723">
        <v>-4.8115798225698558E-3</v>
      </c>
      <c r="H300" s="723">
        <v>2.583734160448636E-2</v>
      </c>
      <c r="I300" s="723">
        <v>-1.6497185166551409E-2</v>
      </c>
    </row>
    <row r="301" spans="1:9">
      <c r="A301" s="727">
        <v>45758</v>
      </c>
      <c r="B301" s="725">
        <v>5.7014973091064292E-2</v>
      </c>
      <c r="C301" s="725">
        <v>1.000400080007902E-3</v>
      </c>
      <c r="D301" s="725">
        <v>5.601457301105639E-2</v>
      </c>
      <c r="E301" s="725">
        <v>5.5890793693678553E-2</v>
      </c>
      <c r="F301" s="725">
        <v>-3.6279148994202808E-2</v>
      </c>
      <c r="G301" s="725">
        <v>-3.3673809300829083E-2</v>
      </c>
      <c r="H301" s="725">
        <v>-5.9466274936740282E-3</v>
      </c>
      <c r="I301" s="725">
        <v>-7.3559292489666639E-4</v>
      </c>
    </row>
    <row r="302" spans="1:9">
      <c r="A302" s="726">
        <v>45764</v>
      </c>
      <c r="B302" s="723">
        <v>2.2079951605585402E-2</v>
      </c>
      <c r="C302" s="723">
        <v>8.0024003200152016E-4</v>
      </c>
      <c r="D302" s="723">
        <v>2.1279711573583882E-2</v>
      </c>
      <c r="E302" s="723">
        <v>-1.368999571982954E-2</v>
      </c>
      <c r="F302" s="723">
        <v>2.0016523196518591E-2</v>
      </c>
      <c r="G302" s="723">
        <v>2.8779305722349768E-2</v>
      </c>
      <c r="H302" s="723">
        <v>-9.3285039942783143E-3</v>
      </c>
      <c r="I302" s="723">
        <v>-4.9226032788831642E-3</v>
      </c>
    </row>
    <row r="303" spans="1:9">
      <c r="A303" s="727">
        <v>45772</v>
      </c>
      <c r="B303" s="725">
        <v>0.12789149198520339</v>
      </c>
      <c r="C303" s="725">
        <v>1.000400080007902E-3</v>
      </c>
      <c r="D303" s="725">
        <v>0.12689109190519551</v>
      </c>
      <c r="E303" s="725">
        <v>4.695672132446238E-2</v>
      </c>
      <c r="F303" s="725">
        <v>-2.910603406047763E-3</v>
      </c>
      <c r="G303" s="725">
        <v>-1.7595122549095229E-2</v>
      </c>
      <c r="H303" s="725">
        <v>-2.6478708964991601E-2</v>
      </c>
      <c r="I303" s="725">
        <v>-1.604137471042044E-3</v>
      </c>
    </row>
    <row r="304" spans="1:9">
      <c r="A304" s="726">
        <v>45779</v>
      </c>
      <c r="B304" s="723">
        <v>-8.8333041805142676E-2</v>
      </c>
      <c r="C304" s="723">
        <v>1.000400080007902E-3</v>
      </c>
      <c r="D304" s="723">
        <v>-8.9333441885150577E-2</v>
      </c>
      <c r="E304" s="723">
        <v>2.8647789437360901E-2</v>
      </c>
      <c r="F304" s="723">
        <v>3.635192719423586E-3</v>
      </c>
      <c r="G304" s="723">
        <v>-5.1151404618288154E-3</v>
      </c>
      <c r="H304" s="723">
        <v>2.362124459255099E-3</v>
      </c>
      <c r="I304" s="723">
        <v>-5.2944450210329341E-3</v>
      </c>
    </row>
    <row r="305" spans="1:9">
      <c r="A305" s="727">
        <v>45786</v>
      </c>
      <c r="B305" s="725">
        <v>-4.6047582501917983E-3</v>
      </c>
      <c r="C305" s="725">
        <v>1.000400080007902E-3</v>
      </c>
      <c r="D305" s="725">
        <v>-5.6051583301996999E-3</v>
      </c>
      <c r="E305" s="725">
        <v>-4.2812981838997732E-3</v>
      </c>
      <c r="F305" s="725">
        <v>4.2937264246405427E-3</v>
      </c>
      <c r="G305" s="725">
        <v>5.3672338677452913E-3</v>
      </c>
      <c r="H305" s="725">
        <v>7.7718648869991016E-3</v>
      </c>
      <c r="I305" s="725">
        <v>5.6916625506229224E-3</v>
      </c>
    </row>
    <row r="306" spans="1:9">
      <c r="A306" s="726">
        <v>45793</v>
      </c>
      <c r="B306" s="723">
        <v>6.39456437933692E-2</v>
      </c>
      <c r="C306" s="723">
        <v>1.000400080007902E-3</v>
      </c>
      <c r="D306" s="723">
        <v>6.2945243713361299E-2</v>
      </c>
      <c r="E306" s="723">
        <v>5.3465026110983027E-2</v>
      </c>
      <c r="F306" s="723">
        <v>-6.4232559611768769E-3</v>
      </c>
      <c r="G306" s="723">
        <v>-2.3867636861120919E-2</v>
      </c>
      <c r="H306" s="723">
        <v>-1.122255594914412E-3</v>
      </c>
      <c r="I306" s="723">
        <v>1.6288219291092251E-2</v>
      </c>
    </row>
    <row r="307" spans="1:9">
      <c r="A307" s="727">
        <v>45800</v>
      </c>
      <c r="B307" s="725">
        <v>-6.3272793151863738E-2</v>
      </c>
      <c r="C307" s="725">
        <v>1.000400080007902E-3</v>
      </c>
      <c r="D307" s="725">
        <v>-6.4273193231871639E-2</v>
      </c>
      <c r="E307" s="725">
        <v>-2.749572859204286E-2</v>
      </c>
      <c r="F307" s="725">
        <v>-9.2351387119747885E-3</v>
      </c>
      <c r="G307" s="725">
        <v>-4.8086362510171288E-3</v>
      </c>
      <c r="H307" s="725">
        <v>-2.4456060842041878E-3</v>
      </c>
      <c r="I307" s="725">
        <v>-1.2152084476939611E-3</v>
      </c>
    </row>
    <row r="308" spans="1:9">
      <c r="A308" s="726">
        <v>45807</v>
      </c>
      <c r="B308" s="723">
        <v>3.916449086161844E-3</v>
      </c>
      <c r="C308" s="723">
        <v>8.0024003200152016E-4</v>
      </c>
      <c r="D308" s="723">
        <v>3.1162090541603238E-3</v>
      </c>
      <c r="E308" s="723">
        <v>1.751554266070432E-2</v>
      </c>
      <c r="F308" s="723">
        <v>-4.6169719066804227E-3</v>
      </c>
      <c r="G308" s="723">
        <v>-3.6064824999422211E-3</v>
      </c>
      <c r="H308" s="723">
        <v>1.296372604515428E-3</v>
      </c>
      <c r="I308" s="723">
        <v>5.752044789379962E-3</v>
      </c>
    </row>
    <row r="309" spans="1:9">
      <c r="A309" s="727">
        <v>45814</v>
      </c>
      <c r="B309" s="725">
        <v>3.3135866685931603E-2</v>
      </c>
      <c r="C309" s="725">
        <v>1.000400080007902E-3</v>
      </c>
      <c r="D309" s="725">
        <v>3.2135466605923702E-2</v>
      </c>
      <c r="E309" s="725">
        <v>1.5825115887073919E-2</v>
      </c>
      <c r="F309" s="725">
        <v>1.5946175810884981E-2</v>
      </c>
      <c r="G309" s="725">
        <v>-1.9311431323848719E-2</v>
      </c>
      <c r="H309" s="725">
        <v>-1.403145085312651E-2</v>
      </c>
      <c r="I309" s="725">
        <v>6.5088257359855461E-3</v>
      </c>
    </row>
    <row r="310" spans="1:9">
      <c r="A310" s="726">
        <v>45821</v>
      </c>
      <c r="B310" s="723">
        <v>-8.2467017854645497E-2</v>
      </c>
      <c r="C310" s="723">
        <v>1.000400080007902E-3</v>
      </c>
      <c r="D310" s="723">
        <v>-8.3467417934653398E-2</v>
      </c>
      <c r="E310" s="723">
        <v>-5.6731678461026114E-3</v>
      </c>
      <c r="F310" s="723">
        <v>-1.5864914698691002E-2</v>
      </c>
      <c r="G310" s="723">
        <v>5.3064463290986019E-3</v>
      </c>
      <c r="H310" s="723">
        <v>4.1724359261283714E-3</v>
      </c>
      <c r="I310" s="723">
        <v>-1.216518511335374E-2</v>
      </c>
    </row>
    <row r="311" spans="1:9">
      <c r="A311" s="727">
        <v>45828</v>
      </c>
      <c r="B311" s="725">
        <v>-3.703891880906407E-2</v>
      </c>
      <c r="C311" s="725">
        <v>8.0024003200152016E-4</v>
      </c>
      <c r="D311" s="725">
        <v>-3.783915884106559E-2</v>
      </c>
      <c r="E311" s="725">
        <v>-1.0875683536624161E-3</v>
      </c>
      <c r="F311" s="725">
        <v>4.7926529776518567E-3</v>
      </c>
      <c r="G311" s="725">
        <v>4.1859596822106937E-3</v>
      </c>
      <c r="H311" s="725">
        <v>-7.0165930019999712E-3</v>
      </c>
      <c r="I311" s="725">
        <v>5.2896250837402006E-3</v>
      </c>
    </row>
    <row r="312" spans="1:9">
      <c r="A312" s="726">
        <v>45835</v>
      </c>
      <c r="B312" s="723">
        <v>6.7482720413654773E-2</v>
      </c>
      <c r="C312" s="723">
        <v>1.000400080007902E-3</v>
      </c>
      <c r="D312" s="723">
        <v>6.6482320333646872E-2</v>
      </c>
      <c r="E312" s="723">
        <v>3.4108619436851617E-2</v>
      </c>
      <c r="F312" s="723">
        <v>-4.1323081484401231E-4</v>
      </c>
      <c r="G312" s="723">
        <v>-3.411790309704732E-3</v>
      </c>
      <c r="H312" s="723">
        <v>-1.0040125634805389E-2</v>
      </c>
      <c r="I312" s="723">
        <v>1.182645643266134E-2</v>
      </c>
    </row>
    <row r="313" spans="1:9">
      <c r="A313" s="727">
        <v>45841</v>
      </c>
      <c r="B313" s="725">
        <v>5.540727560300529E-2</v>
      </c>
      <c r="C313" s="725">
        <v>8.0024003200152016E-4</v>
      </c>
      <c r="D313" s="725">
        <v>5.460703557100377E-2</v>
      </c>
      <c r="E313" s="725">
        <v>1.8400661390527869E-2</v>
      </c>
      <c r="F313" s="725">
        <v>2.2364514864560151E-2</v>
      </c>
      <c r="G313" s="725">
        <v>1.9205035013516E-2</v>
      </c>
      <c r="H313" s="725">
        <v>1.4707961968807301E-4</v>
      </c>
      <c r="I313" s="725">
        <v>1.265587099697041E-2</v>
      </c>
    </row>
    <row r="314" spans="1:9">
      <c r="A314" s="726">
        <v>45849</v>
      </c>
      <c r="B314" s="723">
        <v>-0.1241980049641737</v>
      </c>
      <c r="C314" s="723">
        <v>1.000400080007902E-3</v>
      </c>
      <c r="D314" s="723">
        <v>-0.12519840504418159</v>
      </c>
      <c r="E314" s="723">
        <v>-4.8565579252640712E-3</v>
      </c>
      <c r="F314" s="723">
        <v>-1.4523760228035701E-4</v>
      </c>
      <c r="G314" s="723">
        <v>3.5360973022162678E-3</v>
      </c>
      <c r="H314" s="723">
        <v>1.8510163019727079E-3</v>
      </c>
      <c r="I314" s="723">
        <v>2.411493925442709E-4</v>
      </c>
    </row>
    <row r="315" spans="1:9">
      <c r="A315" s="727">
        <v>45856</v>
      </c>
      <c r="B315" s="725">
        <v>4.19763649002729E-2</v>
      </c>
      <c r="C315" s="725">
        <v>1.000400080007902E-3</v>
      </c>
      <c r="D315" s="725">
        <v>4.0975964820264998E-2</v>
      </c>
      <c r="E315" s="725">
        <v>6.3799380783078341E-3</v>
      </c>
      <c r="F315" s="725">
        <v>-7.9289511111383382E-3</v>
      </c>
      <c r="G315" s="725">
        <v>-1.856025865460376E-2</v>
      </c>
      <c r="H315" s="725">
        <v>-1.9187920752676502E-2</v>
      </c>
      <c r="I315" s="725">
        <v>-1.0762659260070031E-2</v>
      </c>
    </row>
    <row r="316" spans="1:9">
      <c r="A316" s="726">
        <v>45863</v>
      </c>
      <c r="B316" s="723">
        <v>4.1773581032536138E-2</v>
      </c>
      <c r="C316" s="723">
        <v>1.000400080007902E-3</v>
      </c>
      <c r="D316" s="723">
        <v>4.0773180952528243E-2</v>
      </c>
      <c r="E316" s="723">
        <v>1.2742540795900309E-2</v>
      </c>
      <c r="F316" s="723">
        <v>1.5162513137623179E-3</v>
      </c>
      <c r="G316" s="723">
        <v>1.905698078285889E-3</v>
      </c>
      <c r="H316" s="723">
        <v>6.11152464625353E-3</v>
      </c>
      <c r="I316" s="723">
        <v>2.9394587942599411E-3</v>
      </c>
    </row>
    <row r="317" spans="1:9">
      <c r="A317" s="727">
        <v>45870</v>
      </c>
      <c r="B317" s="725">
        <v>-9.871921182266008E-2</v>
      </c>
      <c r="C317" s="725">
        <v>1.000400080007902E-3</v>
      </c>
      <c r="D317" s="725">
        <v>-9.9719611902667982E-2</v>
      </c>
      <c r="E317" s="725">
        <v>-2.5047473302572069E-2</v>
      </c>
      <c r="F317" s="725">
        <v>-2.5949138017605011E-2</v>
      </c>
      <c r="G317" s="725">
        <v>-1.9972609756155339E-2</v>
      </c>
      <c r="H317" s="725">
        <v>6.7988018129432337E-3</v>
      </c>
      <c r="I317" s="725">
        <v>-1.989223483397495E-2</v>
      </c>
    </row>
    <row r="318" spans="1:9">
      <c r="A318" s="726">
        <v>45877</v>
      </c>
      <c r="B318" s="723">
        <v>-8.1438565806733698E-2</v>
      </c>
      <c r="C318" s="723">
        <v>1.000400080007902E-3</v>
      </c>
      <c r="D318" s="723">
        <v>-8.24389658867416E-2</v>
      </c>
      <c r="E318" s="723">
        <v>2.3804435321501449E-2</v>
      </c>
      <c r="F318" s="723">
        <v>2.021649060188091E-3</v>
      </c>
      <c r="G318" s="723">
        <v>-8.1622276102236713E-3</v>
      </c>
      <c r="H318" s="723">
        <v>6.8588846400337022E-3</v>
      </c>
      <c r="I318" s="723">
        <v>6.1094705914221947E-4</v>
      </c>
    </row>
    <row r="319" spans="1:9">
      <c r="A319" s="727">
        <v>45884</v>
      </c>
      <c r="B319" s="725">
        <v>-6.3072712126621688E-3</v>
      </c>
      <c r="C319" s="725">
        <v>1.000400080007902E-3</v>
      </c>
      <c r="D319" s="725">
        <v>-7.3076712926700704E-3</v>
      </c>
      <c r="E319" s="725">
        <v>1.025999399326794E-2</v>
      </c>
      <c r="F319" s="725">
        <v>2.4739793410263999E-2</v>
      </c>
      <c r="G319" s="725">
        <v>1.117440388245927E-2</v>
      </c>
      <c r="H319" s="725">
        <v>-7.5178622931703076E-3</v>
      </c>
      <c r="I319" s="725">
        <v>5.46472546487764E-3</v>
      </c>
    </row>
    <row r="320" spans="1:9">
      <c r="A320" s="726">
        <v>45891</v>
      </c>
      <c r="B320" s="723">
        <v>2.2694610778443151E-2</v>
      </c>
      <c r="C320" s="723">
        <v>1.000400080007902E-3</v>
      </c>
      <c r="D320" s="723">
        <v>2.1694210698435249E-2</v>
      </c>
      <c r="E320" s="723">
        <v>3.527498493000047E-3</v>
      </c>
      <c r="F320" s="723">
        <v>2.5042810948513461E-2</v>
      </c>
      <c r="G320" s="723">
        <v>2.839880795283678E-2</v>
      </c>
      <c r="H320" s="723">
        <v>-3.1845283318149291E-3</v>
      </c>
      <c r="I320" s="723">
        <v>1.251237174977415E-2</v>
      </c>
    </row>
    <row r="321" spans="1:9">
      <c r="A321" s="727">
        <v>45898</v>
      </c>
      <c r="B321" s="725">
        <v>4.0927454769014597E-2</v>
      </c>
      <c r="C321" s="725">
        <v>1.000400080007902E-3</v>
      </c>
      <c r="D321" s="725">
        <v>3.9927054689006702E-2</v>
      </c>
      <c r="E321" s="725">
        <v>-1.4519319995602851E-3</v>
      </c>
      <c r="F321" s="725">
        <v>7.6617588861793706E-4</v>
      </c>
      <c r="G321" s="725">
        <v>1.210575816067583E-2</v>
      </c>
      <c r="H321" s="725">
        <v>-5.3250176757997369E-3</v>
      </c>
      <c r="I321" s="725">
        <v>-2.833038668701326E-3</v>
      </c>
    </row>
    <row r="322" spans="1:9">
      <c r="A322" s="726">
        <v>45905</v>
      </c>
      <c r="B322" s="723">
        <v>-3.009337383282706E-2</v>
      </c>
      <c r="C322" s="723">
        <v>8.0024003200152016E-4</v>
      </c>
      <c r="D322" s="723">
        <v>-3.0893613864828581E-2</v>
      </c>
      <c r="E322" s="723">
        <v>4.7428285917174851E-3</v>
      </c>
      <c r="F322" s="723">
        <v>6.4869992372156293E-3</v>
      </c>
      <c r="G322" s="723">
        <v>-6.3155048936319744E-3</v>
      </c>
      <c r="H322" s="723">
        <v>4.8547769064559709E-3</v>
      </c>
      <c r="I322" s="723">
        <v>5.9137938759978859E-4</v>
      </c>
    </row>
    <row r="323" spans="1:9">
      <c r="A323" s="727">
        <v>45912</v>
      </c>
      <c r="B323" s="725">
        <v>1.4150669837035281E-2</v>
      </c>
      <c r="C323" s="725">
        <v>1.000400080007902E-3</v>
      </c>
      <c r="D323" s="725">
        <v>1.3150269757027379E-2</v>
      </c>
      <c r="E323" s="725">
        <v>1.5467452845753901E-2</v>
      </c>
      <c r="F323" s="725">
        <v>-1.9562737012315808E-2</v>
      </c>
      <c r="G323" s="725">
        <v>-3.0217336645035342E-3</v>
      </c>
      <c r="H323" s="725">
        <v>-2.1358203601984371E-3</v>
      </c>
      <c r="I323" s="725">
        <v>-1.0617243519152719E-2</v>
      </c>
    </row>
    <row r="324" spans="1:9">
      <c r="A324" s="726">
        <v>45919</v>
      </c>
      <c r="B324" s="723">
        <v>-3.3281866529421777E-2</v>
      </c>
      <c r="C324" s="723">
        <v>1.000400080007902E-3</v>
      </c>
      <c r="D324" s="723">
        <v>-3.4282266609429679E-2</v>
      </c>
      <c r="E324" s="723">
        <v>1.3146061586795319E-2</v>
      </c>
      <c r="F324" s="723">
        <v>-2.611441144625859E-3</v>
      </c>
      <c r="G324" s="723">
        <v>-4.5719264702326354E-3</v>
      </c>
      <c r="H324" s="723">
        <v>-1.9443817053685589E-2</v>
      </c>
      <c r="I324" s="723">
        <v>-6.4051750276474806E-3</v>
      </c>
    </row>
    <row r="325" spans="1:9">
      <c r="A325" s="727">
        <v>45926</v>
      </c>
      <c r="B325" s="725">
        <v>-1.4196983141082529E-2</v>
      </c>
      <c r="C325" s="725">
        <v>1.000400080007902E-3</v>
      </c>
      <c r="D325" s="725">
        <v>-1.5197383221090431E-2</v>
      </c>
      <c r="E325" s="725">
        <v>-5.0556831654391399E-3</v>
      </c>
      <c r="F325" s="725">
        <v>1.6286450159208601E-4</v>
      </c>
      <c r="G325" s="725">
        <v>1.7579607475812331E-2</v>
      </c>
      <c r="H325" s="725">
        <v>8.8785975730809596E-5</v>
      </c>
      <c r="I325" s="725">
        <v>-3.7153542551651149E-3</v>
      </c>
    </row>
    <row r="326" spans="1:9">
      <c r="A326" s="726">
        <v>45933</v>
      </c>
      <c r="B326" s="723">
        <v>-9.6969696969696928E-2</v>
      </c>
      <c r="C326" s="723">
        <v>1.000400080007902E-3</v>
      </c>
      <c r="D326" s="723">
        <v>-9.797009704970483E-2</v>
      </c>
      <c r="E326" s="723">
        <v>1.013741062273499E-2</v>
      </c>
      <c r="F326" s="723">
        <v>2.969442255331245E-3</v>
      </c>
      <c r="G326" s="723">
        <v>-1.3480105527792E-2</v>
      </c>
      <c r="H326" s="723">
        <v>-1.7037563777015711E-2</v>
      </c>
      <c r="I326" s="723">
        <v>-5.1327600407313767E-4</v>
      </c>
    </row>
    <row r="327" spans="1:9">
      <c r="A327" s="727">
        <v>45940</v>
      </c>
      <c r="B327" s="725">
        <v>-3.9404611602099848E-2</v>
      </c>
      <c r="C327" s="725">
        <v>1.000400080007902E-3</v>
      </c>
      <c r="D327" s="725">
        <v>-4.040501168210775E-2</v>
      </c>
      <c r="E327" s="725">
        <v>-2.5411810381513859E-2</v>
      </c>
      <c r="F327" s="725">
        <v>-1.3770863012661951E-2</v>
      </c>
      <c r="G327" s="725">
        <v>-1.7704216825817909E-2</v>
      </c>
      <c r="H327" s="725">
        <v>-2.3065007674806019E-2</v>
      </c>
      <c r="I327" s="725">
        <v>-1.9683314334888239E-2</v>
      </c>
    </row>
    <row r="328" spans="1:9">
      <c r="A328" s="726">
        <v>45947</v>
      </c>
      <c r="B328" s="723">
        <v>5.1120641947979939E-2</v>
      </c>
      <c r="C328" s="723">
        <v>1.000400080007902E-3</v>
      </c>
      <c r="D328" s="723">
        <v>5.0120241867972037E-2</v>
      </c>
      <c r="E328" s="723">
        <v>1.6457984629929531E-2</v>
      </c>
      <c r="F328" s="723">
        <v>3.713148674399092E-3</v>
      </c>
      <c r="G328" s="723">
        <v>1.139802676164869E-3</v>
      </c>
      <c r="H328" s="723">
        <v>-3.416502040195613E-3</v>
      </c>
      <c r="I328" s="723">
        <v>3.374416112648992E-3</v>
      </c>
    </row>
    <row r="329" spans="1:9">
      <c r="A329" s="727">
        <v>45954</v>
      </c>
      <c r="B329" s="725">
        <v>7.0352089503125992E-2</v>
      </c>
      <c r="C329" s="725">
        <v>1.000400080007902E-3</v>
      </c>
      <c r="D329" s="725">
        <v>6.935168942311809E-2</v>
      </c>
      <c r="E329" s="725">
        <v>1.8738057715110831E-2</v>
      </c>
      <c r="F329" s="725">
        <v>9.0835755936591323E-3</v>
      </c>
      <c r="G329" s="725">
        <v>1.011966944200959E-2</v>
      </c>
      <c r="H329" s="725">
        <v>-8.6829057916776309E-3</v>
      </c>
      <c r="I329" s="725">
        <v>5.0699892725338813E-3</v>
      </c>
    </row>
    <row r="330" spans="1:9">
      <c r="A330" s="726">
        <v>45961</v>
      </c>
      <c r="B330" s="723">
        <v>4.168716182980825E-2</v>
      </c>
      <c r="C330" s="723">
        <v>1.000400080007902E-3</v>
      </c>
      <c r="D330" s="723">
        <v>4.0686761749800349E-2</v>
      </c>
      <c r="E330" s="723">
        <v>5.5754588226530899E-3</v>
      </c>
      <c r="F330" s="723">
        <v>-2.3523123100085971E-2</v>
      </c>
      <c r="G330" s="723">
        <v>-1.9923857240582321E-2</v>
      </c>
      <c r="H330" s="723">
        <v>-1.1640135399247461E-2</v>
      </c>
      <c r="I330" s="723">
        <v>-2.938604402927314E-2</v>
      </c>
    </row>
    <row r="331" spans="1:9">
      <c r="A331" s="727">
        <v>45968</v>
      </c>
      <c r="B331" s="725">
        <v>-6.8409868964702913E-2</v>
      </c>
      <c r="C331" s="725">
        <v>1.000400080007902E-3</v>
      </c>
      <c r="D331" s="725">
        <v>-6.9410269044710815E-2</v>
      </c>
      <c r="E331" s="725">
        <v>-1.8000238170167712E-2</v>
      </c>
      <c r="F331" s="725">
        <v>-6.5843187708818363E-3</v>
      </c>
      <c r="G331" s="725">
        <v>3.3675050191161571E-2</v>
      </c>
      <c r="H331" s="725">
        <v>1.8737837016806761E-2</v>
      </c>
      <c r="I331" s="725">
        <v>1.7555480200119211E-2</v>
      </c>
    </row>
    <row r="332" spans="1:9">
      <c r="A332" s="726">
        <v>45975</v>
      </c>
      <c r="B332" s="723">
        <v>-3.826902363302298E-2</v>
      </c>
      <c r="C332" s="723">
        <v>1.000400080007902E-3</v>
      </c>
      <c r="D332" s="723">
        <v>-3.9269423713030882E-2</v>
      </c>
      <c r="E332" s="723">
        <v>-1.475711167323257E-3</v>
      </c>
      <c r="F332" s="723">
        <v>-2.9122344964375162E-3</v>
      </c>
      <c r="G332" s="723">
        <v>4.1940260811745839E-4</v>
      </c>
      <c r="H332" s="723">
        <v>5.5680760313103761E-3</v>
      </c>
      <c r="I332" s="723">
        <v>-6.1313722639446677E-3</v>
      </c>
    </row>
    <row r="333" spans="1:9">
      <c r="A333" s="727">
        <v>45982</v>
      </c>
      <c r="B333" s="725">
        <v>-3.6300151525133328E-2</v>
      </c>
      <c r="C333" s="725">
        <v>1.000400080007902E-3</v>
      </c>
      <c r="D333" s="725">
        <v>-3.730055160514123E-2</v>
      </c>
      <c r="E333" s="725">
        <v>-2.006304427008054E-2</v>
      </c>
      <c r="F333" s="725">
        <v>1.4044081788077589E-2</v>
      </c>
      <c r="G333" s="725">
        <v>7.3017799500756384E-3</v>
      </c>
      <c r="H333" s="725">
        <v>1.431016493534942E-2</v>
      </c>
      <c r="I333" s="725">
        <v>7.2203523388305602E-3</v>
      </c>
    </row>
    <row r="334" spans="1:9">
      <c r="A334" s="726">
        <v>45989</v>
      </c>
      <c r="B334" s="723">
        <v>2.2149302707137108E-2</v>
      </c>
      <c r="C334" s="723">
        <v>8.0024003200152016E-4</v>
      </c>
      <c r="D334" s="723">
        <v>2.1349062675135588E-2</v>
      </c>
      <c r="E334" s="723">
        <v>3.9333703140814517E-2</v>
      </c>
      <c r="F334" s="723">
        <v>1.2448653029198059E-2</v>
      </c>
      <c r="G334" s="723">
        <v>-6.2350307094385382E-3</v>
      </c>
      <c r="H334" s="723">
        <v>-2.273114008480592E-2</v>
      </c>
      <c r="I334" s="723">
        <v>-1.274766141136952E-2</v>
      </c>
    </row>
    <row r="335" spans="1:9">
      <c r="A335" s="727">
        <v>45996</v>
      </c>
      <c r="B335" s="725">
        <v>6.5609951845907011E-2</v>
      </c>
      <c r="C335" s="725">
        <v>1.000400080007902E-3</v>
      </c>
      <c r="D335" s="725">
        <v>6.4609551765899109E-2</v>
      </c>
      <c r="E335" s="725">
        <v>4.3810231596370652E-3</v>
      </c>
      <c r="F335" s="725">
        <v>3.0942988839568471E-3</v>
      </c>
      <c r="G335" s="725">
        <v>6.5595932502593435E-4</v>
      </c>
      <c r="H335" s="725">
        <v>-8.7770700665603663E-3</v>
      </c>
      <c r="I335" s="725">
        <v>-6.7021546587419101E-3</v>
      </c>
    </row>
    <row r="336" spans="1:9">
      <c r="A336" s="726">
        <v>46003</v>
      </c>
      <c r="B336" s="723">
        <v>1.7008724031883471E-2</v>
      </c>
      <c r="C336" s="723">
        <v>1.000400080007902E-3</v>
      </c>
      <c r="D336" s="723">
        <v>1.6008323951875569E-2</v>
      </c>
      <c r="E336" s="723">
        <v>-6.572907248778348E-3</v>
      </c>
      <c r="F336" s="723">
        <v>2.1452459742413051E-2</v>
      </c>
      <c r="G336" s="723">
        <v>2.8241089466281011E-2</v>
      </c>
      <c r="H336" s="723">
        <v>-3.5004418953832328E-4</v>
      </c>
      <c r="I336" s="723">
        <v>1.201100452960624E-2</v>
      </c>
    </row>
    <row r="337" spans="1:9">
      <c r="A337" s="727">
        <v>46010</v>
      </c>
      <c r="B337" s="725">
        <v>-5.9861762527770868E-3</v>
      </c>
      <c r="C337" s="725">
        <v>1.000400080007902E-3</v>
      </c>
      <c r="D337" s="725">
        <v>-6.9865763327849884E-3</v>
      </c>
      <c r="E337" s="725">
        <v>1.5360186029123041E-4</v>
      </c>
      <c r="F337" s="725">
        <v>-1.048109091870009E-2</v>
      </c>
      <c r="G337" s="725">
        <v>-4.9340366744967668E-3</v>
      </c>
      <c r="H337" s="725">
        <v>8.8005804318047609E-4</v>
      </c>
      <c r="I337" s="725">
        <v>-2.0243590009572099E-4</v>
      </c>
    </row>
    <row r="338" spans="1:9">
      <c r="A338" s="726">
        <v>46017</v>
      </c>
      <c r="B338" s="723">
        <v>1.291364003228423E-2</v>
      </c>
      <c r="C338" s="723">
        <v>8.0024003200152016E-4</v>
      </c>
      <c r="D338" s="723">
        <v>1.2113400000282709E-2</v>
      </c>
      <c r="E338" s="723">
        <v>1.244360317158066E-2</v>
      </c>
      <c r="F338" s="723">
        <v>-9.2013233981239617E-3</v>
      </c>
      <c r="G338" s="723">
        <v>-3.6992851025213769E-3</v>
      </c>
      <c r="H338" s="723">
        <v>5.4536617823264244E-3</v>
      </c>
      <c r="I338" s="723">
        <v>-2.81528725090241E-3</v>
      </c>
    </row>
    <row r="339" spans="1:9">
      <c r="A339" s="727">
        <v>46024</v>
      </c>
      <c r="B339" s="725">
        <v>-5.1425068954949471E-2</v>
      </c>
      <c r="C339" s="725">
        <v>8.0024003200152016E-4</v>
      </c>
      <c r="D339" s="725">
        <v>-5.2225308986950991E-2</v>
      </c>
      <c r="E339" s="725">
        <v>-1.117961607580009E-2</v>
      </c>
      <c r="F339" s="725">
        <v>-5.5987039321639953E-3</v>
      </c>
      <c r="G339" s="725">
        <v>1.152287552243636E-2</v>
      </c>
      <c r="H339" s="725">
        <v>2.78858460017628E-3</v>
      </c>
      <c r="I339" s="725">
        <v>5.303807762441215E-3</v>
      </c>
    </row>
    <row r="340" spans="1:9">
      <c r="A340" s="726">
        <v>46031</v>
      </c>
      <c r="B340" s="723">
        <v>-5.388989402946498E-2</v>
      </c>
      <c r="C340" s="723">
        <v>1.000400080007902E-3</v>
      </c>
      <c r="D340" s="723">
        <v>-5.4890294109472881E-2</v>
      </c>
      <c r="E340" s="723">
        <v>1.7781285305365161E-2</v>
      </c>
      <c r="F340" s="723">
        <v>2.7662951191480541E-2</v>
      </c>
      <c r="G340" s="723">
        <v>-6.3742665944932497E-4</v>
      </c>
      <c r="H340" s="723">
        <v>-3.2974324132694082E-3</v>
      </c>
      <c r="I340" s="723">
        <v>3.5115985026501478E-4</v>
      </c>
    </row>
    <row r="341" spans="1:9">
      <c r="A341" s="727">
        <v>46038</v>
      </c>
      <c r="B341" s="725">
        <v>-0.1903428493375221</v>
      </c>
      <c r="C341" s="725">
        <v>1.000400080007902E-3</v>
      </c>
      <c r="D341" s="725">
        <v>-0.19134324941753</v>
      </c>
      <c r="E341" s="725">
        <v>-4.0128969900509182E-3</v>
      </c>
      <c r="F341" s="725">
        <v>1.564097739947257E-2</v>
      </c>
      <c r="G341" s="725">
        <v>7.3525021751796871E-3</v>
      </c>
      <c r="H341" s="725">
        <v>-5.3200261002233074E-3</v>
      </c>
      <c r="I341" s="725">
        <v>6.4870268285071031E-3</v>
      </c>
    </row>
    <row r="342" spans="1:9">
      <c r="A342" s="726">
        <v>46045</v>
      </c>
      <c r="B342" s="723">
        <v>0.1113454238717841</v>
      </c>
      <c r="C342" s="723">
        <v>8.0024003200152016E-4</v>
      </c>
      <c r="D342" s="723">
        <v>0.1105451838397826</v>
      </c>
      <c r="E342" s="723">
        <v>-4.193247582189974E-3</v>
      </c>
      <c r="F342" s="723">
        <v>5.7659555052096412E-3</v>
      </c>
      <c r="G342" s="723">
        <v>-1.2280632410344161E-4</v>
      </c>
      <c r="H342" s="723">
        <v>-7.8830859360879968E-3</v>
      </c>
      <c r="I342" s="723">
        <v>1.1560541584527679E-3</v>
      </c>
    </row>
    <row r="343" spans="1:9">
      <c r="A343" s="727">
        <v>46052</v>
      </c>
      <c r="B343" s="725">
        <v>-0.1029981024667931</v>
      </c>
      <c r="C343" s="725">
        <v>1.000400080007902E-3</v>
      </c>
      <c r="D343" s="725">
        <v>-0.103998502546801</v>
      </c>
      <c r="E343" s="725">
        <v>-1.73131210137456E-3</v>
      </c>
      <c r="F343" s="725">
        <v>-1.7228324777421311E-2</v>
      </c>
      <c r="G343" s="725">
        <v>2.1923028176695562E-2</v>
      </c>
      <c r="H343" s="725">
        <v>3.7226104705572423E-2</v>
      </c>
      <c r="I343" s="725">
        <v>4.9437982608877551E-3</v>
      </c>
    </row>
    <row r="344" spans="1:9">
      <c r="A344" s="726">
        <v>46059</v>
      </c>
      <c r="B344" s="723">
        <v>-0.1985107463191742</v>
      </c>
      <c r="C344" s="723">
        <v>5.0010001000022619E-4</v>
      </c>
      <c r="D344" s="723">
        <v>-0.1990108463291744</v>
      </c>
      <c r="E344" s="723">
        <v>-6.6448962634102493E-4</v>
      </c>
      <c r="F344" s="723">
        <v>1.694524960955901E-2</v>
      </c>
      <c r="G344" s="723">
        <v>5.1610761717115317E-2</v>
      </c>
      <c r="H344" s="723">
        <v>2.388078871963617E-2</v>
      </c>
      <c r="I344" s="723">
        <v>4.2851552398445403E-2</v>
      </c>
    </row>
    <row r="345" spans="1:9">
      <c r="A345" s="727">
        <v>46066</v>
      </c>
      <c r="B345" s="725">
        <v>-0.1091638513513514</v>
      </c>
      <c r="C345" s="725">
        <v>5.0010001000022619E-4</v>
      </c>
      <c r="D345" s="725">
        <v>-0.1096639513613516</v>
      </c>
      <c r="E345" s="725">
        <v>-1.4751255657829421E-2</v>
      </c>
      <c r="F345" s="725">
        <v>-5.2680288267492603E-4</v>
      </c>
      <c r="G345" s="725">
        <v>6.1536358680152059E-3</v>
      </c>
      <c r="H345" s="725">
        <v>-2.2589996402411219E-4</v>
      </c>
      <c r="I345" s="725">
        <v>8.7004754984953969E-3</v>
      </c>
    </row>
    <row r="346" spans="1:9">
      <c r="A346" s="726">
        <v>46073</v>
      </c>
      <c r="B346" s="723">
        <v>-9.9549656316662571E-2</v>
      </c>
      <c r="C346" s="723">
        <v>4.000600039999469E-4</v>
      </c>
      <c r="D346" s="723">
        <v>-9.9949716320662518E-2</v>
      </c>
      <c r="E346" s="723">
        <v>9.5073371196479073E-3</v>
      </c>
      <c r="F346" s="723">
        <v>-2.2086811693178281E-3</v>
      </c>
      <c r="G346" s="723">
        <v>-4.8039842296784263E-3</v>
      </c>
      <c r="H346" s="723">
        <v>4.6446008204759082E-3</v>
      </c>
      <c r="I346" s="723">
        <v>-1.405865106852255E-3</v>
      </c>
    </row>
    <row r="347" spans="1:9">
      <c r="A347" s="727">
        <v>46080</v>
      </c>
      <c r="B347" s="725">
        <v>-1.1187154514346039E-2</v>
      </c>
      <c r="C347" s="725">
        <v>5.0010001000022619E-4</v>
      </c>
      <c r="D347" s="725">
        <v>-1.1687254524346271E-2</v>
      </c>
      <c r="E347" s="725">
        <v>-5.7427453429703679E-3</v>
      </c>
      <c r="F347" s="725">
        <v>-6.0592644658493677E-3</v>
      </c>
      <c r="G347" s="725">
        <v>-2.4595423472508201E-2</v>
      </c>
      <c r="H347" s="725">
        <v>-1.1106179156556871E-2</v>
      </c>
      <c r="I347" s="725">
        <v>3.3509542546039661E-4</v>
      </c>
    </row>
    <row r="348" spans="1:9">
      <c r="A348" s="726">
        <v>46087</v>
      </c>
      <c r="B348" s="723">
        <v>0.113004126181286</v>
      </c>
      <c r="C348" s="723">
        <v>5.0010001000022619E-4</v>
      </c>
      <c r="D348" s="723">
        <v>0.1125040261712858</v>
      </c>
      <c r="E348" s="723">
        <v>-2.0386489141124061E-2</v>
      </c>
      <c r="F348" s="723">
        <v>-1.053826891040199E-2</v>
      </c>
      <c r="G348" s="723">
        <v>-5.0029955766128786E-3</v>
      </c>
      <c r="H348" s="723">
        <v>-6.8569510342508799E-3</v>
      </c>
      <c r="I348" s="723">
        <v>-1.7792970678254139E-2</v>
      </c>
    </row>
    <row r="349" spans="1:9">
      <c r="A349" s="727">
        <v>46094</v>
      </c>
      <c r="B349" s="725">
        <v>-0.1005740253527866</v>
      </c>
      <c r="C349" s="725">
        <v>5.0010001000022619E-4</v>
      </c>
      <c r="D349" s="725">
        <v>-0.1010741253627868</v>
      </c>
      <c r="E349" s="725">
        <v>-1.703986723024542E-2</v>
      </c>
      <c r="F349" s="725">
        <v>-5.1929999979635211E-3</v>
      </c>
      <c r="G349" s="725">
        <v>1.716125878178598E-3</v>
      </c>
      <c r="H349" s="725">
        <v>-2.6586211572333651E-3</v>
      </c>
      <c r="I349" s="725">
        <v>-5.0175819803699451E-3</v>
      </c>
    </row>
    <row r="350" spans="1:9">
      <c r="A350" s="726">
        <v>46101</v>
      </c>
      <c r="B350" s="723">
        <v>-1.9678234277356599E-2</v>
      </c>
      <c r="C350" s="723">
        <v>5.0010001000022619E-4</v>
      </c>
      <c r="D350" s="723">
        <v>-2.0178334287356822E-2</v>
      </c>
      <c r="E350" s="723">
        <v>-1.9780234406100768E-2</v>
      </c>
      <c r="F350" s="723">
        <v>1.0592108780085321E-3</v>
      </c>
      <c r="G350" s="723">
        <v>1.2100496483814061E-2</v>
      </c>
      <c r="H350" s="723">
        <v>-9.9412404104135543E-3</v>
      </c>
      <c r="I350" s="723">
        <v>4.691338075714313E-3</v>
      </c>
    </row>
    <row r="351" spans="1:9">
      <c r="A351" s="727">
        <v>46108</v>
      </c>
      <c r="B351" s="725">
        <v>-0.1167774311677743</v>
      </c>
      <c r="C351" s="725">
        <v>5.0010001000022619E-4</v>
      </c>
      <c r="D351" s="725">
        <v>-0.11727753117777449</v>
      </c>
      <c r="E351" s="725">
        <v>-2.0006578148674681E-2</v>
      </c>
      <c r="F351" s="725">
        <v>2.5098632580630609E-2</v>
      </c>
      <c r="G351" s="725">
        <v>3.7302869268790888E-2</v>
      </c>
      <c r="H351" s="725">
        <v>1.3078864999087609E-3</v>
      </c>
      <c r="I351" s="725">
        <v>2.6830554131993981E-2</v>
      </c>
    </row>
    <row r="352" spans="1:9">
      <c r="A352" s="726">
        <v>46114</v>
      </c>
      <c r="B352" s="723">
        <v>4.8679361179361218E-2</v>
      </c>
      <c r="C352" s="723">
        <v>4.000600039999469E-4</v>
      </c>
      <c r="D352" s="723">
        <v>4.8279301175361271E-2</v>
      </c>
      <c r="E352" s="723">
        <v>3.3272344183744577E-2</v>
      </c>
      <c r="F352" s="723">
        <v>1.3668998805931309E-3</v>
      </c>
      <c r="G352" s="723">
        <v>-9.4036491396992661E-3</v>
      </c>
      <c r="H352" s="723">
        <v>-1.8730432286500062E-2</v>
      </c>
      <c r="I352" s="723">
        <v>-1.663302142776002E-2</v>
      </c>
    </row>
    <row r="353" spans="1:9">
      <c r="A353" s="727">
        <v>46122</v>
      </c>
      <c r="B353" s="725">
        <v>-0.16312783716503149</v>
      </c>
      <c r="C353" s="725">
        <v>5.0010001000022619E-4</v>
      </c>
      <c r="D353" s="725">
        <v>-0.16362793717503171</v>
      </c>
      <c r="E353" s="725">
        <v>3.3008073540975243E-2</v>
      </c>
      <c r="F353" s="725">
        <v>4.1959430377702667E-3</v>
      </c>
      <c r="G353" s="725">
        <v>8.9169717677060056E-3</v>
      </c>
      <c r="H353" s="725">
        <v>1.353650012220275E-2</v>
      </c>
      <c r="I353" s="725">
        <v>-1.1174759519637419E-2</v>
      </c>
    </row>
    <row r="354" spans="1:9">
      <c r="A354" s="726">
        <v>46129</v>
      </c>
      <c r="B354" s="723">
        <v>0.17130358705161861</v>
      </c>
      <c r="C354" s="723">
        <v>5.0010001000022619E-4</v>
      </c>
      <c r="D354" s="723">
        <v>0.17080348704161841</v>
      </c>
      <c r="E354" s="723">
        <v>4.7130949057980542E-2</v>
      </c>
      <c r="F354" s="723">
        <v>8.0737794436058774E-3</v>
      </c>
      <c r="G354" s="723">
        <v>-4.0930837375095508E-2</v>
      </c>
      <c r="H354" s="723">
        <v>-2.9262370972268029E-2</v>
      </c>
      <c r="I354" s="723">
        <v>-1.644517903034182E-2</v>
      </c>
    </row>
    <row r="355" spans="1:9">
      <c r="A355" s="727">
        <v>46136</v>
      </c>
      <c r="B355" s="725">
        <v>6.886764266507317E-2</v>
      </c>
      <c r="C355" s="725">
        <v>5.0010001000022619E-4</v>
      </c>
      <c r="D355" s="725">
        <v>6.8367542655072944E-2</v>
      </c>
      <c r="E355" s="725">
        <v>2.9983840781138138E-3</v>
      </c>
      <c r="F355" s="725">
        <v>-5.1129243897058974E-3</v>
      </c>
      <c r="G355" s="725">
        <v>4.9390602471344192E-3</v>
      </c>
      <c r="H355" s="725">
        <v>-8.8751031677413161E-3</v>
      </c>
      <c r="I355" s="725">
        <v>-6.7002767333566027E-3</v>
      </c>
    </row>
    <row r="356" spans="1:9">
      <c r="A356" s="726">
        <v>46143</v>
      </c>
      <c r="B356" s="723">
        <v>0.24220824598183091</v>
      </c>
      <c r="C356" s="723">
        <v>6.0014001600072753E-4</v>
      </c>
      <c r="D356" s="723">
        <v>0.24160810596583021</v>
      </c>
      <c r="E356" s="723">
        <v>8.2483199931129292E-3</v>
      </c>
      <c r="F356" s="723">
        <v>-4.1135593830240458E-3</v>
      </c>
      <c r="G356" s="723">
        <v>8.8321406261253621E-3</v>
      </c>
      <c r="H356" s="723">
        <v>-1.272721004781519E-2</v>
      </c>
      <c r="I356" s="723">
        <v>5.5514896237949252E-3</v>
      </c>
    </row>
    <row r="357" spans="1:9">
      <c r="A357" s="727">
        <v>46150</v>
      </c>
      <c r="B357" s="725">
        <v>3.0603060306030549E-2</v>
      </c>
      <c r="C357" s="725">
        <v>1.000400080007902E-3</v>
      </c>
      <c r="D357" s="725">
        <v>2.9602660226022651E-2</v>
      </c>
      <c r="E357" s="725">
        <v>2.175817197427854E-2</v>
      </c>
      <c r="F357" s="725">
        <v>-1.25714060982296E-2</v>
      </c>
      <c r="G357" s="725">
        <v>-6.1216491768116832E-3</v>
      </c>
      <c r="H357" s="725">
        <v>-2.9434630874772161E-2</v>
      </c>
      <c r="I357" s="725">
        <v>-1.264828013294483E-2</v>
      </c>
    </row>
    <row r="358" spans="1:9">
      <c r="A358" s="726">
        <v>46157</v>
      </c>
      <c r="B358" s="723">
        <v>-4.5196506550218341E-2</v>
      </c>
      <c r="C358" s="723">
        <v>1.000400080007902E-3</v>
      </c>
      <c r="D358" s="723">
        <v>-4.6196906630226242E-2</v>
      </c>
      <c r="E358" s="723">
        <v>-1.3357412158818689E-3</v>
      </c>
      <c r="F358" s="723">
        <v>-2.3189793141891731E-2</v>
      </c>
      <c r="G358" s="723">
        <v>-1.9281305694851762E-2</v>
      </c>
      <c r="H358" s="723">
        <v>1.0584006283804509E-2</v>
      </c>
      <c r="I358" s="723">
        <v>-1.4445540942441441E-2</v>
      </c>
    </row>
    <row r="359" spans="1:9">
      <c r="A359" s="727">
        <v>46164</v>
      </c>
      <c r="B359" s="725">
        <v>-2.3324948547907561E-2</v>
      </c>
      <c r="C359" s="725">
        <v>1.000400080007902E-3</v>
      </c>
      <c r="D359" s="725">
        <v>-2.4325348627915459E-2</v>
      </c>
      <c r="E359" s="725">
        <v>9.1373811287331907E-3</v>
      </c>
      <c r="F359" s="725">
        <v>7.2583973122264389E-3</v>
      </c>
      <c r="G359" s="725">
        <v>1.8589771345099759E-2</v>
      </c>
      <c r="H359" s="725">
        <v>-2.115995650058999E-2</v>
      </c>
      <c r="I359" s="725">
        <v>1.6787237820635289E-2</v>
      </c>
    </row>
    <row r="360" spans="1:9">
      <c r="A360" s="726">
        <v>46171</v>
      </c>
      <c r="B360" s="723">
        <v>0.2597752282837742</v>
      </c>
      <c r="C360" s="723">
        <v>8.0024003200152016E-4</v>
      </c>
      <c r="D360" s="723">
        <v>0.25897498825177268</v>
      </c>
      <c r="E360" s="723">
        <v>1.537174648754891E-2</v>
      </c>
      <c r="F360" s="723">
        <v>1.034000681985336E-4</v>
      </c>
      <c r="G360" s="723">
        <v>-9.3860465955940553E-3</v>
      </c>
      <c r="H360" s="723">
        <v>-2.962119088262738E-2</v>
      </c>
      <c r="I360" s="723">
        <v>-3.603600514870076E-3</v>
      </c>
    </row>
  </sheetData>
  <mergeCells count="8">
    <mergeCell ref="A187:H187"/>
    <mergeCell ref="A203:E203"/>
    <mergeCell ref="A1:H1"/>
    <mergeCell ref="A2:H2"/>
    <mergeCell ref="A4:E4"/>
    <mergeCell ref="A11:E11"/>
    <mergeCell ref="A17:H17"/>
    <mergeCell ref="A29:E29"/>
  </mergeCells>
  <phoneticPr fontId="25" type="noConversion"/>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91740-5768-4016-AF3A-BF9CB635D8EF}">
  <sheetPr codeName="Sheet13">
    <tabColor rgb="FF004AAC"/>
  </sheetPr>
  <dimension ref="A1:F179"/>
  <sheetViews>
    <sheetView showGridLines="0" zoomScale="103" workbookViewId="0">
      <selection activeCell="H24" sqref="H24"/>
    </sheetView>
  </sheetViews>
  <sheetFormatPr defaultColWidth="8.7265625" defaultRowHeight="12"/>
  <cols>
    <col min="1" max="1" width="17.7265625" style="230" bestFit="1" customWidth="1"/>
    <col min="2" max="2" width="9.1796875" style="230" bestFit="1" customWidth="1"/>
    <col min="3" max="4" width="8.7265625" style="230"/>
    <col min="5" max="5" width="11.453125" style="230" bestFit="1" customWidth="1"/>
    <col min="6" max="6" width="14" style="230" bestFit="1" customWidth="1"/>
    <col min="7" max="7" width="12.453125" style="230" bestFit="1" customWidth="1"/>
    <col min="8" max="16384" width="8.7265625" style="230"/>
  </cols>
  <sheetData>
    <row r="1" spans="1:6">
      <c r="A1" s="265" t="s">
        <v>476</v>
      </c>
    </row>
    <row r="2" spans="1:6">
      <c r="A2" s="265" t="s">
        <v>89</v>
      </c>
    </row>
    <row r="3" spans="1:6">
      <c r="A3" s="265"/>
    </row>
    <row r="5" spans="1:6">
      <c r="A5" s="1116" t="s">
        <v>477</v>
      </c>
      <c r="B5" s="1116"/>
      <c r="C5" s="1116"/>
      <c r="D5" s="1116"/>
      <c r="E5" s="1116"/>
      <c r="F5" s="1116"/>
    </row>
    <row r="6" spans="1:6">
      <c r="A6" s="1116"/>
      <c r="B6" s="1116"/>
      <c r="C6" s="1116"/>
      <c r="D6" s="1116"/>
      <c r="E6" s="1116"/>
      <c r="F6" s="1116"/>
    </row>
    <row r="7" spans="1:6">
      <c r="A7" s="1117" t="s">
        <v>478</v>
      </c>
      <c r="B7" s="1117"/>
      <c r="C7" s="1117"/>
      <c r="D7" s="1117"/>
      <c r="E7" s="1117"/>
      <c r="F7" s="1117"/>
    </row>
    <row r="9" spans="1:6">
      <c r="A9" s="1105" t="s">
        <v>479</v>
      </c>
      <c r="B9" s="1105"/>
    </row>
    <row r="10" spans="1:6">
      <c r="A10" s="265" t="s">
        <v>480</v>
      </c>
      <c r="B10" s="304">
        <f>SLOPE(F24:F179,E24:E179)</f>
        <v>1.3828231152806203</v>
      </c>
    </row>
    <row r="11" spans="1:6">
      <c r="A11" s="265" t="s">
        <v>481</v>
      </c>
      <c r="B11" s="304">
        <f>INDEX(LINEST(F24:F179,E24:E179,TRUE(),TRUE()),2,1)</f>
        <v>0.28108573341094667</v>
      </c>
    </row>
    <row r="12" spans="1:6">
      <c r="A12" s="265" t="s">
        <v>482</v>
      </c>
      <c r="B12" s="304">
        <f>INTERCEPT(F24:F179,E24:E179)</f>
        <v>-5.8823767271802829E-3</v>
      </c>
    </row>
    <row r="13" spans="1:6">
      <c r="A13" s="265" t="s">
        <v>448</v>
      </c>
      <c r="B13" s="304">
        <f>RSQ(F24:F179,E24:E179)</f>
        <v>0.13581335670187153</v>
      </c>
    </row>
    <row r="14" spans="1:6">
      <c r="A14" s="265" t="s">
        <v>483</v>
      </c>
      <c r="B14" s="304">
        <f>B10/B11</f>
        <v>4.9195777334559212</v>
      </c>
    </row>
    <row r="15" spans="1:6">
      <c r="A15" s="265" t="s">
        <v>484</v>
      </c>
      <c r="B15" s="230">
        <f>COUNT(F24:F179)</f>
        <v>156</v>
      </c>
    </row>
    <row r="16" spans="1:6">
      <c r="A16" s="265" t="s">
        <v>485</v>
      </c>
      <c r="B16" s="508">
        <v>1.1960999999999999E-2</v>
      </c>
    </row>
    <row r="18" spans="1:6" ht="12" customHeight="1">
      <c r="A18" s="1100" t="s">
        <v>486</v>
      </c>
      <c r="B18" s="1100"/>
    </row>
    <row r="19" spans="1:6">
      <c r="A19" s="265" t="s">
        <v>406</v>
      </c>
      <c r="B19" s="296">
        <f ca="1">'DCS Detail'!D5</f>
        <v>4.9749999999999996E-2</v>
      </c>
    </row>
    <row r="20" spans="1:6">
      <c r="A20" s="265" t="s">
        <v>487</v>
      </c>
      <c r="B20" s="296">
        <f>'DCS Detail'!D6</f>
        <v>4.4600000000000001E-2</v>
      </c>
    </row>
    <row r="22" spans="1:6">
      <c r="A22" s="301" t="s">
        <v>342</v>
      </c>
      <c r="B22" s="301" t="s">
        <v>488</v>
      </c>
      <c r="C22" s="301" t="s">
        <v>489</v>
      </c>
      <c r="E22" s="301" t="s">
        <v>490</v>
      </c>
      <c r="F22" s="301" t="s">
        <v>455</v>
      </c>
    </row>
    <row r="23" spans="1:6">
      <c r="A23" s="302">
        <v>45128</v>
      </c>
      <c r="B23" s="303">
        <v>4536.3385370154701</v>
      </c>
      <c r="C23" s="230">
        <v>174.42</v>
      </c>
    </row>
    <row r="24" spans="1:6">
      <c r="A24" s="302">
        <v>45135</v>
      </c>
      <c r="B24" s="303">
        <v>4582.2313253436796</v>
      </c>
      <c r="C24" s="230">
        <v>174.21</v>
      </c>
      <c r="E24" s="270">
        <v>1.011670270058884E-2</v>
      </c>
      <c r="F24" s="270">
        <v>-1.2039903680769459E-3</v>
      </c>
    </row>
    <row r="25" spans="1:6">
      <c r="A25" s="302">
        <v>45142</v>
      </c>
      <c r="B25" s="303">
        <v>4478.0338430669499</v>
      </c>
      <c r="C25" s="230">
        <v>198.84</v>
      </c>
      <c r="E25" s="270">
        <v>-2.2739463566675E-2</v>
      </c>
      <c r="F25" s="270">
        <v>0.14138109178577579</v>
      </c>
    </row>
    <row r="26" spans="1:6">
      <c r="A26" s="302">
        <v>45149</v>
      </c>
      <c r="B26" s="303">
        <v>4464.05456257282</v>
      </c>
      <c r="C26" s="230">
        <v>197.66</v>
      </c>
      <c r="E26" s="270">
        <v>-3.1217451640686011E-3</v>
      </c>
      <c r="F26" s="270">
        <v>-5.9344196338765309E-3</v>
      </c>
    </row>
    <row r="27" spans="1:6">
      <c r="A27" s="302">
        <v>45156</v>
      </c>
      <c r="B27" s="303">
        <v>4369.7115006548001</v>
      </c>
      <c r="C27" s="230">
        <v>186.3</v>
      </c>
      <c r="E27" s="270">
        <v>-2.1133940142444411E-2</v>
      </c>
      <c r="F27" s="270">
        <v>-5.7472427400586779E-2</v>
      </c>
    </row>
    <row r="28" spans="1:6">
      <c r="A28" s="302">
        <v>45163</v>
      </c>
      <c r="B28" s="303">
        <v>4405.7057310530399</v>
      </c>
      <c r="C28" s="230">
        <v>191.02</v>
      </c>
      <c r="E28" s="270">
        <v>8.2372098004286354E-3</v>
      </c>
      <c r="F28" s="270">
        <v>2.53354804079442E-2</v>
      </c>
    </row>
    <row r="29" spans="1:6">
      <c r="A29" s="302">
        <v>45170</v>
      </c>
      <c r="B29" s="303">
        <v>4515.7673961699902</v>
      </c>
      <c r="C29" s="230">
        <v>204.45</v>
      </c>
      <c r="E29" s="270">
        <v>2.4981619707642899E-2</v>
      </c>
      <c r="F29" s="270">
        <v>7.0306774159773822E-2</v>
      </c>
    </row>
    <row r="30" spans="1:6">
      <c r="A30" s="302">
        <v>45177</v>
      </c>
      <c r="B30" s="303">
        <v>4457.4893085653903</v>
      </c>
      <c r="C30" s="230">
        <v>206.6</v>
      </c>
      <c r="E30" s="270">
        <v>-1.29054671093175E-2</v>
      </c>
      <c r="F30" s="270">
        <v>1.0516018586451461E-2</v>
      </c>
    </row>
    <row r="31" spans="1:6">
      <c r="A31" s="302">
        <v>45184</v>
      </c>
      <c r="B31" s="303">
        <v>4450.3162831822201</v>
      </c>
      <c r="C31" s="230">
        <v>203.03</v>
      </c>
      <c r="E31" s="270">
        <v>-1.6092075351447079E-3</v>
      </c>
      <c r="F31" s="270">
        <v>-1.7279767666989351E-2</v>
      </c>
    </row>
    <row r="32" spans="1:6">
      <c r="A32" s="302">
        <v>45191</v>
      </c>
      <c r="B32" s="303">
        <v>4320.0571265804701</v>
      </c>
      <c r="C32" s="230">
        <v>195.46</v>
      </c>
      <c r="E32" s="270">
        <v>-2.9269640248716811E-2</v>
      </c>
      <c r="F32" s="270">
        <v>-3.728513027631386E-2</v>
      </c>
    </row>
    <row r="33" spans="1:6">
      <c r="A33" s="302">
        <v>45198</v>
      </c>
      <c r="B33" s="303">
        <v>4288.05412263992</v>
      </c>
      <c r="C33" s="230">
        <v>201.51</v>
      </c>
      <c r="E33" s="270">
        <v>-7.4080048024461886E-3</v>
      </c>
      <c r="F33" s="270">
        <v>3.0952624577918589E-2</v>
      </c>
    </row>
    <row r="34" spans="1:6">
      <c r="A34" s="302">
        <v>45205</v>
      </c>
      <c r="B34" s="303">
        <v>4308.5022592667101</v>
      </c>
      <c r="C34" s="230">
        <v>199.21</v>
      </c>
      <c r="E34" s="270">
        <v>4.7686283899330828E-3</v>
      </c>
      <c r="F34" s="270">
        <v>-1.1413825616594649E-2</v>
      </c>
    </row>
    <row r="35" spans="1:6">
      <c r="A35" s="302">
        <v>45212</v>
      </c>
      <c r="B35" s="303">
        <v>4327.7830272462797</v>
      </c>
      <c r="C35" s="230">
        <v>188.31</v>
      </c>
      <c r="E35" s="270">
        <v>4.4750511475537547E-3</v>
      </c>
      <c r="F35" s="270">
        <v>-5.4716128708398148E-2</v>
      </c>
    </row>
    <row r="36" spans="1:6">
      <c r="A36" s="302">
        <v>45219</v>
      </c>
      <c r="B36" s="303">
        <v>4224.1594828672196</v>
      </c>
      <c r="C36" s="230">
        <v>187.07</v>
      </c>
      <c r="E36" s="270">
        <v>-2.3943793791574301E-2</v>
      </c>
      <c r="F36" s="270">
        <v>-6.5848866231215109E-3</v>
      </c>
    </row>
    <row r="37" spans="1:6">
      <c r="A37" s="302">
        <v>45226</v>
      </c>
      <c r="B37" s="303">
        <v>4117.3738283194198</v>
      </c>
      <c r="C37" s="230">
        <v>176.46</v>
      </c>
      <c r="E37" s="270">
        <v>-2.5279740260970799E-2</v>
      </c>
      <c r="F37" s="270">
        <v>-5.6716737050302002E-2</v>
      </c>
    </row>
    <row r="38" spans="1:6">
      <c r="A38" s="302">
        <v>45233</v>
      </c>
      <c r="B38" s="303">
        <v>4358.3351820041898</v>
      </c>
      <c r="C38" s="230">
        <v>176.9</v>
      </c>
      <c r="E38" s="270">
        <v>5.8523069250460358E-2</v>
      </c>
      <c r="F38" s="270">
        <v>2.4934829423097771E-3</v>
      </c>
    </row>
    <row r="39" spans="1:6">
      <c r="A39" s="302">
        <v>45240</v>
      </c>
      <c r="B39" s="303">
        <v>4415.2446910028702</v>
      </c>
      <c r="C39" s="230">
        <v>176.29</v>
      </c>
      <c r="E39" s="270">
        <v>1.3057625589161461E-2</v>
      </c>
      <c r="F39" s="270">
        <v>-3.448275862069083E-3</v>
      </c>
    </row>
    <row r="40" spans="1:6">
      <c r="A40" s="302">
        <v>45247</v>
      </c>
      <c r="B40" s="303">
        <v>4514.0178634329504</v>
      </c>
      <c r="C40" s="230">
        <v>184.99</v>
      </c>
      <c r="E40" s="270">
        <v>2.237093962908876E-2</v>
      </c>
      <c r="F40" s="270">
        <v>4.9350502013727482E-2</v>
      </c>
    </row>
    <row r="41" spans="1:6">
      <c r="A41" s="302">
        <v>45254</v>
      </c>
      <c r="B41" s="303">
        <v>4559.3352089339396</v>
      </c>
      <c r="C41" s="230">
        <v>181.59</v>
      </c>
      <c r="E41" s="270">
        <v>1.003924815364488E-2</v>
      </c>
      <c r="F41" s="270">
        <v>-1.837937185793825E-2</v>
      </c>
    </row>
    <row r="42" spans="1:6">
      <c r="A42" s="302">
        <v>45261</v>
      </c>
      <c r="B42" s="303">
        <v>4594.6315805310396</v>
      </c>
      <c r="C42" s="230">
        <v>195.11</v>
      </c>
      <c r="E42" s="270">
        <v>7.7415609907200977E-3</v>
      </c>
      <c r="F42" s="270">
        <v>7.445343906602786E-2</v>
      </c>
    </row>
    <row r="43" spans="1:6">
      <c r="A43" s="302">
        <v>45268</v>
      </c>
      <c r="B43" s="303">
        <v>4604.3722543608901</v>
      </c>
      <c r="C43" s="230">
        <v>192.36</v>
      </c>
      <c r="E43" s="270">
        <v>2.120011944183986E-3</v>
      </c>
      <c r="F43" s="270">
        <v>-1.409461329506434E-2</v>
      </c>
    </row>
    <row r="44" spans="1:6">
      <c r="A44" s="302">
        <v>45275</v>
      </c>
      <c r="B44" s="303">
        <v>4719.1906489521398</v>
      </c>
      <c r="C44" s="230">
        <v>229.56</v>
      </c>
      <c r="E44" s="270">
        <v>2.493681836487105E-2</v>
      </c>
      <c r="F44" s="270">
        <v>0.19338739862757309</v>
      </c>
    </row>
    <row r="45" spans="1:6">
      <c r="A45" s="302">
        <v>45282</v>
      </c>
      <c r="B45" s="303">
        <v>4754.6314474739602</v>
      </c>
      <c r="C45" s="230">
        <v>240.8</v>
      </c>
      <c r="E45" s="270">
        <v>7.5099315027016278E-3</v>
      </c>
      <c r="F45" s="270">
        <v>4.8963234012894263E-2</v>
      </c>
    </row>
    <row r="46" spans="1:6">
      <c r="A46" s="302">
        <v>45289</v>
      </c>
      <c r="B46" s="303">
        <v>4769.8294107906704</v>
      </c>
      <c r="C46" s="230">
        <v>237.86</v>
      </c>
      <c r="E46" s="270">
        <v>3.196454548498151E-3</v>
      </c>
      <c r="F46" s="270">
        <v>-1.2209302325581369E-2</v>
      </c>
    </row>
    <row r="47" spans="1:6">
      <c r="A47" s="302">
        <v>45296</v>
      </c>
      <c r="B47" s="303">
        <v>4697.2449398036597</v>
      </c>
      <c r="C47" s="230">
        <v>226.1</v>
      </c>
      <c r="E47" s="270">
        <v>-1.52174144473185E-2</v>
      </c>
      <c r="F47" s="270">
        <v>-4.9440847557386758E-2</v>
      </c>
    </row>
    <row r="48" spans="1:6">
      <c r="A48" s="302">
        <v>45303</v>
      </c>
      <c r="B48" s="303">
        <v>4783.83106706117</v>
      </c>
      <c r="C48" s="230">
        <v>237</v>
      </c>
      <c r="E48" s="270">
        <v>1.8433385605207461E-2</v>
      </c>
      <c r="F48" s="270">
        <v>4.8208757187085283E-2</v>
      </c>
    </row>
    <row r="49" spans="1:6">
      <c r="A49" s="302">
        <v>45310</v>
      </c>
      <c r="B49" s="303">
        <v>4839.8114244436701</v>
      </c>
      <c r="C49" s="230">
        <v>242.96</v>
      </c>
      <c r="E49" s="270">
        <v>1.170199294200636E-2</v>
      </c>
      <c r="F49" s="270">
        <v>2.514767932489459E-2</v>
      </c>
    </row>
    <row r="50" spans="1:6">
      <c r="A50" s="302">
        <v>45317</v>
      </c>
      <c r="B50" s="303">
        <v>4890.9705128691503</v>
      </c>
      <c r="C50" s="230">
        <v>247.79</v>
      </c>
      <c r="E50" s="270">
        <v>1.0570471437605811E-2</v>
      </c>
      <c r="F50" s="270">
        <v>1.987981560750729E-2</v>
      </c>
    </row>
    <row r="51" spans="1:6">
      <c r="A51" s="302">
        <v>45324</v>
      </c>
      <c r="B51" s="303">
        <v>4958.6138919602399</v>
      </c>
      <c r="C51" s="230">
        <v>217.39</v>
      </c>
      <c r="E51" s="270">
        <v>1.383025698337503E-2</v>
      </c>
      <c r="F51" s="270">
        <v>-0.1226845312563057</v>
      </c>
    </row>
    <row r="52" spans="1:6">
      <c r="A52" s="302">
        <v>45331</v>
      </c>
      <c r="B52" s="303">
        <v>5026.6085751821802</v>
      </c>
      <c r="C52" s="230">
        <v>218.76</v>
      </c>
      <c r="E52" s="270">
        <v>1.3712437528597521E-2</v>
      </c>
      <c r="F52" s="270">
        <v>6.3020378122269349E-3</v>
      </c>
    </row>
    <row r="53" spans="1:6">
      <c r="A53" s="302">
        <v>45338</v>
      </c>
      <c r="B53" s="303">
        <v>5005.5684507405704</v>
      </c>
      <c r="C53" s="230">
        <v>207.84</v>
      </c>
      <c r="E53" s="270">
        <v>-4.1857495221512284E-3</v>
      </c>
      <c r="F53" s="270">
        <v>-4.991771804717493E-2</v>
      </c>
    </row>
    <row r="54" spans="1:6">
      <c r="A54" s="302">
        <v>45345</v>
      </c>
      <c r="B54" s="303">
        <v>5088.7999476130099</v>
      </c>
      <c r="C54" s="230">
        <v>204.44</v>
      </c>
      <c r="E54" s="270">
        <v>1.6627781178404581E-2</v>
      </c>
      <c r="F54" s="270">
        <v>-1.6358737490377199E-2</v>
      </c>
    </row>
    <row r="55" spans="1:6">
      <c r="A55" s="302">
        <v>45352</v>
      </c>
      <c r="B55" s="303">
        <v>5137.0837991006201</v>
      </c>
      <c r="C55" s="230">
        <v>209.2</v>
      </c>
      <c r="E55" s="270">
        <v>9.4882589185409927E-3</v>
      </c>
      <c r="F55" s="270">
        <v>2.328311485032275E-2</v>
      </c>
    </row>
    <row r="56" spans="1:6">
      <c r="A56" s="302">
        <v>45359</v>
      </c>
      <c r="B56" s="303">
        <v>5123.6910918567301</v>
      </c>
      <c r="C56" s="230">
        <v>208.8</v>
      </c>
      <c r="E56" s="270">
        <v>-2.607064195883857E-3</v>
      </c>
      <c r="F56" s="270">
        <v>-1.91204588910121E-3</v>
      </c>
    </row>
    <row r="57" spans="1:6">
      <c r="A57" s="302">
        <v>45366</v>
      </c>
      <c r="B57" s="303">
        <v>5117.0882169453198</v>
      </c>
      <c r="C57" s="230">
        <v>194.43</v>
      </c>
      <c r="E57" s="270">
        <v>-1.288694964828085E-3</v>
      </c>
      <c r="F57" s="270">
        <v>-6.8821839080459801E-2</v>
      </c>
    </row>
    <row r="58" spans="1:6">
      <c r="A58" s="302">
        <v>45373</v>
      </c>
      <c r="B58" s="303">
        <v>5234.1800595896002</v>
      </c>
      <c r="C58" s="230">
        <v>192.53</v>
      </c>
      <c r="E58" s="270">
        <v>2.2882513976704381E-2</v>
      </c>
      <c r="F58" s="270">
        <v>-9.7721545029059165E-3</v>
      </c>
    </row>
    <row r="59" spans="1:6">
      <c r="A59" s="302">
        <v>45379</v>
      </c>
      <c r="B59" s="303">
        <v>5254.3544012624097</v>
      </c>
      <c r="C59" s="230">
        <v>195.11</v>
      </c>
      <c r="E59" s="270">
        <v>3.8543461331346229E-3</v>
      </c>
      <c r="F59" s="270">
        <v>1.340050901158274E-2</v>
      </c>
    </row>
    <row r="60" spans="1:6">
      <c r="A60" s="302">
        <v>45387</v>
      </c>
      <c r="B60" s="303">
        <v>5204.3351372246898</v>
      </c>
      <c r="C60" s="230">
        <v>196.62</v>
      </c>
      <c r="E60" s="270">
        <v>-9.5195832290456694E-3</v>
      </c>
      <c r="F60" s="270">
        <v>7.7392240274716251E-3</v>
      </c>
    </row>
    <row r="61" spans="1:6">
      <c r="A61" s="302">
        <v>45394</v>
      </c>
      <c r="B61" s="303">
        <v>5123.4068221088501</v>
      </c>
      <c r="C61" s="230">
        <v>206.53</v>
      </c>
      <c r="E61" s="270">
        <v>-1.555017364984612E-2</v>
      </c>
      <c r="F61" s="270">
        <v>5.0401790255314882E-2</v>
      </c>
    </row>
    <row r="62" spans="1:6">
      <c r="A62" s="302">
        <v>45401</v>
      </c>
      <c r="B62" s="303">
        <v>4967.2348955350699</v>
      </c>
      <c r="C62" s="230">
        <v>191.55</v>
      </c>
      <c r="E62" s="270">
        <v>-3.0482046809138241E-2</v>
      </c>
      <c r="F62" s="270">
        <v>-7.2531835568682479E-2</v>
      </c>
    </row>
    <row r="63" spans="1:6">
      <c r="A63" s="302">
        <v>45408</v>
      </c>
      <c r="B63" s="303">
        <v>5099.9624508582201</v>
      </c>
      <c r="C63" s="230">
        <v>179.45</v>
      </c>
      <c r="E63" s="270">
        <v>2.6720611791976271E-2</v>
      </c>
      <c r="F63" s="270">
        <v>-6.3168885408509623E-2</v>
      </c>
    </row>
    <row r="64" spans="1:6">
      <c r="A64" s="302">
        <v>45415</v>
      </c>
      <c r="B64" s="303">
        <v>5127.7866265809298</v>
      </c>
      <c r="C64" s="230">
        <v>183.52</v>
      </c>
      <c r="E64" s="270">
        <v>5.4557608984018291E-3</v>
      </c>
      <c r="F64" s="270">
        <v>2.2680412371134159E-2</v>
      </c>
    </row>
    <row r="65" spans="1:6">
      <c r="A65" s="302">
        <v>45422</v>
      </c>
      <c r="B65" s="303">
        <v>5222.6753657485197</v>
      </c>
      <c r="C65" s="230">
        <v>179.75</v>
      </c>
      <c r="E65" s="270">
        <v>1.850481427517181E-2</v>
      </c>
      <c r="F65" s="270">
        <v>-2.054272013949443E-2</v>
      </c>
    </row>
    <row r="66" spans="1:6">
      <c r="A66" s="302">
        <v>45429</v>
      </c>
      <c r="B66" s="303">
        <v>5303.2696610133498</v>
      </c>
      <c r="C66" s="230">
        <v>179.72</v>
      </c>
      <c r="E66" s="270">
        <v>1.5431611122794561E-2</v>
      </c>
      <c r="F66" s="270">
        <v>-1.6689847009732081E-4</v>
      </c>
    </row>
    <row r="67" spans="1:6">
      <c r="A67" s="302">
        <v>45436</v>
      </c>
      <c r="B67" s="303">
        <v>5304.7176020309698</v>
      </c>
      <c r="C67" s="230">
        <v>168.86</v>
      </c>
      <c r="E67" s="270">
        <v>2.7302798276784829E-4</v>
      </c>
      <c r="F67" s="270">
        <v>-6.0427331404406807E-2</v>
      </c>
    </row>
    <row r="68" spans="1:6">
      <c r="A68" s="302">
        <v>45443</v>
      </c>
      <c r="B68" s="303">
        <v>5277.5073452655797</v>
      </c>
      <c r="C68" s="230">
        <v>156.86000000000001</v>
      </c>
      <c r="E68" s="270">
        <v>-5.1294449218131088E-3</v>
      </c>
      <c r="F68" s="270">
        <v>-7.1064787397844387E-2</v>
      </c>
    </row>
    <row r="69" spans="1:6">
      <c r="A69" s="302">
        <v>45450</v>
      </c>
      <c r="B69" s="303">
        <v>5346.98806847579</v>
      </c>
      <c r="C69" s="230">
        <v>163.36000000000001</v>
      </c>
      <c r="E69" s="270">
        <v>1.316544320351176E-2</v>
      </c>
      <c r="F69" s="270">
        <v>4.1438225168940468E-2</v>
      </c>
    </row>
    <row r="70" spans="1:6">
      <c r="A70" s="302">
        <v>45457</v>
      </c>
      <c r="B70" s="303">
        <v>5431.6016503513201</v>
      </c>
      <c r="C70" s="230">
        <v>160.09</v>
      </c>
      <c r="E70" s="270">
        <v>1.5824531641352561E-2</v>
      </c>
      <c r="F70" s="270">
        <v>-2.0017140058765981E-2</v>
      </c>
    </row>
    <row r="71" spans="1:6">
      <c r="A71" s="302">
        <v>45464</v>
      </c>
      <c r="B71" s="303">
        <v>5464.6213407955001</v>
      </c>
      <c r="C71" s="230">
        <v>162.46</v>
      </c>
      <c r="E71" s="270">
        <v>6.0791811641864868E-3</v>
      </c>
      <c r="F71" s="270">
        <v>1.48041726528827E-2</v>
      </c>
    </row>
    <row r="72" spans="1:6">
      <c r="A72" s="302">
        <v>45471</v>
      </c>
      <c r="B72" s="303">
        <v>5460.4826211495201</v>
      </c>
      <c r="C72" s="230">
        <v>176.88</v>
      </c>
      <c r="E72" s="270">
        <v>-7.5736622683864052E-4</v>
      </c>
      <c r="F72" s="270">
        <v>8.876031023021036E-2</v>
      </c>
    </row>
    <row r="73" spans="1:6">
      <c r="A73" s="302">
        <v>45478</v>
      </c>
      <c r="B73" s="303">
        <v>5567.1903917073696</v>
      </c>
      <c r="C73" s="230">
        <v>187.32</v>
      </c>
      <c r="E73" s="270">
        <v>1.9541820377662059E-2</v>
      </c>
      <c r="F73" s="270">
        <v>5.9023066485752951E-2</v>
      </c>
    </row>
    <row r="74" spans="1:6">
      <c r="A74" s="302">
        <v>45485</v>
      </c>
      <c r="B74" s="303">
        <v>5615.3487593644904</v>
      </c>
      <c r="C74" s="230">
        <v>181.45</v>
      </c>
      <c r="E74" s="270">
        <v>8.6503899217915681E-3</v>
      </c>
      <c r="F74" s="270">
        <v>-3.1336749946615387E-2</v>
      </c>
    </row>
    <row r="75" spans="1:6">
      <c r="A75" s="302">
        <v>45492</v>
      </c>
      <c r="B75" s="303">
        <v>5505.0030938643404</v>
      </c>
      <c r="C75" s="230">
        <v>176.5</v>
      </c>
      <c r="E75" s="270">
        <v>-1.96507234419111E-2</v>
      </c>
      <c r="F75" s="270">
        <v>-2.728024249104433E-2</v>
      </c>
    </row>
    <row r="76" spans="1:6">
      <c r="A76" s="302">
        <v>45499</v>
      </c>
      <c r="B76" s="303">
        <v>5459.09739964047</v>
      </c>
      <c r="C76" s="230">
        <v>177.32</v>
      </c>
      <c r="E76" s="270">
        <v>-8.3389043459457524E-3</v>
      </c>
      <c r="F76" s="270">
        <v>4.6458923512746608E-3</v>
      </c>
    </row>
    <row r="77" spans="1:6">
      <c r="A77" s="302">
        <v>45506</v>
      </c>
      <c r="B77" s="303">
        <v>5346.5632580131796</v>
      </c>
      <c r="C77" s="230">
        <v>143.68</v>
      </c>
      <c r="E77" s="270">
        <v>-2.0614056388644331E-2</v>
      </c>
      <c r="F77" s="270">
        <v>-0.18971351229415731</v>
      </c>
    </row>
    <row r="78" spans="1:6">
      <c r="A78" s="302">
        <v>45513</v>
      </c>
      <c r="B78" s="303">
        <v>5344.1643564235101</v>
      </c>
      <c r="C78" s="230">
        <v>141.43</v>
      </c>
      <c r="E78" s="270">
        <v>-4.4868104498230199E-4</v>
      </c>
      <c r="F78" s="270">
        <v>-1.5659799554565649E-2</v>
      </c>
    </row>
    <row r="79" spans="1:6">
      <c r="A79" s="302">
        <v>45520</v>
      </c>
      <c r="B79" s="303">
        <v>5554.25106284104</v>
      </c>
      <c r="C79" s="230">
        <v>154.21</v>
      </c>
      <c r="E79" s="270">
        <v>3.9311423153558733E-2</v>
      </c>
      <c r="F79" s="270">
        <v>9.0362723608852447E-2</v>
      </c>
    </row>
    <row r="80" spans="1:6">
      <c r="A80" s="302">
        <v>45527</v>
      </c>
      <c r="B80" s="303">
        <v>5634.6058468096398</v>
      </c>
      <c r="C80" s="230">
        <v>160</v>
      </c>
      <c r="E80" s="270">
        <v>1.446725815226246E-2</v>
      </c>
      <c r="F80" s="270">
        <v>3.7546203229362529E-2</v>
      </c>
    </row>
    <row r="81" spans="1:6">
      <c r="A81" s="302">
        <v>45534</v>
      </c>
      <c r="B81" s="303">
        <v>5648.3972363167604</v>
      </c>
      <c r="C81" s="230">
        <v>165.6</v>
      </c>
      <c r="E81" s="270">
        <v>2.4476227587293402E-3</v>
      </c>
      <c r="F81" s="270">
        <v>3.499999999999992E-2</v>
      </c>
    </row>
    <row r="82" spans="1:6">
      <c r="A82" s="302">
        <v>45541</v>
      </c>
      <c r="B82" s="303">
        <v>5408.4221442035696</v>
      </c>
      <c r="C82" s="230">
        <v>161.31</v>
      </c>
      <c r="E82" s="270">
        <v>-4.2485519709954962E-2</v>
      </c>
      <c r="F82" s="270">
        <v>-2.590579710144925E-2</v>
      </c>
    </row>
    <row r="83" spans="1:6">
      <c r="A83" s="302">
        <v>45548</v>
      </c>
      <c r="B83" s="303">
        <v>5626.0186005450196</v>
      </c>
      <c r="C83" s="230">
        <v>163.74</v>
      </c>
      <c r="E83" s="270">
        <v>4.0232890580602643E-2</v>
      </c>
      <c r="F83" s="270">
        <v>1.506416217221496E-2</v>
      </c>
    </row>
    <row r="84" spans="1:6">
      <c r="A84" s="302">
        <v>45555</v>
      </c>
      <c r="B84" s="303">
        <v>5702.5476198431898</v>
      </c>
      <c r="C84" s="230">
        <v>163.08000000000001</v>
      </c>
      <c r="E84" s="270">
        <v>1.360269574842077E-2</v>
      </c>
      <c r="F84" s="270">
        <v>-4.0307805056797319E-3</v>
      </c>
    </row>
    <row r="85" spans="1:6">
      <c r="A85" s="302">
        <v>45562</v>
      </c>
      <c r="B85" s="303">
        <v>5738.1717831542501</v>
      </c>
      <c r="C85" s="230">
        <v>161.22</v>
      </c>
      <c r="E85" s="270">
        <v>6.2470610832074946E-3</v>
      </c>
      <c r="F85" s="270">
        <v>-1.140544518027975E-2</v>
      </c>
    </row>
    <row r="86" spans="1:6">
      <c r="A86" s="302">
        <v>45569</v>
      </c>
      <c r="B86" s="303">
        <v>5751.0681956477902</v>
      </c>
      <c r="C86" s="230">
        <v>171</v>
      </c>
      <c r="E86" s="270">
        <v>2.2474775905805271E-3</v>
      </c>
      <c r="F86" s="270">
        <v>6.0662448827688793E-2</v>
      </c>
    </row>
    <row r="87" spans="1:6">
      <c r="A87" s="302">
        <v>45576</v>
      </c>
      <c r="B87" s="303">
        <v>5815.0334094488699</v>
      </c>
      <c r="C87" s="230">
        <v>187.06</v>
      </c>
      <c r="E87" s="270">
        <v>1.1122318780619979E-2</v>
      </c>
      <c r="F87" s="270">
        <v>9.3918128654970845E-2</v>
      </c>
    </row>
    <row r="88" spans="1:6">
      <c r="A88" s="302">
        <v>45583</v>
      </c>
      <c r="B88" s="303">
        <v>5864.6679134148799</v>
      </c>
      <c r="C88" s="230">
        <v>191.7</v>
      </c>
      <c r="E88" s="270">
        <v>8.5355492343963668E-3</v>
      </c>
      <c r="F88" s="270">
        <v>2.480487544103482E-2</v>
      </c>
    </row>
    <row r="89" spans="1:6">
      <c r="A89" s="302">
        <v>45590</v>
      </c>
      <c r="B89" s="303">
        <v>5808.1170057960999</v>
      </c>
      <c r="C89" s="230">
        <v>188.73</v>
      </c>
      <c r="E89" s="270">
        <v>-9.6426444691650737E-3</v>
      </c>
      <c r="F89" s="270">
        <v>-1.5492957746478851E-2</v>
      </c>
    </row>
    <row r="90" spans="1:6">
      <c r="A90" s="302">
        <v>45597</v>
      </c>
      <c r="B90" s="303">
        <v>5728.8013614946003</v>
      </c>
      <c r="C90" s="230">
        <v>224.35</v>
      </c>
      <c r="E90" s="270">
        <v>-1.3655999736635451E-2</v>
      </c>
      <c r="F90" s="270">
        <v>0.18873523022307001</v>
      </c>
    </row>
    <row r="91" spans="1:6">
      <c r="A91" s="302">
        <v>45604</v>
      </c>
      <c r="B91" s="303">
        <v>5995.5373433787199</v>
      </c>
      <c r="C91" s="230">
        <v>237.8</v>
      </c>
      <c r="E91" s="270">
        <v>4.656052201023253E-2</v>
      </c>
      <c r="F91" s="270">
        <v>5.9950969467350117E-2</v>
      </c>
    </row>
    <row r="92" spans="1:6">
      <c r="A92" s="302">
        <v>45611</v>
      </c>
      <c r="B92" s="303">
        <v>5870.6164082237701</v>
      </c>
      <c r="C92" s="230">
        <v>240.04</v>
      </c>
      <c r="E92" s="270">
        <v>-2.083565291990197E-2</v>
      </c>
      <c r="F92" s="270">
        <v>9.4196804037005588E-3</v>
      </c>
    </row>
    <row r="93" spans="1:6">
      <c r="A93" s="302">
        <v>45618</v>
      </c>
      <c r="B93" s="303">
        <v>5969.3430845450903</v>
      </c>
      <c r="C93" s="230">
        <v>260.58</v>
      </c>
      <c r="E93" s="270">
        <v>1.681708860810938E-2</v>
      </c>
      <c r="F93" s="270">
        <v>8.5569071821363085E-2</v>
      </c>
    </row>
    <row r="94" spans="1:6">
      <c r="A94" s="302">
        <v>45625</v>
      </c>
      <c r="B94" s="303">
        <v>6032.3844122739201</v>
      </c>
      <c r="C94" s="230">
        <v>263.58</v>
      </c>
      <c r="E94" s="270">
        <v>1.056084846120608E-2</v>
      </c>
      <c r="F94" s="270">
        <v>1.1512779184895241E-2</v>
      </c>
    </row>
    <row r="95" spans="1:6">
      <c r="A95" s="302">
        <v>45632</v>
      </c>
      <c r="B95" s="303">
        <v>6090.27046925389</v>
      </c>
      <c r="C95" s="230">
        <v>278.5</v>
      </c>
      <c r="E95" s="270">
        <v>9.5958833230507246E-3</v>
      </c>
      <c r="F95" s="270">
        <v>5.6605205250777717E-2</v>
      </c>
    </row>
    <row r="96" spans="1:6">
      <c r="A96" s="302">
        <v>45639</v>
      </c>
      <c r="B96" s="303">
        <v>6051.0920238810004</v>
      </c>
      <c r="C96" s="230">
        <v>278.64999999999998</v>
      </c>
      <c r="E96" s="270">
        <v>-6.4329565609078099E-3</v>
      </c>
      <c r="F96" s="270">
        <v>5.3859964093350143E-4</v>
      </c>
    </row>
    <row r="97" spans="1:6">
      <c r="A97" s="302">
        <v>45646</v>
      </c>
      <c r="B97" s="303">
        <v>5930.8501369938804</v>
      </c>
      <c r="C97" s="230">
        <v>257.26</v>
      </c>
      <c r="E97" s="270">
        <v>-1.9871105316623509E-2</v>
      </c>
      <c r="F97" s="270">
        <v>-7.6762964292122704E-2</v>
      </c>
    </row>
    <row r="98" spans="1:6">
      <c r="A98" s="302">
        <v>45653</v>
      </c>
      <c r="B98" s="303">
        <v>5970.8376440268803</v>
      </c>
      <c r="C98" s="230">
        <v>250.11</v>
      </c>
      <c r="E98" s="270">
        <v>6.7422892349910954E-3</v>
      </c>
      <c r="F98" s="270">
        <v>-2.7792894348130259E-2</v>
      </c>
    </row>
    <row r="99" spans="1:6">
      <c r="A99" s="302">
        <v>45660</v>
      </c>
      <c r="B99" s="303">
        <v>5942.4724993515501</v>
      </c>
      <c r="C99" s="230">
        <v>250.27</v>
      </c>
      <c r="E99" s="270">
        <v>-4.7506139617957688E-3</v>
      </c>
      <c r="F99" s="270">
        <v>6.3971852384958616E-4</v>
      </c>
    </row>
    <row r="100" spans="1:6">
      <c r="A100" s="302">
        <v>45667</v>
      </c>
      <c r="B100" s="303">
        <v>5827.0444336588198</v>
      </c>
      <c r="C100" s="230">
        <v>242.39</v>
      </c>
      <c r="E100" s="270">
        <v>-1.9424249031918309E-2</v>
      </c>
      <c r="F100" s="270">
        <v>-3.1485995125264843E-2</v>
      </c>
    </row>
    <row r="101" spans="1:6">
      <c r="A101" s="302">
        <v>45674</v>
      </c>
      <c r="B101" s="303">
        <v>5996.6647451191502</v>
      </c>
      <c r="C101" s="230">
        <v>252.36</v>
      </c>
      <c r="E101" s="270">
        <v>2.9109150168917571E-2</v>
      </c>
      <c r="F101" s="270">
        <v>4.1132059903461471E-2</v>
      </c>
    </row>
    <row r="102" spans="1:6">
      <c r="A102" s="302">
        <v>45681</v>
      </c>
      <c r="B102" s="303">
        <v>6101.2429273702801</v>
      </c>
      <c r="C102" s="230">
        <v>264.81</v>
      </c>
      <c r="E102" s="270">
        <v>1.7439391177612281E-2</v>
      </c>
      <c r="F102" s="270">
        <v>4.9334284355682323E-2</v>
      </c>
    </row>
    <row r="103" spans="1:6">
      <c r="A103" s="302">
        <v>45688</v>
      </c>
      <c r="B103" s="303">
        <v>6040.5259338818596</v>
      </c>
      <c r="C103" s="230">
        <v>306.77999999999997</v>
      </c>
      <c r="E103" s="270">
        <v>-9.9515777704970443E-3</v>
      </c>
      <c r="F103" s="270">
        <v>0.15849099354253979</v>
      </c>
    </row>
    <row r="104" spans="1:6">
      <c r="A104" s="302">
        <v>45695</v>
      </c>
      <c r="B104" s="303">
        <v>6025.9924888213</v>
      </c>
      <c r="C104" s="230">
        <v>314.27999999999997</v>
      </c>
      <c r="E104" s="270">
        <v>-2.4059900114061779E-3</v>
      </c>
      <c r="F104" s="270">
        <v>2.4447486798357069E-2</v>
      </c>
    </row>
    <row r="105" spans="1:6">
      <c r="A105" s="302">
        <v>45702</v>
      </c>
      <c r="B105" s="303">
        <v>6114.6314669032399</v>
      </c>
      <c r="C105" s="230">
        <v>313.10000000000002</v>
      </c>
      <c r="E105" s="270">
        <v>1.4709440518947179E-2</v>
      </c>
      <c r="F105" s="270">
        <v>-3.754613720249322E-3</v>
      </c>
    </row>
    <row r="106" spans="1:6">
      <c r="A106" s="302">
        <v>45709</v>
      </c>
      <c r="B106" s="303">
        <v>6013.1278599657398</v>
      </c>
      <c r="C106" s="230">
        <v>285.99</v>
      </c>
      <c r="E106" s="270">
        <v>-1.660011850050325E-2</v>
      </c>
      <c r="F106" s="270">
        <v>-8.6585755349728566E-2</v>
      </c>
    </row>
    <row r="107" spans="1:6">
      <c r="A107" s="302">
        <v>45716</v>
      </c>
      <c r="B107" s="303">
        <v>5954.5048269650797</v>
      </c>
      <c r="C107" s="230">
        <v>284.26</v>
      </c>
      <c r="E107" s="270">
        <v>-9.7491745337665581E-3</v>
      </c>
      <c r="F107" s="270">
        <v>-6.0491625581314823E-3</v>
      </c>
    </row>
    <row r="108" spans="1:6">
      <c r="A108" s="302">
        <v>45723</v>
      </c>
      <c r="B108" s="303">
        <v>5770.1956080075397</v>
      </c>
      <c r="C108" s="230">
        <v>238.86</v>
      </c>
      <c r="E108" s="270">
        <v>-3.095290445023946E-2</v>
      </c>
      <c r="F108" s="270">
        <v>-0.15971293885879109</v>
      </c>
    </row>
    <row r="109" spans="1:6">
      <c r="A109" s="302">
        <v>45730</v>
      </c>
      <c r="B109" s="303">
        <v>5638.9401691909798</v>
      </c>
      <c r="C109" s="230">
        <v>218.44</v>
      </c>
      <c r="E109" s="270">
        <v>-2.274713852584331E-2</v>
      </c>
      <c r="F109" s="270">
        <v>-8.5489408021435231E-2</v>
      </c>
    </row>
    <row r="110" spans="1:6">
      <c r="A110" s="302">
        <v>45737</v>
      </c>
      <c r="B110" s="303">
        <v>5667.5642718299996</v>
      </c>
      <c r="C110" s="230">
        <v>227.34</v>
      </c>
      <c r="E110" s="270">
        <v>5.0761493791706691E-3</v>
      </c>
      <c r="F110" s="270">
        <v>4.0743453579930478E-2</v>
      </c>
    </row>
    <row r="111" spans="1:6">
      <c r="A111" s="302">
        <v>45744</v>
      </c>
      <c r="B111" s="303">
        <v>5580.9435839708804</v>
      </c>
      <c r="C111" s="230">
        <v>217.99</v>
      </c>
      <c r="E111" s="270">
        <v>-1.528358280640196E-2</v>
      </c>
      <c r="F111" s="270">
        <v>-4.1127826163455561E-2</v>
      </c>
    </row>
    <row r="112" spans="1:6">
      <c r="A112" s="302">
        <v>45751</v>
      </c>
      <c r="B112" s="303">
        <v>5074.0756315303397</v>
      </c>
      <c r="C112" s="230">
        <v>187.67</v>
      </c>
      <c r="E112" s="270">
        <v>-9.0821192655722971E-2</v>
      </c>
      <c r="F112" s="270">
        <v>-0.13908894903435939</v>
      </c>
    </row>
    <row r="113" spans="1:6">
      <c r="A113" s="302">
        <v>45758</v>
      </c>
      <c r="B113" s="303">
        <v>5363.3594798220602</v>
      </c>
      <c r="C113" s="230">
        <v>198.37</v>
      </c>
      <c r="E113" s="270">
        <v>5.7012127784242812E-2</v>
      </c>
      <c r="F113" s="270">
        <v>5.7014973091064292E-2</v>
      </c>
    </row>
    <row r="114" spans="1:6">
      <c r="A114" s="302">
        <v>45764</v>
      </c>
      <c r="B114" s="303">
        <v>5282.7010174133202</v>
      </c>
      <c r="C114" s="230">
        <v>202.75</v>
      </c>
      <c r="E114" s="270">
        <v>-1.5038794753958201E-2</v>
      </c>
      <c r="F114" s="270">
        <v>2.2079951605585402E-2</v>
      </c>
    </row>
    <row r="115" spans="1:6">
      <c r="A115" s="302">
        <v>45772</v>
      </c>
      <c r="B115" s="303">
        <v>5525.2051169884298</v>
      </c>
      <c r="C115" s="230">
        <v>228.68</v>
      </c>
      <c r="E115" s="270">
        <v>4.5905323578931512E-2</v>
      </c>
      <c r="F115" s="270">
        <v>0.12789149198520339</v>
      </c>
    </row>
    <row r="116" spans="1:6">
      <c r="A116" s="302">
        <v>45779</v>
      </c>
      <c r="B116" s="303">
        <v>5686.6748270489497</v>
      </c>
      <c r="C116" s="230">
        <v>208.48</v>
      </c>
      <c r="E116" s="270">
        <v>2.9224201933073291E-2</v>
      </c>
      <c r="F116" s="270">
        <v>-8.8333041805142676E-2</v>
      </c>
    </row>
    <row r="117" spans="1:6">
      <c r="A117" s="302">
        <v>45786</v>
      </c>
      <c r="B117" s="303">
        <v>5659.9122514561404</v>
      </c>
      <c r="C117" s="230">
        <v>207.52</v>
      </c>
      <c r="E117" s="270">
        <v>-4.7061905958666328E-3</v>
      </c>
      <c r="F117" s="270">
        <v>-4.6047582501917983E-3</v>
      </c>
    </row>
    <row r="118" spans="1:6">
      <c r="A118" s="302">
        <v>45793</v>
      </c>
      <c r="B118" s="303">
        <v>5958.3755276011098</v>
      </c>
      <c r="C118" s="230">
        <v>220.79</v>
      </c>
      <c r="E118" s="270">
        <v>5.2732845119318313E-2</v>
      </c>
      <c r="F118" s="270">
        <v>6.39456437933692E-2</v>
      </c>
    </row>
    <row r="119" spans="1:6">
      <c r="A119" s="302">
        <v>45800</v>
      </c>
      <c r="B119" s="303">
        <v>5802.8150838260899</v>
      </c>
      <c r="C119" s="230">
        <v>206.82</v>
      </c>
      <c r="E119" s="270">
        <v>-2.610786162342638E-2</v>
      </c>
      <c r="F119" s="270">
        <v>-6.3272793151863738E-2</v>
      </c>
    </row>
    <row r="120" spans="1:6">
      <c r="A120" s="302">
        <v>45807</v>
      </c>
      <c r="B120" s="303">
        <v>5911.6867231263304</v>
      </c>
      <c r="C120" s="230">
        <v>207.63</v>
      </c>
      <c r="E120" s="270">
        <v>1.8761866047341869E-2</v>
      </c>
      <c r="F120" s="270">
        <v>3.916449086161844E-3</v>
      </c>
    </row>
    <row r="121" spans="1:6">
      <c r="A121" s="302">
        <v>45814</v>
      </c>
      <c r="B121" s="303">
        <v>6000.3551347001003</v>
      </c>
      <c r="C121" s="230">
        <v>214.51</v>
      </c>
      <c r="E121" s="270">
        <v>1.499883463494478E-2</v>
      </c>
      <c r="F121" s="270">
        <v>3.3135866685931603E-2</v>
      </c>
    </row>
    <row r="122" spans="1:6">
      <c r="A122" s="302">
        <v>45821</v>
      </c>
      <c r="B122" s="303">
        <v>5976.9658729381899</v>
      </c>
      <c r="C122" s="230">
        <v>196.82</v>
      </c>
      <c r="E122" s="270">
        <v>-3.8979795756838298E-3</v>
      </c>
      <c r="F122" s="270">
        <v>-8.2467017854645497E-2</v>
      </c>
    </row>
    <row r="123" spans="1:6">
      <c r="A123" s="302">
        <v>45828</v>
      </c>
      <c r="B123" s="303">
        <v>5967.8395016255599</v>
      </c>
      <c r="C123" s="230">
        <v>189.53</v>
      </c>
      <c r="E123" s="270">
        <v>-1.5269237781583289E-3</v>
      </c>
      <c r="F123" s="270">
        <v>-3.703891880906407E-2</v>
      </c>
    </row>
    <row r="124" spans="1:6">
      <c r="A124" s="302">
        <v>45835</v>
      </c>
      <c r="B124" s="303">
        <v>6173.0735655681901</v>
      </c>
      <c r="C124" s="230">
        <v>202.32</v>
      </c>
      <c r="E124" s="270">
        <v>3.4390010637304742E-2</v>
      </c>
      <c r="F124" s="270">
        <v>6.7482720413654773E-2</v>
      </c>
    </row>
    <row r="125" spans="1:6">
      <c r="A125" s="302">
        <v>45841</v>
      </c>
      <c r="B125" s="303">
        <v>6279.3509736219703</v>
      </c>
      <c r="C125" s="230">
        <v>213.53</v>
      </c>
      <c r="E125" s="270">
        <v>1.7216287304037351E-2</v>
      </c>
      <c r="F125" s="270">
        <v>5.540727560300529E-2</v>
      </c>
    </row>
    <row r="126" spans="1:6">
      <c r="A126" s="302">
        <v>45849</v>
      </c>
      <c r="B126" s="303">
        <v>6259.7464431812796</v>
      </c>
      <c r="C126" s="230">
        <v>187.01</v>
      </c>
      <c r="E126" s="270">
        <v>-3.1220631754849131E-3</v>
      </c>
      <c r="F126" s="270">
        <v>-0.1241980049641737</v>
      </c>
    </row>
    <row r="127" spans="1:6">
      <c r="A127" s="302">
        <v>45856</v>
      </c>
      <c r="B127" s="303">
        <v>6296.7890414216899</v>
      </c>
      <c r="C127" s="230">
        <v>194.86</v>
      </c>
      <c r="E127" s="270">
        <v>5.9175876493784418E-3</v>
      </c>
      <c r="F127" s="270">
        <v>4.19763649002729E-2</v>
      </c>
    </row>
    <row r="128" spans="1:6">
      <c r="A128" s="302">
        <v>45863</v>
      </c>
      <c r="B128" s="303">
        <v>6388.6445000405502</v>
      </c>
      <c r="C128" s="230">
        <v>203</v>
      </c>
      <c r="E128" s="270">
        <v>1.4587666509805921E-2</v>
      </c>
      <c r="F128" s="270">
        <v>4.1773581032536138E-2</v>
      </c>
    </row>
    <row r="129" spans="1:6">
      <c r="A129" s="302">
        <v>45870</v>
      </c>
      <c r="B129" s="303">
        <v>6238.00657004602</v>
      </c>
      <c r="C129" s="230">
        <v>182.96</v>
      </c>
      <c r="E129" s="270">
        <v>-2.3579012730098551E-2</v>
      </c>
      <c r="F129" s="270">
        <v>-9.871921182266008E-2</v>
      </c>
    </row>
    <row r="130" spans="1:6">
      <c r="A130" s="302">
        <v>45877</v>
      </c>
      <c r="B130" s="303">
        <v>6389.4453100479404</v>
      </c>
      <c r="C130" s="230">
        <v>168.06</v>
      </c>
      <c r="E130" s="270">
        <v>2.427678430624081E-2</v>
      </c>
      <c r="F130" s="270">
        <v>-8.1438565806733698E-2</v>
      </c>
    </row>
    <row r="131" spans="1:6">
      <c r="A131" s="302">
        <v>45884</v>
      </c>
      <c r="B131" s="303">
        <v>6449.7965836775202</v>
      </c>
      <c r="C131" s="230">
        <v>167</v>
      </c>
      <c r="E131" s="270">
        <v>9.4454636828447125E-3</v>
      </c>
      <c r="F131" s="270">
        <v>-6.3072712126621688E-3</v>
      </c>
    </row>
    <row r="132" spans="1:6">
      <c r="A132" s="302">
        <v>45891</v>
      </c>
      <c r="B132" s="303">
        <v>6466.9129744870597</v>
      </c>
      <c r="C132" s="230">
        <v>170.79</v>
      </c>
      <c r="E132" s="270">
        <v>2.6537876950811778E-3</v>
      </c>
      <c r="F132" s="270">
        <v>2.2694610778443151E-2</v>
      </c>
    </row>
    <row r="133" spans="1:6">
      <c r="A133" s="302">
        <v>45898</v>
      </c>
      <c r="B133" s="303">
        <v>6460.2626670192003</v>
      </c>
      <c r="C133" s="230">
        <v>177.78</v>
      </c>
      <c r="E133" s="270">
        <v>-1.028358893044645E-3</v>
      </c>
      <c r="F133" s="270">
        <v>4.0927454769014597E-2</v>
      </c>
    </row>
    <row r="134" spans="1:6">
      <c r="A134" s="302">
        <v>45905</v>
      </c>
      <c r="B134" s="303">
        <v>6481.49552990145</v>
      </c>
      <c r="C134" s="230">
        <v>172.43</v>
      </c>
      <c r="E134" s="270">
        <v>3.2866872411623231E-3</v>
      </c>
      <c r="F134" s="270">
        <v>-3.009337383282706E-2</v>
      </c>
    </row>
    <row r="135" spans="1:6">
      <c r="A135" s="302">
        <v>45912</v>
      </c>
      <c r="B135" s="303">
        <v>6584.28501891408</v>
      </c>
      <c r="C135" s="230">
        <v>174.87</v>
      </c>
      <c r="E135" s="270">
        <v>1.585891535964579E-2</v>
      </c>
      <c r="F135" s="270">
        <v>1.4150669837035281E-2</v>
      </c>
    </row>
    <row r="136" spans="1:6">
      <c r="A136" s="302">
        <v>45919</v>
      </c>
      <c r="B136" s="303">
        <v>6664.3647970752399</v>
      </c>
      <c r="C136" s="230">
        <v>169.05</v>
      </c>
      <c r="E136" s="270">
        <v>1.216225876175203E-2</v>
      </c>
      <c r="F136" s="270">
        <v>-3.3281866529421777E-2</v>
      </c>
    </row>
    <row r="137" spans="1:6">
      <c r="A137" s="302">
        <v>45926</v>
      </c>
      <c r="B137" s="303">
        <v>6643.69754473176</v>
      </c>
      <c r="C137" s="230">
        <v>166.65</v>
      </c>
      <c r="E137" s="270">
        <v>-3.1011586209311881E-3</v>
      </c>
      <c r="F137" s="270">
        <v>-1.4196983141082529E-2</v>
      </c>
    </row>
    <row r="138" spans="1:6">
      <c r="A138" s="302">
        <v>45933</v>
      </c>
      <c r="B138" s="303">
        <v>6715.7892617889702</v>
      </c>
      <c r="C138" s="230">
        <v>150.49</v>
      </c>
      <c r="E138" s="270">
        <v>1.085114374515395E-2</v>
      </c>
      <c r="F138" s="270">
        <v>-9.6969696969696928E-2</v>
      </c>
    </row>
    <row r="139" spans="1:6">
      <c r="A139" s="302">
        <v>45940</v>
      </c>
      <c r="B139" s="303">
        <v>6552.51324833734</v>
      </c>
      <c r="C139" s="230">
        <v>144.56</v>
      </c>
      <c r="E139" s="270">
        <v>-2.4312259823372821E-2</v>
      </c>
      <c r="F139" s="270">
        <v>-3.9404611602099848E-2</v>
      </c>
    </row>
    <row r="140" spans="1:6">
      <c r="A140" s="302">
        <v>45947</v>
      </c>
      <c r="B140" s="303">
        <v>6664.0109804861504</v>
      </c>
      <c r="C140" s="230">
        <v>151.94999999999999</v>
      </c>
      <c r="E140" s="270">
        <v>1.7016025442924802E-2</v>
      </c>
      <c r="F140" s="270">
        <v>5.1120641947979939E-2</v>
      </c>
    </row>
    <row r="141" spans="1:6">
      <c r="A141" s="302">
        <v>45954</v>
      </c>
      <c r="B141" s="303">
        <v>6791.6938122759702</v>
      </c>
      <c r="C141" s="230">
        <v>162.63999999999999</v>
      </c>
      <c r="E141" s="270">
        <v>1.9160057233354792E-2</v>
      </c>
      <c r="F141" s="270">
        <v>7.0352089503125992E-2</v>
      </c>
    </row>
    <row r="142" spans="1:6">
      <c r="A142" s="302">
        <v>45961</v>
      </c>
      <c r="B142" s="303">
        <v>6840.1987413872303</v>
      </c>
      <c r="C142" s="230">
        <v>169.42</v>
      </c>
      <c r="E142" s="270">
        <v>7.1418015081285979E-3</v>
      </c>
      <c r="F142" s="270">
        <v>4.168716182980825E-2</v>
      </c>
    </row>
    <row r="143" spans="1:6">
      <c r="A143" s="302">
        <v>45968</v>
      </c>
      <c r="B143" s="303">
        <v>6728.80110854332</v>
      </c>
      <c r="C143" s="230">
        <v>157.83000000000001</v>
      </c>
      <c r="E143" s="270">
        <v>-1.6285730437902161E-2</v>
      </c>
      <c r="F143" s="270">
        <v>-6.8409868964702913E-2</v>
      </c>
    </row>
    <row r="144" spans="1:6">
      <c r="A144" s="302">
        <v>45975</v>
      </c>
      <c r="B144" s="303">
        <v>6734.1106687824004</v>
      </c>
      <c r="C144" s="230">
        <v>151.79</v>
      </c>
      <c r="E144" s="270">
        <v>7.8907968201624712E-4</v>
      </c>
      <c r="F144" s="270">
        <v>-3.826902363302298E-2</v>
      </c>
    </row>
    <row r="145" spans="1:6">
      <c r="A145" s="302">
        <v>45982</v>
      </c>
      <c r="B145" s="303">
        <v>6602.98633208296</v>
      </c>
      <c r="C145" s="230">
        <v>146.28</v>
      </c>
      <c r="E145" s="270">
        <v>-1.947166346809515E-2</v>
      </c>
      <c r="F145" s="270">
        <v>-3.6300151525133328E-2</v>
      </c>
    </row>
    <row r="146" spans="1:6">
      <c r="A146" s="302">
        <v>45989</v>
      </c>
      <c r="B146" s="303">
        <v>6849.0873723464601</v>
      </c>
      <c r="C146" s="230">
        <v>149.52000000000001</v>
      </c>
      <c r="E146" s="270">
        <v>3.7271172146416731E-2</v>
      </c>
      <c r="F146" s="270">
        <v>2.2149302707137108E-2</v>
      </c>
    </row>
    <row r="147" spans="1:6">
      <c r="A147" s="302">
        <v>45996</v>
      </c>
      <c r="B147" s="303">
        <v>6870.4042108789699</v>
      </c>
      <c r="C147" s="230">
        <v>159.33000000000001</v>
      </c>
      <c r="E147" s="270">
        <v>3.1123618919766121E-3</v>
      </c>
      <c r="F147" s="270">
        <v>6.5609951845907011E-2</v>
      </c>
    </row>
    <row r="148" spans="1:6">
      <c r="A148" s="302">
        <v>46003</v>
      </c>
      <c r="B148" s="303">
        <v>6827.4064642618996</v>
      </c>
      <c r="C148" s="230">
        <v>162.04</v>
      </c>
      <c r="E148" s="270">
        <v>-6.2584012959507884E-3</v>
      </c>
      <c r="F148" s="270">
        <v>1.7008724031883471E-2</v>
      </c>
    </row>
    <row r="149" spans="1:6">
      <c r="A149" s="302">
        <v>46010</v>
      </c>
      <c r="B149" s="303">
        <v>6834.4961863732697</v>
      </c>
      <c r="C149" s="230">
        <v>161.07</v>
      </c>
      <c r="E149" s="270">
        <v>1.0384209799843001E-3</v>
      </c>
      <c r="F149" s="270">
        <v>-5.9861762527770868E-3</v>
      </c>
    </row>
    <row r="150" spans="1:6">
      <c r="A150" s="302">
        <v>46017</v>
      </c>
      <c r="B150" s="303">
        <v>6929.9361219558205</v>
      </c>
      <c r="C150" s="230">
        <v>163.15</v>
      </c>
      <c r="E150" s="270">
        <v>1.3964443461515151E-2</v>
      </c>
      <c r="F150" s="270">
        <v>1.291364003228423E-2</v>
      </c>
    </row>
    <row r="151" spans="1:6">
      <c r="A151" s="302">
        <v>46024</v>
      </c>
      <c r="B151" s="303">
        <v>6858.4723132273302</v>
      </c>
      <c r="C151" s="230">
        <v>154.76</v>
      </c>
      <c r="E151" s="270">
        <v>-1.031233296683276E-2</v>
      </c>
      <c r="F151" s="270">
        <v>-5.1425068954949471E-2</v>
      </c>
    </row>
    <row r="152" spans="1:6">
      <c r="A152" s="302">
        <v>46031</v>
      </c>
      <c r="B152" s="303">
        <v>6966.2839232241704</v>
      </c>
      <c r="C152" s="230">
        <v>146.41999999999999</v>
      </c>
      <c r="E152" s="270">
        <v>1.571947878085234E-2</v>
      </c>
      <c r="F152" s="270">
        <v>-5.388989402946498E-2</v>
      </c>
    </row>
    <row r="153" spans="1:6">
      <c r="A153" s="302">
        <v>46038</v>
      </c>
      <c r="B153" s="303">
        <v>6940.0095066970998</v>
      </c>
      <c r="C153" s="230">
        <v>118.55</v>
      </c>
      <c r="E153" s="270">
        <v>-3.771654560256632E-3</v>
      </c>
      <c r="F153" s="270">
        <v>-0.1903428493375221</v>
      </c>
    </row>
    <row r="154" spans="1:6">
      <c r="A154" s="302">
        <v>46045</v>
      </c>
      <c r="B154" s="303">
        <v>6915.6106456892903</v>
      </c>
      <c r="C154" s="230">
        <v>131.75</v>
      </c>
      <c r="E154" s="270">
        <v>-3.5156812082555171E-3</v>
      </c>
      <c r="F154" s="270">
        <v>0.1113454238717841</v>
      </c>
    </row>
    <row r="155" spans="1:6">
      <c r="A155" s="302">
        <v>46052</v>
      </c>
      <c r="B155" s="303">
        <v>6939.0295201634999</v>
      </c>
      <c r="C155" s="230">
        <v>118.18</v>
      </c>
      <c r="E155" s="270">
        <v>3.3863783943370862E-3</v>
      </c>
      <c r="F155" s="270">
        <v>-0.1029981024667931</v>
      </c>
    </row>
    <row r="156" spans="1:6">
      <c r="A156" s="302">
        <v>46059</v>
      </c>
      <c r="B156" s="303">
        <v>6932.2976689031002</v>
      </c>
      <c r="C156" s="230">
        <v>94.72</v>
      </c>
      <c r="E156" s="270">
        <v>-9.7014304966391851E-4</v>
      </c>
      <c r="F156" s="270">
        <v>-0.1985107463191742</v>
      </c>
    </row>
    <row r="157" spans="1:6">
      <c r="A157" s="302">
        <v>46066</v>
      </c>
      <c r="B157" s="303">
        <v>6836.1720911904304</v>
      </c>
      <c r="C157" s="230">
        <v>84.38</v>
      </c>
      <c r="E157" s="270">
        <v>-1.386633729591125E-2</v>
      </c>
      <c r="F157" s="270">
        <v>-0.1091638513513514</v>
      </c>
    </row>
    <row r="158" spans="1:6">
      <c r="A158" s="302">
        <v>46073</v>
      </c>
      <c r="B158" s="303">
        <v>6909.5066240176502</v>
      </c>
      <c r="C158" s="230">
        <v>75.98</v>
      </c>
      <c r="E158" s="270">
        <v>1.0727426379702139E-2</v>
      </c>
      <c r="F158" s="270">
        <v>-9.9549656316662571E-2</v>
      </c>
    </row>
    <row r="159" spans="1:6">
      <c r="A159" s="302">
        <v>46080</v>
      </c>
      <c r="B159" s="303">
        <v>6878.8784986626997</v>
      </c>
      <c r="C159" s="230">
        <v>75.13</v>
      </c>
      <c r="E159" s="270">
        <v>-4.4327514280811942E-3</v>
      </c>
      <c r="F159" s="270">
        <v>-1.1187154514346039E-2</v>
      </c>
    </row>
    <row r="160" spans="1:6">
      <c r="A160" s="302">
        <v>46087</v>
      </c>
      <c r="B160" s="303">
        <v>6740.0234284974304</v>
      </c>
      <c r="C160" s="230">
        <v>83.62</v>
      </c>
      <c r="E160" s="270">
        <v>-2.0185713440390551E-2</v>
      </c>
      <c r="F160" s="270">
        <v>0.113004126181286</v>
      </c>
    </row>
    <row r="161" spans="1:6">
      <c r="A161" s="302">
        <v>46094</v>
      </c>
      <c r="B161" s="303">
        <v>6632.1915348429402</v>
      </c>
      <c r="C161" s="230">
        <v>75.209999999999994</v>
      </c>
      <c r="E161" s="270">
        <v>-1.5998741665877229E-2</v>
      </c>
      <c r="F161" s="270">
        <v>-0.1005740253527866</v>
      </c>
    </row>
    <row r="162" spans="1:6">
      <c r="A162" s="302">
        <v>46101</v>
      </c>
      <c r="B162" s="303">
        <v>6506.4789139558397</v>
      </c>
      <c r="C162" s="230">
        <v>73.73</v>
      </c>
      <c r="E162" s="270">
        <v>-1.895491410744932E-2</v>
      </c>
      <c r="F162" s="270">
        <v>-1.9678234277356599E-2</v>
      </c>
    </row>
    <row r="163" spans="1:6">
      <c r="A163" s="302">
        <v>46108</v>
      </c>
      <c r="B163" s="303">
        <v>6368.8530694741203</v>
      </c>
      <c r="C163" s="230">
        <v>65.12</v>
      </c>
      <c r="E163" s="270">
        <v>-2.1152123337635609E-2</v>
      </c>
      <c r="F163" s="270">
        <v>-0.1167774311677743</v>
      </c>
    </row>
    <row r="164" spans="1:6">
      <c r="A164" s="302">
        <v>46114</v>
      </c>
      <c r="B164" s="303">
        <v>6582.6867559638604</v>
      </c>
      <c r="C164" s="230">
        <v>68.290000000000006</v>
      </c>
      <c r="E164" s="270">
        <v>3.3574912807243777E-2</v>
      </c>
      <c r="F164" s="270">
        <v>4.8679361179361218E-2</v>
      </c>
    </row>
    <row r="165" spans="1:6">
      <c r="A165" s="302">
        <v>46122</v>
      </c>
      <c r="B165" s="303">
        <v>6816.8919249828696</v>
      </c>
      <c r="C165" s="230">
        <v>57.15</v>
      </c>
      <c r="E165" s="270">
        <v>3.5578963074130998E-2</v>
      </c>
      <c r="F165" s="270">
        <v>-0.16312783716503149</v>
      </c>
    </row>
    <row r="166" spans="1:6">
      <c r="A166" s="302">
        <v>46129</v>
      </c>
      <c r="B166" s="303">
        <v>7126.0560737229498</v>
      </c>
      <c r="C166" s="230">
        <v>66.94</v>
      </c>
      <c r="E166" s="270">
        <v>4.5352655160490578E-2</v>
      </c>
      <c r="F166" s="270">
        <v>0.17130358705161861</v>
      </c>
    </row>
    <row r="167" spans="1:6">
      <c r="A167" s="302">
        <v>46136</v>
      </c>
      <c r="B167" s="303">
        <v>7165.0784022532698</v>
      </c>
      <c r="C167" s="230">
        <v>71.55</v>
      </c>
      <c r="E167" s="270">
        <v>5.4760063808947379E-3</v>
      </c>
      <c r="F167" s="270">
        <v>6.886764266507317E-2</v>
      </c>
    </row>
    <row r="168" spans="1:6">
      <c r="A168" s="302">
        <v>46143</v>
      </c>
      <c r="B168" s="303">
        <v>7230.1188919056203</v>
      </c>
      <c r="C168" s="230">
        <v>88.88</v>
      </c>
      <c r="E168" s="270">
        <v>9.0774288850623552E-3</v>
      </c>
      <c r="F168" s="270">
        <v>0.24220824598183091</v>
      </c>
    </row>
    <row r="169" spans="1:6">
      <c r="A169" s="302">
        <v>46150</v>
      </c>
      <c r="B169" s="303">
        <v>7398.93294015008</v>
      </c>
      <c r="C169" s="230">
        <v>91.6</v>
      </c>
      <c r="E169" s="270">
        <v>2.3348723688825231E-2</v>
      </c>
      <c r="F169" s="270">
        <v>3.0603060306030549E-2</v>
      </c>
    </row>
    <row r="170" spans="1:6">
      <c r="A170" s="302">
        <v>46157</v>
      </c>
      <c r="B170" s="303">
        <v>7408.5008737653698</v>
      </c>
      <c r="C170" s="230">
        <v>87.46</v>
      </c>
      <c r="E170" s="270">
        <v>1.2931504708428849E-3</v>
      </c>
      <c r="F170" s="270">
        <v>-4.5196506550218341E-2</v>
      </c>
    </row>
    <row r="171" spans="1:6">
      <c r="A171" s="302">
        <v>46164</v>
      </c>
      <c r="B171" s="303">
        <v>7473.4670879144696</v>
      </c>
      <c r="C171" s="230">
        <v>85.42</v>
      </c>
      <c r="E171" s="270">
        <v>8.7691444269319963E-3</v>
      </c>
      <c r="F171" s="270">
        <v>-2.3324948547907561E-2</v>
      </c>
    </row>
    <row r="172" spans="1:6">
      <c r="A172" s="302">
        <v>46171</v>
      </c>
      <c r="B172" s="303">
        <v>7580.0556714370296</v>
      </c>
      <c r="C172" s="230">
        <v>107.61</v>
      </c>
      <c r="E172" s="270">
        <v>1.4262267066771139E-2</v>
      </c>
      <c r="F172" s="270">
        <v>0.2597752282837742</v>
      </c>
    </row>
    <row r="173" spans="1:6">
      <c r="A173" s="302">
        <v>46178</v>
      </c>
      <c r="B173" s="303">
        <v>7383.7380908955502</v>
      </c>
      <c r="C173" s="230">
        <v>99.47</v>
      </c>
      <c r="E173" s="270">
        <v>-2.589922674067402E-2</v>
      </c>
      <c r="F173" s="270">
        <v>-7.5643527553201362E-2</v>
      </c>
    </row>
    <row r="174" spans="1:6">
      <c r="A174" s="302">
        <v>46185</v>
      </c>
      <c r="B174" s="303">
        <v>7431.4591596767204</v>
      </c>
      <c r="C174" s="230">
        <v>88.52</v>
      </c>
      <c r="E174" s="270">
        <v>6.4629958692619116E-3</v>
      </c>
      <c r="F174" s="270">
        <v>-0.1100834422438927</v>
      </c>
    </row>
    <row r="175" spans="1:6">
      <c r="A175" s="302">
        <v>46191</v>
      </c>
      <c r="B175" s="303">
        <v>7500.5838353990703</v>
      </c>
      <c r="C175" s="230">
        <v>82.72</v>
      </c>
      <c r="E175" s="270">
        <v>9.3016289583371936E-3</v>
      </c>
      <c r="F175" s="270">
        <v>-6.5521915951197496E-2</v>
      </c>
    </row>
    <row r="176" spans="1:6">
      <c r="A176" s="302">
        <v>46199</v>
      </c>
      <c r="B176" s="303">
        <v>7354.0165765083502</v>
      </c>
      <c r="C176" s="230">
        <v>78.739999999999995</v>
      </c>
      <c r="E176" s="270">
        <v>-1.9540780038881041E-2</v>
      </c>
      <c r="F176" s="270">
        <v>-4.8114119922630587E-2</v>
      </c>
    </row>
    <row r="177" spans="1:6">
      <c r="A177" s="302">
        <v>46205</v>
      </c>
      <c r="B177" s="303">
        <v>7483.2382571119897</v>
      </c>
      <c r="C177" s="230">
        <v>83.84</v>
      </c>
      <c r="E177" s="270">
        <v>1.7571578641313531E-2</v>
      </c>
      <c r="F177" s="270">
        <v>6.477012954025918E-2</v>
      </c>
    </row>
    <row r="178" spans="1:6">
      <c r="A178" s="302">
        <v>46213</v>
      </c>
      <c r="B178" s="303">
        <v>7575.3928250553799</v>
      </c>
      <c r="C178" s="230">
        <v>88.86</v>
      </c>
      <c r="E178" s="270">
        <v>1.231479805628366E-2</v>
      </c>
      <c r="F178" s="270">
        <v>5.9875954198473247E-2</v>
      </c>
    </row>
    <row r="179" spans="1:6">
      <c r="A179" s="302">
        <v>46220</v>
      </c>
      <c r="B179" s="303">
        <v>7457.6858298220304</v>
      </c>
      <c r="C179" s="230">
        <v>93.29</v>
      </c>
      <c r="E179" s="270">
        <v>-1.553807148377007E-2</v>
      </c>
      <c r="F179" s="270">
        <v>4.9853702453297448E-2</v>
      </c>
    </row>
  </sheetData>
  <mergeCells count="4">
    <mergeCell ref="A5:F6"/>
    <mergeCell ref="A7:F7"/>
    <mergeCell ref="A9:B9"/>
    <mergeCell ref="A18:B18"/>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0DF5A-DEC1-4F3B-A65E-D249E2B9CE79}">
  <sheetPr codeName="Sheet14">
    <tabColor rgb="FFFFFF00"/>
  </sheetPr>
  <dimension ref="A1:AD89"/>
  <sheetViews>
    <sheetView showGridLines="0" topLeftCell="A46" zoomScale="84" zoomScaleNormal="95" workbookViewId="0">
      <selection activeCell="S10" sqref="S10"/>
    </sheetView>
  </sheetViews>
  <sheetFormatPr defaultColWidth="8.7265625" defaultRowHeight="12"/>
  <cols>
    <col min="1" max="1" width="2.453125" style="213" customWidth="1"/>
    <col min="2" max="2" width="8.26953125" style="213" customWidth="1"/>
    <col min="3" max="3" width="10" style="213" customWidth="1"/>
    <col min="4" max="4" width="8.26953125" style="346" customWidth="1"/>
    <col min="5" max="5" width="12.1796875" style="213" bestFit="1" customWidth="1"/>
    <col min="6" max="6" width="9.453125" style="213" customWidth="1"/>
    <col min="7" max="10" width="8.26953125" style="213" customWidth="1"/>
    <col min="11" max="11" width="10" style="213" bestFit="1" customWidth="1"/>
    <col min="12" max="12" width="8.08984375" style="213" bestFit="1" customWidth="1"/>
    <col min="13" max="15" width="8.26953125" style="213" customWidth="1"/>
    <col min="16" max="16" width="10" style="213" customWidth="1"/>
    <col min="17" max="17" width="9.81640625" style="230" bestFit="1" customWidth="1"/>
    <col min="18" max="18" width="8.90625" style="230" bestFit="1" customWidth="1"/>
    <col min="19" max="19" width="13.81640625" style="230" bestFit="1" customWidth="1"/>
    <col min="20" max="20" width="8.90625" style="230" bestFit="1" customWidth="1"/>
    <col min="21" max="16384" width="8.7265625" style="230"/>
  </cols>
  <sheetData>
    <row r="1" spans="1:23">
      <c r="A1" s="217" t="s">
        <v>491</v>
      </c>
      <c r="D1" s="213"/>
    </row>
    <row r="2" spans="1:23">
      <c r="A2" s="217" t="s">
        <v>89</v>
      </c>
      <c r="D2" s="213"/>
      <c r="L2" s="307">
        <f>L22/L10</f>
        <v>0.82313997051596366</v>
      </c>
      <c r="M2" s="307">
        <f t="shared" ref="M2:Q2" si="0">M22/M10</f>
        <v>0.82048585224323578</v>
      </c>
      <c r="N2" s="307">
        <f t="shared" si="0"/>
        <v>0.81738618189807632</v>
      </c>
      <c r="O2" s="307">
        <f t="shared" si="0"/>
        <v>0.81377869481610576</v>
      </c>
      <c r="P2" s="307">
        <f t="shared" si="0"/>
        <v>0.81480665417811415</v>
      </c>
      <c r="Q2" s="307">
        <f t="shared" si="0"/>
        <v>0.81159954734227679</v>
      </c>
    </row>
    <row r="3" spans="1:23">
      <c r="D3" s="213"/>
      <c r="E3" s="213">
        <f t="shared" ref="E3:Q3" si="1">E24/E10</f>
        <v>0.82474431179309793</v>
      </c>
      <c r="F3" s="213">
        <f t="shared" si="1"/>
        <v>0.79050868973334387</v>
      </c>
      <c r="G3" s="213">
        <f t="shared" si="1"/>
        <v>0.87182835381582258</v>
      </c>
      <c r="H3" s="213">
        <f t="shared" si="1"/>
        <v>0.91836723723755165</v>
      </c>
      <c r="I3" s="213">
        <f t="shared" si="1"/>
        <v>0.84251421843191487</v>
      </c>
      <c r="J3" s="213">
        <f t="shared" si="1"/>
        <v>0.85342004991463571</v>
      </c>
      <c r="K3" s="213">
        <f t="shared" si="1"/>
        <v>0.84675322580743329</v>
      </c>
      <c r="L3" s="213">
        <f t="shared" si="1"/>
        <v>0.81654137960044804</v>
      </c>
      <c r="M3" s="213">
        <f t="shared" si="1"/>
        <v>0.79654137960044813</v>
      </c>
      <c r="N3" s="213">
        <f t="shared" si="1"/>
        <v>0.77654137960044811</v>
      </c>
      <c r="O3" s="213">
        <f t="shared" si="1"/>
        <v>0.73654137960044797</v>
      </c>
      <c r="P3" s="213">
        <f t="shared" si="1"/>
        <v>0.69654137960044793</v>
      </c>
      <c r="Q3" s="213">
        <f t="shared" si="1"/>
        <v>0.65654137960044801</v>
      </c>
    </row>
    <row r="4" spans="1:23">
      <c r="D4" s="213"/>
      <c r="E4" s="213">
        <v>0</v>
      </c>
      <c r="F4" s="213">
        <v>1</v>
      </c>
      <c r="G4" s="213">
        <v>2</v>
      </c>
      <c r="H4" s="213">
        <v>3</v>
      </c>
      <c r="I4" s="213">
        <v>4</v>
      </c>
      <c r="J4" s="213">
        <v>5</v>
      </c>
      <c r="K4" s="213">
        <v>6</v>
      </c>
      <c r="L4" s="213">
        <v>7</v>
      </c>
      <c r="M4" s="213">
        <v>8</v>
      </c>
      <c r="N4" s="213">
        <v>9</v>
      </c>
      <c r="O4" s="213">
        <v>10</v>
      </c>
      <c r="P4" s="213">
        <v>11</v>
      </c>
      <c r="Q4" s="230">
        <v>12</v>
      </c>
    </row>
    <row r="5" spans="1:23">
      <c r="D5" s="213"/>
      <c r="E5" s="229">
        <v>43983</v>
      </c>
      <c r="F5" s="214">
        <v>44377</v>
      </c>
      <c r="G5" s="214">
        <f>EDATE(F5,12)</f>
        <v>44742</v>
      </c>
      <c r="H5" s="214">
        <f t="shared" ref="H5:Q5" si="2">EDATE(G5,12)</f>
        <v>45107</v>
      </c>
      <c r="I5" s="214">
        <f t="shared" si="2"/>
        <v>45473</v>
      </c>
      <c r="J5" s="214">
        <f t="shared" si="2"/>
        <v>45838</v>
      </c>
      <c r="K5" s="214">
        <v>46174</v>
      </c>
      <c r="L5" s="214">
        <f t="shared" si="2"/>
        <v>46539</v>
      </c>
      <c r="M5" s="214">
        <f t="shared" si="2"/>
        <v>46905</v>
      </c>
      <c r="N5" s="214">
        <f t="shared" si="2"/>
        <v>47270</v>
      </c>
      <c r="O5" s="214">
        <f t="shared" si="2"/>
        <v>47635</v>
      </c>
      <c r="P5" s="214">
        <f t="shared" si="2"/>
        <v>48000</v>
      </c>
      <c r="Q5" s="214">
        <f t="shared" si="2"/>
        <v>48366</v>
      </c>
    </row>
    <row r="6" spans="1:23">
      <c r="D6" s="213"/>
      <c r="E6" s="215" t="s">
        <v>16</v>
      </c>
      <c r="F6" s="215" t="s">
        <v>16</v>
      </c>
      <c r="G6" s="215" t="s">
        <v>16</v>
      </c>
      <c r="H6" s="215" t="s">
        <v>16</v>
      </c>
      <c r="I6" s="215" t="s">
        <v>16</v>
      </c>
      <c r="J6" s="215" t="s">
        <v>16</v>
      </c>
      <c r="K6" s="215" t="s">
        <v>16</v>
      </c>
      <c r="L6" s="244" t="s">
        <v>17</v>
      </c>
      <c r="M6" s="244" t="s">
        <v>17</v>
      </c>
      <c r="N6" s="244" t="s">
        <v>17</v>
      </c>
      <c r="O6" s="244" t="s">
        <v>17</v>
      </c>
      <c r="P6" s="244" t="s">
        <v>17</v>
      </c>
      <c r="Q6" s="244" t="s">
        <v>17</v>
      </c>
    </row>
    <row r="7" spans="1:23">
      <c r="D7" s="213"/>
      <c r="K7" s="213">
        <v>0</v>
      </c>
      <c r="L7" s="213">
        <v>1</v>
      </c>
      <c r="M7" s="213">
        <v>2</v>
      </c>
      <c r="N7" s="213">
        <v>3</v>
      </c>
      <c r="O7" s="213">
        <v>4</v>
      </c>
      <c r="P7" s="213">
        <v>5</v>
      </c>
      <c r="Q7" s="230">
        <v>6</v>
      </c>
    </row>
    <row r="8" spans="1:23">
      <c r="A8" s="225"/>
      <c r="B8" s="225"/>
      <c r="C8" s="225"/>
      <c r="D8" s="225"/>
      <c r="E8" s="225"/>
      <c r="F8" s="225"/>
      <c r="G8" s="225"/>
      <c r="H8" s="225"/>
      <c r="I8" s="225"/>
      <c r="J8" s="225"/>
      <c r="K8" s="225"/>
      <c r="L8" s="225"/>
      <c r="M8" s="225"/>
      <c r="N8" s="225"/>
      <c r="O8" s="225"/>
      <c r="P8" s="225"/>
      <c r="Q8" s="225"/>
    </row>
    <row r="9" spans="1:23">
      <c r="D9" s="213"/>
      <c r="E9" s="307">
        <v>0.33389999999999997</v>
      </c>
      <c r="F9" s="307">
        <f>F10/E10-1</f>
        <v>0.29424293430753701</v>
      </c>
      <c r="G9" s="307">
        <f t="shared" ref="G9:K9" si="3">G10/F10-1</f>
        <v>0.34164906765106262</v>
      </c>
      <c r="H9" s="307">
        <f t="shared" si="3"/>
        <v>0.2610759211411684</v>
      </c>
      <c r="I9" s="307">
        <f t="shared" si="3"/>
        <v>0.23310842638600127</v>
      </c>
      <c r="J9" s="307">
        <f t="shared" si="3"/>
        <v>0.19655403348274669</v>
      </c>
      <c r="K9" s="307">
        <f t="shared" si="3"/>
        <v>0.26019652929148518</v>
      </c>
      <c r="L9" s="307">
        <f t="shared" ref="L9:Q9" si="4">L10/K10-1</f>
        <v>0.14729193072471292</v>
      </c>
      <c r="M9" s="307">
        <f t="shared" si="4"/>
        <v>0.21108026685692627</v>
      </c>
      <c r="N9" s="307">
        <f t="shared" si="4"/>
        <v>0.20625792674238363</v>
      </c>
      <c r="O9" s="307">
        <f t="shared" si="4"/>
        <v>0.17805129471110792</v>
      </c>
      <c r="P9" s="307">
        <f t="shared" si="4"/>
        <v>0.13031412252097141</v>
      </c>
      <c r="Q9" s="307">
        <f t="shared" si="4"/>
        <v>0.10145760739666554</v>
      </c>
    </row>
    <row r="10" spans="1:23">
      <c r="A10" s="239"/>
      <c r="B10" s="236" t="s">
        <v>492</v>
      </c>
      <c r="C10" s="236"/>
      <c r="D10" s="236"/>
      <c r="E10" s="617">
        <v>1614.173</v>
      </c>
      <c r="F10" s="335">
        <v>2089.1320000000001</v>
      </c>
      <c r="G10" s="335">
        <f>SUM(G11:G14)</f>
        <v>2802.8819999999996</v>
      </c>
      <c r="H10" s="335">
        <f>SUM(H11:H14)</f>
        <v>3534.6469999999999</v>
      </c>
      <c r="I10" s="335">
        <f>SUM(I11:I14)</f>
        <v>4358.6030000000001</v>
      </c>
      <c r="J10" s="335">
        <f>SUM(J11:J14)</f>
        <v>5215.3040000000001</v>
      </c>
      <c r="K10" s="335">
        <f>SUM(K11:K14)</f>
        <v>6572.308</v>
      </c>
      <c r="L10" s="335">
        <f>SUM(L11:L15)</f>
        <v>7540.3559346374768</v>
      </c>
      <c r="M10" s="335">
        <f t="shared" ref="M10:Q10" si="5">SUM(M11:M15)</f>
        <v>9131.9762775169638</v>
      </c>
      <c r="N10" s="335">
        <f t="shared" si="5"/>
        <v>11015.518771578243</v>
      </c>
      <c r="O10" s="335">
        <f t="shared" si="5"/>
        <v>12976.846150772262</v>
      </c>
      <c r="P10" s="335">
        <f t="shared" si="5"/>
        <v>14667.912469999794</v>
      </c>
      <c r="Q10" s="335">
        <f t="shared" si="5"/>
        <v>16156.083774709687</v>
      </c>
      <c r="R10" s="270">
        <f>_xlfn.RRI(Q7,K10,Q10)</f>
        <v>0.16172418708959513</v>
      </c>
      <c r="S10" s="270"/>
    </row>
    <row r="11" spans="1:23">
      <c r="A11" s="239"/>
      <c r="B11" s="978" t="s">
        <v>374</v>
      </c>
      <c r="D11" s="213"/>
      <c r="E11" s="802">
        <f>E10*(F11/F10)</f>
        <v>872.72903545422184</v>
      </c>
      <c r="F11" s="802">
        <f>F10*(G11/G10)</f>
        <v>1129.5233877016587</v>
      </c>
      <c r="G11" s="802">
        <f>'IS Historical'!G11</f>
        <v>1515.424</v>
      </c>
      <c r="H11" s="802">
        <f>'IS Historical'!H11</f>
        <v>2085.5</v>
      </c>
      <c r="I11" s="802">
        <f>'IS Historical'!I11</f>
        <v>2698.9</v>
      </c>
      <c r="J11" s="802">
        <f>'IS Historical'!J11</f>
        <v>3447.4</v>
      </c>
      <c r="K11" s="802">
        <f>'IS Historical'!K11</f>
        <v>4410.6270000000004</v>
      </c>
      <c r="L11" s="618">
        <f>K11*(1+'Revenue Assumptions'!F7)+'Revenue Assumptions'!Q8</f>
        <v>5909.4217500000004</v>
      </c>
      <c r="M11" s="618">
        <f>L11*(1+'Revenue Assumptions'!G7)+'Revenue Assumptions'!R8</f>
        <v>7634.3850903600005</v>
      </c>
      <c r="N11" s="618">
        <f>M11*(1+'Revenue Assumptions'!H7)+'Revenue Assumptions'!S8</f>
        <v>10459.659292926481</v>
      </c>
      <c r="O11" s="618">
        <f>N11*(1+'Revenue Assumptions'!I7)</f>
        <v>12342.397965653247</v>
      </c>
      <c r="P11" s="618">
        <f>O11*(1+'Revenue Assumptions'!J7)</f>
        <v>13946.909701188168</v>
      </c>
      <c r="Q11" s="618">
        <f>P11*(1+'Revenue Assumptions'!K7)</f>
        <v>15341.600671306986</v>
      </c>
      <c r="R11" s="270"/>
      <c r="S11" s="270"/>
    </row>
    <row r="12" spans="1:23">
      <c r="A12" s="239"/>
      <c r="B12" s="979" t="s">
        <v>375</v>
      </c>
      <c r="D12" s="213"/>
      <c r="E12" s="802">
        <f>E10*($G$12/$G$10)</f>
        <v>322.68636395931048</v>
      </c>
      <c r="F12" s="802">
        <f>F10*($G$12/$G$10)</f>
        <v>417.63454655172785</v>
      </c>
      <c r="G12" s="802">
        <f>'IS Historical'!G12</f>
        <v>560.31899999999996</v>
      </c>
      <c r="H12" s="802">
        <f>'IS Historical'!H12</f>
        <v>819.25099999999998</v>
      </c>
      <c r="I12" s="802">
        <f>'IS Historical'!I12</f>
        <v>1208.498</v>
      </c>
      <c r="J12" s="802">
        <f>'IS Historical'!J12</f>
        <v>1467.1669999999999</v>
      </c>
      <c r="K12" s="802">
        <f>'IS Historical'!K12</f>
        <v>1830.941</v>
      </c>
      <c r="L12" s="618">
        <f>K12*(1+'Revenue Assumptions'!F16)</f>
        <v>1208.4210599999999</v>
      </c>
      <c r="M12" s="618">
        <f>L12*(1+'Revenue Assumptions'!G16)</f>
        <v>1012.6568482799998</v>
      </c>
      <c r="N12" s="618">
        <f>M12*(1+'Revenue Assumptions'!H16)</f>
        <v>0</v>
      </c>
      <c r="O12" s="618">
        <f>N12*(1+'Revenue Assumptions'!I16)</f>
        <v>0</v>
      </c>
      <c r="P12" s="618" t="s">
        <v>269</v>
      </c>
      <c r="Q12" s="618" t="s">
        <v>269</v>
      </c>
      <c r="R12" s="270"/>
    </row>
    <row r="13" spans="1:23">
      <c r="A13" s="239"/>
      <c r="B13" s="979" t="s">
        <v>376</v>
      </c>
      <c r="D13" s="213"/>
      <c r="E13" s="802">
        <f>E10*($G$13/$G$10)</f>
        <v>302.36236197028637</v>
      </c>
      <c r="F13" s="802">
        <f>F10*($G$13/$G$10)</f>
        <v>391.33035058058107</v>
      </c>
      <c r="G13" s="802">
        <f>'IS Historical'!G13</f>
        <v>525.02800000000002</v>
      </c>
      <c r="H13" s="802">
        <f>'IS Historical'!H13</f>
        <v>400.517</v>
      </c>
      <c r="I13" s="802">
        <f>'IS Historical'!I13</f>
        <v>177.64500000000001</v>
      </c>
      <c r="J13" s="802" t="str">
        <f>'IS Historical'!J13</f>
        <v>-</v>
      </c>
      <c r="K13" s="802" t="str">
        <f>'IS Historical'!K13</f>
        <v>-</v>
      </c>
      <c r="L13" s="334" t="s">
        <v>269</v>
      </c>
      <c r="M13" s="334" t="s">
        <v>269</v>
      </c>
      <c r="N13" s="334" t="s">
        <v>269</v>
      </c>
      <c r="O13" s="334" t="s">
        <v>269</v>
      </c>
      <c r="P13" s="334" t="s">
        <v>269</v>
      </c>
      <c r="Q13" s="334" t="s">
        <v>269</v>
      </c>
      <c r="R13" s="270"/>
    </row>
    <row r="14" spans="1:23">
      <c r="A14" s="239"/>
      <c r="B14" s="979" t="s">
        <v>377</v>
      </c>
      <c r="D14" s="213"/>
      <c r="E14" s="802">
        <f>E10*(G14/G10)</f>
        <v>116.39523861618149</v>
      </c>
      <c r="F14" s="802">
        <f>F10*(G14/G10)</f>
        <v>150.64371516603268</v>
      </c>
      <c r="G14" s="802">
        <f>'IS Historical'!G14</f>
        <v>202.11099999999999</v>
      </c>
      <c r="H14" s="802">
        <f>'IS Historical'!H14</f>
        <v>229.37899999999999</v>
      </c>
      <c r="I14" s="802">
        <f>'IS Historical'!I14</f>
        <v>273.56</v>
      </c>
      <c r="J14" s="802">
        <f>'IS Historical'!J14</f>
        <v>300.73700000000002</v>
      </c>
      <c r="K14" s="802">
        <f>'IS Historical'!K14</f>
        <v>330.74</v>
      </c>
      <c r="L14" s="618">
        <f>K14*(1+'Revenue Assumptions'!F25)</f>
        <v>373.7362</v>
      </c>
      <c r="M14" s="618">
        <f>L14*(1+'Revenue Assumptions'!G25)</f>
        <v>416.71586300000001</v>
      </c>
      <c r="N14" s="618">
        <f>M14*(1+'Revenue Assumptions'!H25)</f>
        <v>460.47102861500002</v>
      </c>
      <c r="O14" s="618">
        <f>N14*(1+'Revenue Assumptions'!I25)</f>
        <v>501.91342119035005</v>
      </c>
      <c r="P14" s="618">
        <f>O14*(1+'Revenue Assumptions'!J25)</f>
        <v>539.55692777962633</v>
      </c>
      <c r="Q14" s="618">
        <f>P14*(1+'Revenue Assumptions'!K25)</f>
        <v>571.93034344640398</v>
      </c>
      <c r="R14" s="270">
        <f>_xlfn.RRI(Q7,K14,Q14)</f>
        <v>9.557657049940782E-2</v>
      </c>
    </row>
    <row r="15" spans="1:23">
      <c r="A15" s="239"/>
      <c r="B15" s="979" t="s">
        <v>493</v>
      </c>
      <c r="D15" s="213"/>
      <c r="E15" s="802"/>
      <c r="F15" s="802"/>
      <c r="G15" s="802"/>
      <c r="H15" s="802"/>
      <c r="I15" s="802"/>
      <c r="J15" s="802"/>
      <c r="K15" s="802"/>
      <c r="L15" s="618">
        <f>-'CF Intergrated'!K31/'Acquistion Multiples'!$C$6</f>
        <v>48.776924637476625</v>
      </c>
      <c r="M15" s="618">
        <f>-'CF Intergrated'!L31/'Acquistion Multiples'!$C$6+L15</f>
        <v>68.218475876962827</v>
      </c>
      <c r="N15" s="618">
        <f>-'CF Intergrated'!M31/'Acquistion Multiples'!$C$6+M15</f>
        <v>95.388450036761768</v>
      </c>
      <c r="O15" s="618">
        <f>-'CF Intergrated'!N31/'Acquistion Multiples'!$C$6+N15</f>
        <v>132.53476392866602</v>
      </c>
      <c r="P15" s="618">
        <f>-'CF Intergrated'!O31/'Acquistion Multiples'!$C$6+O15</f>
        <v>181.44584103199983</v>
      </c>
      <c r="Q15" s="618">
        <f>-'CF Intergrated'!P31/'Acquistion Multiples'!$C$6+P15</f>
        <v>242.55275995629745</v>
      </c>
      <c r="R15" s="270">
        <f>L15/L10</f>
        <v>6.4687827816475229E-3</v>
      </c>
      <c r="S15" s="270">
        <f t="shared" ref="S15:W15" si="6">M15/M10</f>
        <v>7.4702861465943075E-3</v>
      </c>
      <c r="T15" s="270">
        <f t="shared" si="6"/>
        <v>8.6594605315256559E-3</v>
      </c>
      <c r="U15" s="270">
        <f t="shared" si="6"/>
        <v>1.0213172167474511E-2</v>
      </c>
      <c r="V15" s="270">
        <f t="shared" si="6"/>
        <v>1.2370256599438405E-2</v>
      </c>
      <c r="W15" s="270">
        <f t="shared" si="6"/>
        <v>1.5013091250243653E-2</v>
      </c>
    </row>
    <row r="16" spans="1:23">
      <c r="A16" s="231"/>
      <c r="B16" s="980"/>
      <c r="C16" s="231"/>
      <c r="D16" s="231"/>
      <c r="E16" s="333"/>
      <c r="F16" s="619"/>
      <c r="G16" s="619"/>
      <c r="H16" s="919"/>
      <c r="I16" s="919"/>
      <c r="J16" s="919"/>
      <c r="K16" s="919"/>
      <c r="L16" s="919"/>
      <c r="M16" s="919"/>
      <c r="N16" s="919"/>
      <c r="O16" s="919"/>
      <c r="P16" s="919"/>
      <c r="Q16" s="919"/>
    </row>
    <row r="17" spans="1:30">
      <c r="A17" s="239"/>
      <c r="B17" s="236" t="s">
        <v>494</v>
      </c>
      <c r="C17" s="236"/>
      <c r="D17" s="236"/>
      <c r="E17" s="801">
        <f>'IS Historical'!E16</f>
        <v>183.62799999999999</v>
      </c>
      <c r="F17" s="617">
        <f>'IS Historical'!F16</f>
        <v>253.85900000000001</v>
      </c>
      <c r="G17" s="617">
        <f>'IS Historical'!G16</f>
        <v>410.35399999999998</v>
      </c>
      <c r="H17" s="617">
        <f>'IS Historical'!H16</f>
        <v>581.28499999999997</v>
      </c>
      <c r="I17" s="617">
        <f>'IS Historical'!I16</f>
        <v>724.75700000000006</v>
      </c>
      <c r="J17" s="617">
        <f>'IS Historical'!J16</f>
        <v>816.11300000000006</v>
      </c>
      <c r="K17" s="617">
        <f>'IS Historical'!K16</f>
        <v>856.16200000000003</v>
      </c>
      <c r="L17" s="620">
        <f>'IS Assumption'!G10*'IS Intergrated'!L10</f>
        <v>1194.4376208312112</v>
      </c>
      <c r="M17" s="620">
        <f>'IS Assumption'!H10*'IS Intergrated'!M10</f>
        <v>1492.2197139678005</v>
      </c>
      <c r="N17" s="620">
        <f>'IS Assumption'!I10*'IS Intergrated'!N10</f>
        <v>1855.0794522728029</v>
      </c>
      <c r="O17" s="620">
        <f>'IS Assumption'!J10*'IS Intergrated'!O10</f>
        <v>2250.2629812958098</v>
      </c>
      <c r="P17" s="620">
        <f>'IS Assumption'!K10*'IS Intergrated'!P10</f>
        <v>2616.843589494797</v>
      </c>
      <c r="Q17" s="620">
        <f>'IS Assumption'!L10*'IS Intergrated'!Q10</f>
        <v>2963.1226978897898</v>
      </c>
      <c r="R17" s="304" t="s">
        <v>495</v>
      </c>
      <c r="S17" s="303"/>
      <c r="T17" s="303"/>
      <c r="U17" s="303"/>
    </row>
    <row r="18" spans="1:30">
      <c r="A18" s="231"/>
      <c r="B18" s="248" t="s">
        <v>36</v>
      </c>
      <c r="C18" s="231"/>
      <c r="D18" s="231"/>
      <c r="E18" s="802">
        <f>'IS Historical'!E17</f>
        <v>85.17900000000003</v>
      </c>
      <c r="F18" s="802">
        <f>'IS Historical'!F17</f>
        <v>82.162000000000006</v>
      </c>
      <c r="G18" s="802">
        <f>'IS Historical'!G17</f>
        <v>55.353000000000009</v>
      </c>
      <c r="H18" s="802">
        <f>'IS Historical'!H17</f>
        <v>52.480000000000018</v>
      </c>
      <c r="I18" s="802">
        <f>'IS Historical'!I17</f>
        <v>78.738</v>
      </c>
      <c r="J18" s="802">
        <f>'IS Historical'!J17</f>
        <v>78.737999999999943</v>
      </c>
      <c r="K18" s="802">
        <f>'IS Historical'!K17</f>
        <v>140.66999999999999</v>
      </c>
      <c r="L18" s="333">
        <f t="shared" ref="L18:Q18" si="7">SUM(L19:L20)</f>
        <v>139.14995208890153</v>
      </c>
      <c r="M18" s="333">
        <f>SUM(M19:M20)</f>
        <v>147.09922482564593</v>
      </c>
      <c r="N18" s="333">
        <f t="shared" si="7"/>
        <v>156.5064889785109</v>
      </c>
      <c r="O18" s="333">
        <f t="shared" si="7"/>
        <v>166.30224607159414</v>
      </c>
      <c r="P18" s="333">
        <f t="shared" si="7"/>
        <v>99.556197047027197</v>
      </c>
      <c r="Q18" s="333">
        <f t="shared" si="7"/>
        <v>80.69079844161206</v>
      </c>
    </row>
    <row r="19" spans="1:30">
      <c r="A19" s="231"/>
      <c r="B19" s="235" t="s">
        <v>496</v>
      </c>
      <c r="C19" s="231"/>
      <c r="D19" s="231"/>
      <c r="E19" s="802">
        <f>'IS Historical'!E18</f>
        <v>42.644000000000034</v>
      </c>
      <c r="F19" s="802">
        <f>'IS Historical'!F18</f>
        <v>50.408000000000001</v>
      </c>
      <c r="G19" s="802">
        <f>'IS Historical'!G18</f>
        <v>22.955000000000005</v>
      </c>
      <c r="H19" s="802">
        <f>'IS Historical'!H18</f>
        <v>19.353000000000016</v>
      </c>
      <c r="I19" s="802">
        <f>'IS Historical'!I18</f>
        <v>28.99</v>
      </c>
      <c r="J19" s="802">
        <f>'IS Historical'!J18</f>
        <v>23.22099999999994</v>
      </c>
      <c r="K19" s="802">
        <f>'IS Historical'!K18</f>
        <v>39.18</v>
      </c>
      <c r="L19" s="618">
        <f>'IS Assumption'!F20*'BS Intergrated'!L21</f>
        <v>37.65995208890152</v>
      </c>
      <c r="M19" s="618">
        <f>'IS Assumption'!G20*'BS Intergrated'!M21</f>
        <v>45.60922482564591</v>
      </c>
      <c r="N19" s="618">
        <f>'IS Assumption'!H20*'BS Intergrated'!N21</f>
        <v>55.016488978510893</v>
      </c>
      <c r="O19" s="618">
        <f>'IS Assumption'!I20*'BS Intergrated'!O21</f>
        <v>64.81224607159416</v>
      </c>
      <c r="P19" s="618">
        <f>'IS Assumption'!J20*'BS Intergrated'!P21</f>
        <v>73.258197047027224</v>
      </c>
      <c r="Q19" s="618">
        <f>'IS Assumption'!K20*'BS Intergrated'!Q21</f>
        <v>80.69079844161206</v>
      </c>
      <c r="R19" s="304" t="s">
        <v>497</v>
      </c>
    </row>
    <row r="20" spans="1:30">
      <c r="A20" s="231"/>
      <c r="B20" s="235" t="s">
        <v>498</v>
      </c>
      <c r="C20" s="231"/>
      <c r="D20" s="231"/>
      <c r="E20" s="802">
        <f>'IS Historical'!E19</f>
        <v>42.534999999999997</v>
      </c>
      <c r="F20" s="802">
        <f>'IS Historical'!F19</f>
        <v>31.754000000000001</v>
      </c>
      <c r="G20" s="802">
        <f>'IS Historical'!G19</f>
        <v>32.398000000000003</v>
      </c>
      <c r="H20" s="802">
        <f>'IS Historical'!H19</f>
        <v>33.127000000000002</v>
      </c>
      <c r="I20" s="802">
        <f>'IS Historical'!I19</f>
        <v>49.747999999999998</v>
      </c>
      <c r="J20" s="802">
        <f>'IS Historical'!J19</f>
        <v>55.517000000000003</v>
      </c>
      <c r="K20" s="802">
        <f>'IS Historical'!K19</f>
        <v>101.49</v>
      </c>
      <c r="L20" s="618">
        <f>'BS Intergrated'!K36-'BS Intergrated'!L36</f>
        <v>101.49000000000001</v>
      </c>
      <c r="M20" s="618">
        <f>'BS Intergrated'!L36-'BS Intergrated'!M36</f>
        <v>101.49000000000001</v>
      </c>
      <c r="N20" s="618">
        <f>'BS Intergrated'!M36-'BS Intergrated'!N36</f>
        <v>101.49</v>
      </c>
      <c r="O20" s="618">
        <f>'BS Intergrated'!N36-'BS Intergrated'!O36</f>
        <v>101.49</v>
      </c>
      <c r="P20" s="618">
        <f>'BS Intergrated'!O36-'BS Intergrated'!P36</f>
        <v>26.297999999999973</v>
      </c>
      <c r="Q20" s="618">
        <f>'BS Intergrated'!P36-'BS Intergrated'!Q36</f>
        <v>0</v>
      </c>
      <c r="R20" s="230" t="s">
        <v>499</v>
      </c>
    </row>
    <row r="21" spans="1:30">
      <c r="A21" s="231"/>
      <c r="B21" s="231"/>
      <c r="C21" s="231"/>
      <c r="D21" s="231"/>
      <c r="E21" s="333"/>
      <c r="F21" s="619"/>
      <c r="G21" s="619"/>
      <c r="H21" s="619"/>
      <c r="I21" s="619"/>
      <c r="J21" s="619"/>
      <c r="K21" s="231"/>
      <c r="L21" s="231"/>
      <c r="M21" s="231"/>
      <c r="N21" s="231"/>
      <c r="O21" s="231"/>
      <c r="P21" s="231"/>
      <c r="Q21" s="231"/>
    </row>
    <row r="22" spans="1:30">
      <c r="A22" s="239"/>
      <c r="B22" s="236" t="s">
        <v>500</v>
      </c>
      <c r="C22" s="236"/>
      <c r="D22" s="236"/>
      <c r="E22" s="622">
        <f t="shared" ref="E22:Q22" si="8">E10-SUM(E17:E18)</f>
        <v>1345.366</v>
      </c>
      <c r="F22" s="622">
        <f t="shared" si="8"/>
        <v>1753.1110000000001</v>
      </c>
      <c r="G22" s="622">
        <f t="shared" si="8"/>
        <v>2337.1749999999997</v>
      </c>
      <c r="H22" s="622">
        <f t="shared" si="8"/>
        <v>2900.8820000000001</v>
      </c>
      <c r="I22" s="622">
        <f t="shared" si="8"/>
        <v>3555.1080000000002</v>
      </c>
      <c r="J22" s="622">
        <f t="shared" si="8"/>
        <v>4320.4530000000004</v>
      </c>
      <c r="K22" s="622">
        <f t="shared" si="8"/>
        <v>5575.4759999999997</v>
      </c>
      <c r="L22" s="622">
        <f t="shared" si="8"/>
        <v>6206.7683617173643</v>
      </c>
      <c r="M22" s="622">
        <f t="shared" si="8"/>
        <v>7492.6573387235176</v>
      </c>
      <c r="N22" s="622">
        <f t="shared" si="8"/>
        <v>9003.9328303269285</v>
      </c>
      <c r="O22" s="622">
        <f t="shared" si="8"/>
        <v>10560.280923404858</v>
      </c>
      <c r="P22" s="622">
        <f t="shared" si="8"/>
        <v>11951.51268345797</v>
      </c>
      <c r="Q22" s="622">
        <f t="shared" si="8"/>
        <v>13112.270278378284</v>
      </c>
      <c r="R22" s="270">
        <f t="shared" ref="R22:W22" si="9">L22/L10</f>
        <v>0.82313997051596366</v>
      </c>
      <c r="S22" s="270">
        <f t="shared" si="9"/>
        <v>0.82048585224323578</v>
      </c>
      <c r="T22" s="270">
        <f t="shared" si="9"/>
        <v>0.81738618189807632</v>
      </c>
      <c r="U22" s="270">
        <f t="shared" si="9"/>
        <v>0.81377869481610576</v>
      </c>
      <c r="V22" s="270">
        <f t="shared" si="9"/>
        <v>0.81480665417811415</v>
      </c>
      <c r="W22" s="270">
        <f t="shared" si="9"/>
        <v>0.81159954734227679</v>
      </c>
    </row>
    <row r="23" spans="1:30">
      <c r="A23" s="231"/>
      <c r="B23" s="231"/>
      <c r="C23" s="231"/>
      <c r="D23" s="231"/>
      <c r="E23" s="333"/>
      <c r="F23" s="333"/>
      <c r="G23" s="333"/>
      <c r="H23" s="333"/>
      <c r="I23" s="333"/>
      <c r="J23" s="333"/>
      <c r="K23" s="231"/>
      <c r="L23" s="333"/>
      <c r="M23" s="333"/>
      <c r="N23" s="333"/>
      <c r="O23" s="333"/>
      <c r="P23" s="333"/>
      <c r="Q23" s="333"/>
    </row>
    <row r="24" spans="1:30">
      <c r="A24" s="231"/>
      <c r="B24" s="231" t="s">
        <v>501</v>
      </c>
      <c r="C24" s="231"/>
      <c r="D24" s="231"/>
      <c r="E24" s="333">
        <f>SUM(E25:E27)</f>
        <v>1331.2800000000002</v>
      </c>
      <c r="F24" s="333">
        <f t="shared" ref="F24:Q24" si="10">SUM(F25:F27)</f>
        <v>1651.4770000000001</v>
      </c>
      <c r="G24" s="333">
        <f t="shared" si="10"/>
        <v>2443.6320000000001</v>
      </c>
      <c r="H24" s="333">
        <f t="shared" si="10"/>
        <v>3246.1040000000003</v>
      </c>
      <c r="I24" s="333">
        <f t="shared" si="10"/>
        <v>3672.1849999999995</v>
      </c>
      <c r="J24" s="333">
        <f t="shared" si="10"/>
        <v>4450.8449999999993</v>
      </c>
      <c r="K24" s="333">
        <f t="shared" si="10"/>
        <v>5565.1230000000005</v>
      </c>
      <c r="L24" s="333">
        <f t="shared" si="10"/>
        <v>6157.012637547311</v>
      </c>
      <c r="M24" s="333">
        <f t="shared" si="10"/>
        <v>7273.9969825719272</v>
      </c>
      <c r="N24" s="333">
        <f t="shared" si="10"/>
        <v>8554.006143896002</v>
      </c>
      <c r="O24" s="333">
        <f t="shared" si="10"/>
        <v>9557.9841667525652</v>
      </c>
      <c r="P24" s="333">
        <f t="shared" si="10"/>
        <v>10216.807987712271</v>
      </c>
      <c r="Q24" s="333">
        <f t="shared" si="10"/>
        <v>10607.137530388311</v>
      </c>
      <c r="R24" s="744"/>
    </row>
    <row r="25" spans="1:30">
      <c r="A25" s="231"/>
      <c r="B25" s="235" t="s">
        <v>29</v>
      </c>
      <c r="C25" s="231"/>
      <c r="D25" s="231"/>
      <c r="E25" s="333">
        <f>'IS Historical'!E24</f>
        <v>763.18799999999999</v>
      </c>
      <c r="F25" s="333">
        <f>'IS Historical'!F24</f>
        <v>963.32600000000002</v>
      </c>
      <c r="G25" s="333">
        <f>'IS Historical'!G24</f>
        <v>1397.568</v>
      </c>
      <c r="H25" s="333">
        <f>'IS Historical'!H24</f>
        <v>1869.8810000000001</v>
      </c>
      <c r="I25" s="333">
        <f>'IS Historical'!I24</f>
        <v>2184.1109999999999</v>
      </c>
      <c r="J25" s="333">
        <f>'IS Historical'!J24</f>
        <v>2669.3119999999999</v>
      </c>
      <c r="K25" s="333">
        <f>'IS Historical'!K24</f>
        <v>3269.2570000000001</v>
      </c>
      <c r="L25" s="618">
        <f>'IS Assumption'!G40*'IS Intergrated'!L10</f>
        <v>3488.1886683219495</v>
      </c>
      <c r="M25" s="618">
        <f>'IS Assumption'!H40*'IS Intergrated'!M10</f>
        <v>3996.177056340729</v>
      </c>
      <c r="N25" s="618">
        <f>'IS Assumption'!I40*'IS Intergrated'!N10</f>
        <v>4545.0322815875934</v>
      </c>
      <c r="O25" s="618">
        <f>'IS Assumption'!J40*'IS Intergrated'!O10</f>
        <v>5029.8600100587382</v>
      </c>
      <c r="P25" s="618">
        <f>'IS Assumption'!K40*'IS Intergrated'!P10</f>
        <v>5318.623991922871</v>
      </c>
      <c r="Q25" s="618">
        <f>'IS Assumption'!L40*'IS Intergrated'!Q10</f>
        <v>5454.3367624181255</v>
      </c>
      <c r="R25" s="304"/>
    </row>
    <row r="26" spans="1:30">
      <c r="A26" s="231"/>
      <c r="B26" s="235" t="str">
        <f>'IS Historical'!B25</f>
        <v>M&amp;S Expense</v>
      </c>
      <c r="C26" s="231"/>
      <c r="D26" s="231"/>
      <c r="E26" s="333">
        <f>'IS Historical'!E25</f>
        <v>299.68299999999999</v>
      </c>
      <c r="F26" s="333">
        <f>'IS Historical'!F25</f>
        <v>372.90899999999999</v>
      </c>
      <c r="G26" s="333">
        <f>'IS Historical'!G25</f>
        <v>567.69100000000003</v>
      </c>
      <c r="H26" s="333">
        <f>'IS Historical'!H25</f>
        <v>769.86099999999999</v>
      </c>
      <c r="I26" s="333">
        <f>'IS Historical'!I25</f>
        <v>877.49699999999996</v>
      </c>
      <c r="J26" s="333">
        <f>'IS Historical'!J25</f>
        <v>1134.5350000000001</v>
      </c>
      <c r="K26" s="333">
        <f>'IS Historical'!K25</f>
        <v>1541.1780000000001</v>
      </c>
      <c r="L26" s="618">
        <f>'IS Assumption'!F50*'IS Intergrated'!L10</f>
        <v>1768.1810832104518</v>
      </c>
      <c r="M26" s="618">
        <f>'IS Assumption'!G50*'IS Intergrated'!M10</f>
        <v>2232.7289808810528</v>
      </c>
      <c r="N26" s="618">
        <f>'IS Assumption'!H50*'IS Intergrated'!N10</f>
        <v>2803.4022191709964</v>
      </c>
      <c r="O26" s="618">
        <f>'IS Assumption'!I50*'IS Intergrated'!O10</f>
        <v>3172.7831523826626</v>
      </c>
      <c r="P26" s="618">
        <f>'IS Assumption'!J50*'IS Intergrated'!P10</f>
        <v>3439.5624801347326</v>
      </c>
      <c r="Q26" s="618">
        <f>'IS Assumption'!K50*'IS Intergrated'!Q10</f>
        <v>3626.9714221134459</v>
      </c>
      <c r="R26" s="304"/>
      <c r="S26" s="304"/>
      <c r="T26" s="304"/>
      <c r="U26" s="304"/>
      <c r="V26" s="304"/>
      <c r="W26" s="304"/>
      <c r="X26" s="304"/>
      <c r="Y26" s="304"/>
      <c r="Z26" s="304"/>
      <c r="AA26" s="304"/>
      <c r="AB26" s="304"/>
      <c r="AC26" s="304"/>
      <c r="AD26" s="304"/>
    </row>
    <row r="27" spans="1:30">
      <c r="A27" s="231"/>
      <c r="B27" s="235" t="str">
        <f>'IS Historical'!B26</f>
        <v>G&amp;A Expense</v>
      </c>
      <c r="C27" s="231"/>
      <c r="D27" s="231"/>
      <c r="E27" s="333">
        <f>'IS Historical'!E26</f>
        <v>268.40899999999999</v>
      </c>
      <c r="F27" s="333">
        <f>'IS Historical'!F26</f>
        <v>315.24200000000002</v>
      </c>
      <c r="G27" s="333">
        <f>'IS Historical'!G26</f>
        <v>478.37299999999999</v>
      </c>
      <c r="H27" s="333">
        <f>'IS Historical'!H26</f>
        <v>606.36199999999997</v>
      </c>
      <c r="I27" s="333">
        <f>'IS Historical'!I26</f>
        <v>610.577</v>
      </c>
      <c r="J27" s="333">
        <f>'IS Historical'!J26</f>
        <v>646.99800000000005</v>
      </c>
      <c r="K27" s="333">
        <f>'IS Historical'!K26</f>
        <v>754.68799999999999</v>
      </c>
      <c r="L27" s="618">
        <f>'IS Assumption'!F60*'IS Intergrated'!L10</f>
        <v>900.64288601491012</v>
      </c>
      <c r="M27" s="618">
        <f>'IS Assumption'!G60*'IS Intergrated'!M10</f>
        <v>1045.0909453501449</v>
      </c>
      <c r="N27" s="618">
        <f>'IS Assumption'!H60*'IS Intergrated'!N10</f>
        <v>1205.5716431374121</v>
      </c>
      <c r="O27" s="618">
        <f>'IS Assumption'!I60*'IS Intergrated'!O10</f>
        <v>1355.3410043111649</v>
      </c>
      <c r="P27" s="618">
        <f>'IS Assumption'!J60*'IS Intergrated'!P10</f>
        <v>1458.6215156546673</v>
      </c>
      <c r="Q27" s="618">
        <f>'IS Assumption'!K60*'IS Intergrated'!Q10</f>
        <v>1525.8293458567391</v>
      </c>
      <c r="R27" s="304"/>
    </row>
    <row r="28" spans="1:30">
      <c r="A28" s="231"/>
      <c r="B28" s="231"/>
      <c r="C28" s="231"/>
      <c r="D28" s="231"/>
      <c r="E28" s="333"/>
      <c r="F28" s="619"/>
      <c r="G28" s="619"/>
      <c r="H28" s="619"/>
      <c r="I28" s="619"/>
      <c r="J28" s="619"/>
      <c r="K28" s="231"/>
      <c r="L28" s="509"/>
      <c r="M28" s="509"/>
      <c r="N28" s="509"/>
      <c r="O28" s="509"/>
      <c r="P28" s="509"/>
      <c r="Q28" s="509"/>
    </row>
    <row r="29" spans="1:30">
      <c r="A29" s="239"/>
      <c r="B29" s="236" t="s">
        <v>38</v>
      </c>
      <c r="C29" s="236"/>
      <c r="D29" s="236"/>
      <c r="E29" s="622">
        <f>E22-E24</f>
        <v>14.085999999999785</v>
      </c>
      <c r="F29" s="622">
        <f>F22-F24</f>
        <v>101.63400000000001</v>
      </c>
      <c r="G29" s="622">
        <f t="shared" ref="G29:I29" si="11">G22-G24</f>
        <v>-106.45700000000033</v>
      </c>
      <c r="H29" s="622">
        <f t="shared" si="11"/>
        <v>-345.22200000000021</v>
      </c>
      <c r="I29" s="622">
        <f t="shared" si="11"/>
        <v>-117.07699999999932</v>
      </c>
      <c r="J29" s="622">
        <f>J22-J24</f>
        <v>-130.39199999999892</v>
      </c>
      <c r="K29" s="622">
        <f>K22-K24</f>
        <v>10.352999999999156</v>
      </c>
      <c r="L29" s="622">
        <f t="shared" ref="L29:Q29" si="12">L22-L24</f>
        <v>49.755724170053327</v>
      </c>
      <c r="M29" s="622">
        <f t="shared" si="12"/>
        <v>218.66035615159035</v>
      </c>
      <c r="N29" s="622">
        <f t="shared" si="12"/>
        <v>449.92668643092657</v>
      </c>
      <c r="O29" s="622">
        <f t="shared" si="12"/>
        <v>1002.296756652293</v>
      </c>
      <c r="P29" s="622">
        <f t="shared" si="12"/>
        <v>1734.7046957456987</v>
      </c>
      <c r="Q29" s="622">
        <f t="shared" si="12"/>
        <v>2505.1327479899737</v>
      </c>
      <c r="R29" s="270"/>
      <c r="S29" s="270"/>
      <c r="T29" s="270"/>
      <c r="U29" s="270"/>
      <c r="V29" s="270"/>
      <c r="W29" s="270"/>
      <c r="X29" s="270"/>
    </row>
    <row r="30" spans="1:30">
      <c r="A30" s="239"/>
      <c r="B30" s="808"/>
      <c r="C30" s="808"/>
      <c r="D30" s="808"/>
      <c r="E30" s="623"/>
      <c r="F30" s="623"/>
      <c r="G30" s="623"/>
      <c r="H30" s="623"/>
      <c r="I30" s="623"/>
      <c r="J30" s="623"/>
      <c r="K30" s="240"/>
      <c r="L30" s="621"/>
      <c r="M30" s="621"/>
      <c r="N30" s="621"/>
      <c r="O30" s="621"/>
      <c r="P30" s="621"/>
      <c r="Q30" s="621"/>
    </row>
    <row r="31" spans="1:30">
      <c r="A31" s="231"/>
      <c r="B31" s="231" t="s">
        <v>502</v>
      </c>
      <c r="C31" s="231"/>
      <c r="D31" s="231"/>
      <c r="E31" s="624">
        <f>SUM(E32:E34)</f>
        <v>-360.29500000000002</v>
      </c>
      <c r="F31" s="624">
        <f t="shared" ref="F31:Q31" si="13">SUM(F32:F34)</f>
        <v>-736.298</v>
      </c>
      <c r="G31" s="624">
        <f t="shared" si="13"/>
        <v>-458.08499999999998</v>
      </c>
      <c r="H31" s="624">
        <f t="shared" si="13"/>
        <v>34.086000000000006</v>
      </c>
      <c r="I31" s="624">
        <f t="shared" si="13"/>
        <v>31.67</v>
      </c>
      <c r="J31" s="624">
        <f t="shared" si="13"/>
        <v>31.496999999999996</v>
      </c>
      <c r="K31" s="624">
        <f t="shared" si="13"/>
        <v>11.694999999999993</v>
      </c>
      <c r="L31" s="624">
        <f>SUM(L32:L34)</f>
        <v>12.104538201755481</v>
      </c>
      <c r="M31" s="624">
        <f t="shared" si="13"/>
        <v>22.941378335498136</v>
      </c>
      <c r="N31" s="624">
        <f t="shared" si="13"/>
        <v>35.760400967062758</v>
      </c>
      <c r="O31" s="624">
        <f t="shared" si="13"/>
        <v>57.610477730661167</v>
      </c>
      <c r="P31" s="624">
        <f t="shared" si="13"/>
        <v>88.971913604855388</v>
      </c>
      <c r="Q31" s="624">
        <f t="shared" si="13"/>
        <v>132.86385630132762</v>
      </c>
      <c r="R31" s="325"/>
    </row>
    <row r="32" spans="1:30">
      <c r="A32" s="231"/>
      <c r="B32" s="235" t="s">
        <v>503</v>
      </c>
      <c r="C32" s="231"/>
      <c r="D32" s="231"/>
      <c r="E32" s="624">
        <f>'IS Historical'!E31</f>
        <v>27.800999999999998</v>
      </c>
      <c r="F32" s="624">
        <f>'IS Historical'!F31</f>
        <v>7.1740000000000004</v>
      </c>
      <c r="G32" s="624">
        <f>'IS Historical'!G31</f>
        <v>2.2970000000000002</v>
      </c>
      <c r="H32" s="624">
        <f>'IS Historical'!H31</f>
        <v>49.731999999999999</v>
      </c>
      <c r="I32" s="624">
        <f>'IS Historical'!I31</f>
        <v>96.662999999999997</v>
      </c>
      <c r="J32" s="624">
        <f>'IS Historical'!J31</f>
        <v>112.324</v>
      </c>
      <c r="K32" s="624">
        <f>'IS Historical'!K31</f>
        <v>69.709999999999994</v>
      </c>
      <c r="L32" s="626">
        <f>'IS Assumption'!G70*'Additional Assumptions'!F43</f>
        <v>80.028115555731389</v>
      </c>
      <c r="M32" s="626">
        <f>'IS Assumption'!H70*'Additional Assumptions'!G43</f>
        <v>93.734957794213742</v>
      </c>
      <c r="N32" s="626">
        <f>'IS Assumption'!I70*'Additional Assumptions'!H43</f>
        <v>109.95037514170835</v>
      </c>
      <c r="O32" s="626">
        <f>'IS Assumption'!J70*'Additional Assumptions'!I43</f>
        <v>135.33710794991768</v>
      </c>
      <c r="P32" s="626">
        <f>'IS Assumption'!K70*'Additional Assumptions'!J43</f>
        <v>169.74786643245261</v>
      </c>
      <c r="Q32" s="626">
        <f>'IS Assumption'!L70*'Additional Assumptions'!K43</f>
        <v>216.32327242834688</v>
      </c>
      <c r="R32" s="325" t="s">
        <v>504</v>
      </c>
    </row>
    <row r="33" spans="1:30">
      <c r="A33" s="231"/>
      <c r="B33" s="235" t="s">
        <v>505</v>
      </c>
      <c r="C33" s="231"/>
      <c r="D33" s="231"/>
      <c r="E33" s="624">
        <f>'IS Historical'!E32</f>
        <v>-338.48599999999999</v>
      </c>
      <c r="F33" s="624">
        <f>'IS Historical'!F32</f>
        <v>-620.75900000000001</v>
      </c>
      <c r="G33" s="624">
        <f>'IS Historical'!G32</f>
        <v>-434.55799999999999</v>
      </c>
      <c r="H33" s="624">
        <f>'IS Historical'!H32</f>
        <v>14.500999999999999</v>
      </c>
      <c r="I33" s="624">
        <f>'IS Historical'!I32</f>
        <v>-30.916</v>
      </c>
      <c r="J33" s="624">
        <f>'IS Historical'!J32</f>
        <v>-50.277000000000001</v>
      </c>
      <c r="K33" s="624">
        <f>'IS Historical'!K32</f>
        <v>-8.5649999999999995</v>
      </c>
      <c r="L33" s="627">
        <f>'IS Assumption'!G80*'IS Intergrated'!L10</f>
        <v>-13.596733353975905</v>
      </c>
      <c r="M33" s="627">
        <f>'IS Assumption'!H80*'IS Intergrated'!M10</f>
        <v>-16.466735458715611</v>
      </c>
      <c r="N33" s="627">
        <f>'IS Assumption'!I80*'IS Intergrated'!N10</f>
        <v>-19.863130174645587</v>
      </c>
      <c r="O33" s="627">
        <f>'IS Assumption'!J80*'IS Intergrated'!O10</f>
        <v>-23.399786219256509</v>
      </c>
      <c r="P33" s="627">
        <f>'IS Assumption'!K80*'IS Intergrated'!P10</f>
        <v>-26.449108827597236</v>
      </c>
      <c r="Q33" s="627">
        <f>'IS Assumption'!L80*'IS Intergrated'!Q10</f>
        <v>-29.132572127019277</v>
      </c>
      <c r="R33" s="325" t="s">
        <v>506</v>
      </c>
    </row>
    <row r="34" spans="1:30">
      <c r="A34" s="231"/>
      <c r="B34" s="248" t="s">
        <v>507</v>
      </c>
      <c r="C34" s="231"/>
      <c r="D34" s="231"/>
      <c r="E34" s="624">
        <f>'IS Historical'!E33</f>
        <v>-49.61</v>
      </c>
      <c r="F34" s="624">
        <f>'IS Historical'!F33</f>
        <v>-122.71299999999999</v>
      </c>
      <c r="G34" s="624">
        <f>'IS Historical'!G33</f>
        <v>-25.824000000000002</v>
      </c>
      <c r="H34" s="624">
        <f>'IS Historical'!H33</f>
        <v>-30.146999999999998</v>
      </c>
      <c r="I34" s="624">
        <f>'IS Historical'!I33</f>
        <v>-34.076999999999998</v>
      </c>
      <c r="J34" s="624">
        <f>'IS Historical'!J33</f>
        <v>-30.55</v>
      </c>
      <c r="K34" s="624">
        <f>'IS Historical'!K33</f>
        <v>-49.45</v>
      </c>
      <c r="L34" s="627">
        <f>-(WACC!$H$22*'BS Historical Updated'!$J$54)</f>
        <v>-54.326844000000001</v>
      </c>
      <c r="M34" s="627">
        <f>-(WACC!$H$22*'BS Historical Updated'!$J$54)</f>
        <v>-54.326844000000001</v>
      </c>
      <c r="N34" s="627">
        <f>-(WACC!$H$22*'BS Historical Updated'!$J$54)</f>
        <v>-54.326844000000001</v>
      </c>
      <c r="O34" s="627">
        <f>-(WACC!$H$22*'BS Historical Updated'!$J$54)</f>
        <v>-54.326844000000001</v>
      </c>
      <c r="P34" s="627">
        <f>-(WACC!$H$22*'BS Historical Updated'!$J$54)</f>
        <v>-54.326844000000001</v>
      </c>
      <c r="Q34" s="627">
        <f>-(WACC!$H$22*'BS Historical Updated'!$J$54)</f>
        <v>-54.326844000000001</v>
      </c>
      <c r="R34" s="840" t="s">
        <v>508</v>
      </c>
    </row>
    <row r="35" spans="1:30">
      <c r="A35" s="231"/>
      <c r="B35" s="231"/>
      <c r="C35" s="231"/>
      <c r="D35" s="231"/>
      <c r="E35" s="333"/>
      <c r="F35" s="619"/>
      <c r="G35" s="619"/>
      <c r="H35" s="619"/>
      <c r="I35" s="619"/>
      <c r="J35" s="619"/>
      <c r="K35" s="231"/>
      <c r="L35" s="509"/>
      <c r="M35" s="509"/>
      <c r="N35" s="509"/>
      <c r="O35" s="509"/>
      <c r="P35" s="509"/>
      <c r="Q35" s="509"/>
    </row>
    <row r="36" spans="1:30">
      <c r="A36" s="239"/>
      <c r="B36" s="236" t="s">
        <v>509</v>
      </c>
      <c r="C36" s="236"/>
      <c r="D36" s="236"/>
      <c r="E36" s="628">
        <f>E29+E31</f>
        <v>-346.20900000000023</v>
      </c>
      <c r="F36" s="628">
        <f t="shared" ref="F36:Q36" si="14">F29+F31</f>
        <v>-634.66399999999999</v>
      </c>
      <c r="G36" s="628">
        <f t="shared" si="14"/>
        <v>-564.54200000000037</v>
      </c>
      <c r="H36" s="628">
        <f t="shared" si="14"/>
        <v>-311.13600000000019</v>
      </c>
      <c r="I36" s="628">
        <f t="shared" si="14"/>
        <v>-85.406999999999314</v>
      </c>
      <c r="J36" s="628">
        <f t="shared" si="14"/>
        <v>-98.894999999998916</v>
      </c>
      <c r="K36" s="628">
        <f t="shared" si="14"/>
        <v>22.047999999999149</v>
      </c>
      <c r="L36" s="628">
        <f t="shared" si="14"/>
        <v>61.860262371808808</v>
      </c>
      <c r="M36" s="628">
        <f t="shared" si="14"/>
        <v>241.60173448708849</v>
      </c>
      <c r="N36" s="628">
        <f t="shared" si="14"/>
        <v>485.68708739798933</v>
      </c>
      <c r="O36" s="628">
        <f t="shared" si="14"/>
        <v>1059.9072343829541</v>
      </c>
      <c r="P36" s="628">
        <f t="shared" si="14"/>
        <v>1823.6766093505541</v>
      </c>
      <c r="Q36" s="628">
        <f t="shared" si="14"/>
        <v>2637.9966042913015</v>
      </c>
    </row>
    <row r="37" spans="1:30">
      <c r="A37" s="231"/>
      <c r="B37" s="231"/>
      <c r="C37" s="231"/>
      <c r="D37" s="231"/>
      <c r="E37" s="333"/>
      <c r="F37" s="619"/>
      <c r="G37" s="619"/>
      <c r="H37" s="619"/>
      <c r="I37" s="619"/>
      <c r="J37" s="619"/>
      <c r="K37" s="231"/>
      <c r="L37" s="509"/>
      <c r="M37" s="509"/>
      <c r="N37" s="509"/>
      <c r="O37" s="509"/>
      <c r="P37" s="509"/>
      <c r="Q37" s="509"/>
      <c r="R37" s="509"/>
    </row>
    <row r="38" spans="1:30">
      <c r="A38" s="231"/>
      <c r="B38" s="248" t="s">
        <v>510</v>
      </c>
      <c r="C38" s="231"/>
      <c r="D38" s="231"/>
      <c r="E38" s="624">
        <f>'IS Historical'!E37</f>
        <v>4.4450000000000003</v>
      </c>
      <c r="F38" s="624">
        <f>'IS Historical'!F37</f>
        <v>61.651000000000003</v>
      </c>
      <c r="G38" s="624">
        <f>'IS Historical'!G37</f>
        <v>49.582000000000001</v>
      </c>
      <c r="H38" s="624">
        <f>'IS Historical'!H37</f>
        <v>175.625</v>
      </c>
      <c r="I38" s="624">
        <f>'IS Historical'!I37</f>
        <v>215.11199999999999</v>
      </c>
      <c r="J38" s="624">
        <f>'IS Historical'!J37</f>
        <v>157.792</v>
      </c>
      <c r="K38" s="624">
        <f>'IS Historical'!K37</f>
        <v>75.878</v>
      </c>
      <c r="L38" s="519">
        <f>IF(L36&lt;0,L36*-'DCS Detail'!$D$4,L36*'DCS Detail'!$D$4)</f>
        <v>14.846462969234114</v>
      </c>
      <c r="M38" s="519">
        <f>IF(M36&lt;0,M36*-'DCS Detail'!$D$4,M36*'DCS Detail'!$D$4)</f>
        <v>57.984416276901236</v>
      </c>
      <c r="N38" s="519">
        <f>IF(N36&lt;0,N36*-'DCS Detail'!$D$4,N36*'DCS Detail'!$D$4)</f>
        <v>116.56490097551743</v>
      </c>
      <c r="O38" s="519">
        <f>IF(O36&lt;0,O36*-'DCS Detail'!$D$4,O36*'DCS Detail'!$D$4)</f>
        <v>254.37773625190897</v>
      </c>
      <c r="P38" s="519">
        <f>IF(P36&lt;0,P36*-'DCS Detail'!$D$4,P36*'DCS Detail'!$D$4)</f>
        <v>437.682386244133</v>
      </c>
      <c r="Q38" s="519">
        <f>IF(Q36&lt;0,Q36*-'DCS Detail'!$D$4,Q36*'DCS Detail'!$D$4)</f>
        <v>633.11918502991239</v>
      </c>
      <c r="R38" s="270" t="s">
        <v>511</v>
      </c>
      <c r="S38" s="270"/>
      <c r="T38" s="270"/>
      <c r="U38" s="270"/>
      <c r="V38" s="270"/>
      <c r="W38" s="270"/>
      <c r="X38" s="270"/>
    </row>
    <row r="39" spans="1:30">
      <c r="A39" s="231"/>
      <c r="B39" s="235"/>
      <c r="C39" s="231"/>
      <c r="D39" s="231"/>
      <c r="E39" s="624"/>
      <c r="F39" s="624"/>
      <c r="G39" s="624"/>
      <c r="H39" s="624"/>
      <c r="I39" s="624"/>
      <c r="J39" s="624"/>
      <c r="K39" s="624"/>
      <c r="L39" s="625"/>
      <c r="M39" s="625"/>
      <c r="N39" s="625"/>
      <c r="O39" s="625"/>
      <c r="P39" s="625"/>
      <c r="Q39" s="625"/>
      <c r="R39" s="325"/>
    </row>
    <row r="40" spans="1:30">
      <c r="A40" s="231"/>
      <c r="B40" s="235"/>
      <c r="C40" s="231"/>
      <c r="D40" s="231"/>
      <c r="E40" s="624"/>
      <c r="F40" s="624"/>
      <c r="G40" s="624"/>
      <c r="H40" s="624"/>
      <c r="I40" s="624"/>
      <c r="J40" s="624"/>
      <c r="K40" s="624"/>
      <c r="L40" s="625"/>
      <c r="M40" s="625"/>
      <c r="N40" s="625"/>
      <c r="O40" s="625"/>
      <c r="P40" s="625"/>
      <c r="Q40" s="625"/>
    </row>
    <row r="41" spans="1:30">
      <c r="A41" s="239"/>
      <c r="B41" s="236" t="s">
        <v>44</v>
      </c>
      <c r="C41" s="236"/>
      <c r="D41" s="236"/>
      <c r="E41" s="622">
        <f t="shared" ref="E41:I41" si="15">E36-E38+E39</f>
        <v>-350.65400000000022</v>
      </c>
      <c r="F41" s="622">
        <f t="shared" si="15"/>
        <v>-696.31499999999994</v>
      </c>
      <c r="G41" s="622">
        <f t="shared" si="15"/>
        <v>-614.12400000000036</v>
      </c>
      <c r="H41" s="622">
        <f t="shared" si="15"/>
        <v>-486.76100000000019</v>
      </c>
      <c r="I41" s="622">
        <f t="shared" si="15"/>
        <v>-300.51899999999932</v>
      </c>
      <c r="J41" s="622">
        <f>J36-J38+J39</f>
        <v>-256.68699999999893</v>
      </c>
      <c r="K41" s="622">
        <f>K36-K38</f>
        <v>-53.830000000000851</v>
      </c>
      <c r="L41" s="622">
        <f t="shared" ref="L41:Q41" si="16">L36-L38</f>
        <v>47.013799402574691</v>
      </c>
      <c r="M41" s="622">
        <f t="shared" si="16"/>
        <v>183.61731821018725</v>
      </c>
      <c r="N41" s="622">
        <f t="shared" si="16"/>
        <v>369.12218642247188</v>
      </c>
      <c r="O41" s="622">
        <f t="shared" si="16"/>
        <v>805.5294981310451</v>
      </c>
      <c r="P41" s="622">
        <f t="shared" si="16"/>
        <v>1385.994223106421</v>
      </c>
      <c r="Q41" s="622">
        <f t="shared" si="16"/>
        <v>2004.8774192613892</v>
      </c>
      <c r="R41" s="1005" t="s">
        <v>358</v>
      </c>
      <c r="S41" s="1006" t="s">
        <v>359</v>
      </c>
      <c r="T41" s="1005" t="s">
        <v>360</v>
      </c>
      <c r="U41" s="1005" t="s">
        <v>361</v>
      </c>
      <c r="V41" s="1006" t="s">
        <v>362</v>
      </c>
      <c r="W41" s="1005" t="s">
        <v>363</v>
      </c>
      <c r="X41" s="1005" t="s">
        <v>364</v>
      </c>
      <c r="Y41" s="1006" t="s">
        <v>365</v>
      </c>
      <c r="Z41" s="1005" t="s">
        <v>366</v>
      </c>
      <c r="AA41" s="1006" t="s">
        <v>367</v>
      </c>
      <c r="AB41" s="1005" t="s">
        <v>368</v>
      </c>
      <c r="AC41" s="1006" t="s">
        <v>369</v>
      </c>
      <c r="AD41" s="1005" t="s">
        <v>370</v>
      </c>
    </row>
    <row r="42" spans="1:30">
      <c r="A42" s="231"/>
      <c r="B42" s="231"/>
      <c r="C42" s="231"/>
      <c r="D42" s="231"/>
      <c r="E42" s="333"/>
      <c r="F42" s="619"/>
      <c r="G42" s="619"/>
      <c r="H42" s="619"/>
      <c r="I42" s="619"/>
      <c r="J42" s="619"/>
      <c r="K42" s="231"/>
      <c r="L42" s="509"/>
      <c r="M42" s="509"/>
      <c r="N42" s="509"/>
      <c r="O42" s="509"/>
      <c r="P42" s="509"/>
      <c r="Q42" s="509"/>
      <c r="R42" s="622">
        <v>-350.65400000000022</v>
      </c>
      <c r="S42" s="622">
        <v>-696.31499999999994</v>
      </c>
      <c r="T42" s="622">
        <v>-614.12400000000036</v>
      </c>
      <c r="U42" s="622">
        <v>-486.76100000000019</v>
      </c>
      <c r="V42" s="622">
        <v>-300.51899999999932</v>
      </c>
      <c r="W42" s="622">
        <v>-256.68699999999893</v>
      </c>
      <c r="X42" s="622">
        <v>-53.830000000000851</v>
      </c>
      <c r="Y42" s="622">
        <v>47.013799402574691</v>
      </c>
      <c r="Z42" s="622">
        <v>183.61731821018725</v>
      </c>
      <c r="AA42" s="622">
        <v>369.12218642247188</v>
      </c>
      <c r="AB42" s="622">
        <v>805.5294981310451</v>
      </c>
      <c r="AC42" s="622">
        <v>1385.994223106421</v>
      </c>
      <c r="AD42" s="622">
        <v>2004.8774192613892</v>
      </c>
    </row>
    <row r="43" spans="1:30">
      <c r="A43" s="231"/>
      <c r="B43" s="248"/>
      <c r="C43" s="231"/>
      <c r="D43" s="231"/>
      <c r="E43" s="333"/>
      <c r="F43" s="619"/>
      <c r="G43" s="619"/>
      <c r="H43" s="619"/>
      <c r="I43" s="619"/>
      <c r="J43" s="619"/>
      <c r="K43" s="231"/>
      <c r="L43" s="621"/>
      <c r="M43" s="621"/>
      <c r="N43" s="621"/>
      <c r="O43" s="621"/>
      <c r="P43" s="621"/>
      <c r="Q43" s="621"/>
    </row>
    <row r="44" spans="1:30">
      <c r="A44" s="231"/>
      <c r="B44" s="239" t="s">
        <v>512</v>
      </c>
      <c r="C44" s="231"/>
      <c r="D44" s="231"/>
      <c r="E44" s="333"/>
      <c r="F44" s="619"/>
      <c r="G44" s="619"/>
      <c r="H44" s="619"/>
      <c r="I44" s="619"/>
      <c r="J44" s="619"/>
      <c r="K44" s="231"/>
      <c r="L44" s="509"/>
      <c r="M44" s="509"/>
      <c r="N44" s="509"/>
      <c r="O44" s="509"/>
      <c r="P44" s="509"/>
      <c r="Q44" s="509"/>
      <c r="S44" s="806"/>
    </row>
    <row r="45" spans="1:30">
      <c r="A45" s="231"/>
      <c r="B45" s="248" t="s">
        <v>513</v>
      </c>
      <c r="C45" s="231"/>
      <c r="D45" s="231"/>
      <c r="E45" s="333">
        <f>E41/E46</f>
        <v>-1.4321527176487896</v>
      </c>
      <c r="F45" s="333">
        <f t="shared" ref="F45:Q45" si="17">F41/F46</f>
        <v>-2.7888408716792359</v>
      </c>
      <c r="G45" s="333">
        <f t="shared" si="17"/>
        <v>-2.4243778423446196</v>
      </c>
      <c r="H45" s="333">
        <f t="shared" si="17"/>
        <v>-1.8991326807305309</v>
      </c>
      <c r="I45" s="333">
        <f t="shared" si="17"/>
        <v>-1.1597094928087095</v>
      </c>
      <c r="J45" s="333">
        <f t="shared" si="17"/>
        <v>-0.98051851314235983</v>
      </c>
      <c r="K45" s="231">
        <v>-0.20684578720787403</v>
      </c>
      <c r="L45" s="333">
        <f t="shared" si="17"/>
        <v>0.18071109856463211</v>
      </c>
      <c r="M45" s="333">
        <f t="shared" si="17"/>
        <v>0.70578612473165447</v>
      </c>
      <c r="N45" s="333">
        <f t="shared" si="17"/>
        <v>1.4188275923372995</v>
      </c>
      <c r="O45" s="333">
        <f t="shared" si="17"/>
        <v>3.0962849712909173</v>
      </c>
      <c r="P45" s="333">
        <f t="shared" si="17"/>
        <v>5.3274685697510025</v>
      </c>
      <c r="Q45" s="333">
        <f t="shared" si="17"/>
        <v>7.7063246435323993</v>
      </c>
    </row>
    <row r="46" spans="1:30">
      <c r="A46" s="231"/>
      <c r="B46" s="248" t="s">
        <v>514</v>
      </c>
      <c r="C46" s="231"/>
      <c r="D46" s="231"/>
      <c r="E46" s="333">
        <v>244.84399999999999</v>
      </c>
      <c r="F46" s="333">
        <v>249.679</v>
      </c>
      <c r="G46" s="333">
        <v>253.31200000000001</v>
      </c>
      <c r="H46" s="619">
        <v>256.30700000000002</v>
      </c>
      <c r="I46" s="619">
        <v>259.13299999999998</v>
      </c>
      <c r="J46" s="619">
        <v>261.78699999999998</v>
      </c>
      <c r="K46" s="333">
        <v>260.16000000000003</v>
      </c>
      <c r="L46" s="333">
        <v>260.16000000000003</v>
      </c>
      <c r="M46" s="333">
        <v>260.16000000000003</v>
      </c>
      <c r="N46" s="333">
        <v>260.16000000000003</v>
      </c>
      <c r="O46" s="333">
        <v>260.16000000000003</v>
      </c>
      <c r="P46" s="333">
        <v>260.16000000000003</v>
      </c>
      <c r="Q46" s="333">
        <v>260.16000000000003</v>
      </c>
    </row>
    <row r="47" spans="1:30">
      <c r="A47" s="231"/>
      <c r="B47" s="250" t="s">
        <v>515</v>
      </c>
      <c r="C47" s="231"/>
      <c r="D47" s="231"/>
      <c r="E47" s="333">
        <f t="shared" ref="E47:Q47" si="18">E41/E48</f>
        <v>-1.4321527176487896</v>
      </c>
      <c r="F47" s="333">
        <f t="shared" si="18"/>
        <v>-2.7888408716792359</v>
      </c>
      <c r="G47" s="333">
        <f t="shared" si="18"/>
        <v>-2.4243778423446196</v>
      </c>
      <c r="H47" s="333">
        <f t="shared" si="18"/>
        <v>-1.8991326807305309</v>
      </c>
      <c r="I47" s="333">
        <f t="shared" si="18"/>
        <v>-1.1597094928087095</v>
      </c>
      <c r="J47" s="333">
        <f t="shared" si="18"/>
        <v>-0.98051851314235983</v>
      </c>
      <c r="K47" s="231">
        <v>-0.20684578720787403</v>
      </c>
      <c r="L47" s="333">
        <f ca="1">L41/L48</f>
        <v>0.18071109856463211</v>
      </c>
      <c r="M47" s="333">
        <f t="shared" ca="1" si="18"/>
        <v>0.70578612473165447</v>
      </c>
      <c r="N47" s="333">
        <f t="shared" ca="1" si="18"/>
        <v>1.4188275923372995</v>
      </c>
      <c r="O47" s="333">
        <f t="shared" ca="1" si="18"/>
        <v>3.0962849712909173</v>
      </c>
      <c r="P47" s="333">
        <f t="shared" ca="1" si="18"/>
        <v>5.3274685697510025</v>
      </c>
      <c r="Q47" s="333">
        <f t="shared" ca="1" si="18"/>
        <v>7.7063246435323993</v>
      </c>
    </row>
    <row r="48" spans="1:30">
      <c r="A48" s="231"/>
      <c r="B48" s="235" t="s">
        <v>516</v>
      </c>
      <c r="C48" s="231"/>
      <c r="D48" s="231"/>
      <c r="E48" s="333">
        <v>244.84399999999999</v>
      </c>
      <c r="F48" s="333">
        <v>249.679</v>
      </c>
      <c r="G48" s="333">
        <v>253.31200000000001</v>
      </c>
      <c r="H48" s="619">
        <v>256.30700000000002</v>
      </c>
      <c r="I48" s="619">
        <v>259.13299999999998</v>
      </c>
      <c r="J48" s="619">
        <v>261.78699999999998</v>
      </c>
      <c r="K48" s="231">
        <v>260.16000000000003</v>
      </c>
      <c r="L48" s="618">
        <f ca="1">'Comp. Multi &amp; Imp. Val'!$W$13</f>
        <v>260.16000000000003</v>
      </c>
      <c r="M48" s="618">
        <f ca="1">'Comp. Multi &amp; Imp. Val'!$W$13</f>
        <v>260.16000000000003</v>
      </c>
      <c r="N48" s="618">
        <f ca="1">'Comp. Multi &amp; Imp. Val'!$W$13</f>
        <v>260.16000000000003</v>
      </c>
      <c r="O48" s="618">
        <f ca="1">'Comp. Multi &amp; Imp. Val'!$W$13</f>
        <v>260.16000000000003</v>
      </c>
      <c r="P48" s="618">
        <f ca="1">'Comp. Multi &amp; Imp. Val'!$W$13</f>
        <v>260.16000000000003</v>
      </c>
      <c r="Q48" s="618">
        <f ca="1">'Comp. Multi &amp; Imp. Val'!$W$13</f>
        <v>260.16000000000003</v>
      </c>
    </row>
    <row r="49" spans="1:21">
      <c r="A49" s="231"/>
      <c r="B49" s="235" t="s">
        <v>517</v>
      </c>
      <c r="C49" s="231"/>
      <c r="D49" s="231"/>
      <c r="E49" s="333">
        <v>244.84399999999999</v>
      </c>
      <c r="F49" s="333">
        <v>249.679</v>
      </c>
      <c r="G49" s="333">
        <v>253.31200000000001</v>
      </c>
      <c r="H49" s="619">
        <v>256.30700000000002</v>
      </c>
      <c r="I49" s="619">
        <v>259.13299999999998</v>
      </c>
      <c r="J49" s="619">
        <v>261.78699999999998</v>
      </c>
      <c r="K49" s="231">
        <v>253.4</v>
      </c>
      <c r="L49" s="231">
        <v>253.4</v>
      </c>
      <c r="M49" s="231">
        <v>253.4</v>
      </c>
      <c r="N49" s="231">
        <v>253.4</v>
      </c>
      <c r="O49" s="231">
        <v>253.4</v>
      </c>
      <c r="P49" s="231">
        <v>253.4</v>
      </c>
      <c r="Q49" s="231">
        <v>253.4</v>
      </c>
    </row>
    <row r="50" spans="1:21">
      <c r="A50" s="231"/>
      <c r="B50" s="250"/>
      <c r="C50" s="231"/>
      <c r="D50" s="231"/>
      <c r="E50" s="333"/>
      <c r="F50" s="333"/>
      <c r="G50" s="333"/>
      <c r="H50" s="619"/>
      <c r="I50" s="619"/>
      <c r="J50" s="619"/>
      <c r="K50" s="231"/>
      <c r="L50" s="621"/>
      <c r="M50" s="621"/>
      <c r="N50" s="621"/>
      <c r="O50" s="621"/>
      <c r="P50" s="621"/>
      <c r="Q50" s="621"/>
    </row>
    <row r="51" spans="1:21">
      <c r="A51" s="231"/>
      <c r="B51" s="231"/>
      <c r="C51" s="231"/>
      <c r="D51" s="231"/>
      <c r="E51" s="333"/>
      <c r="F51" s="619"/>
      <c r="G51" s="619"/>
      <c r="H51" s="619"/>
      <c r="I51" s="619"/>
      <c r="J51" s="619"/>
      <c r="K51" s="231"/>
      <c r="L51" s="509"/>
      <c r="M51" s="509"/>
      <c r="N51" s="509"/>
      <c r="O51" s="509"/>
      <c r="P51" s="509"/>
      <c r="Q51" s="509"/>
    </row>
    <row r="52" spans="1:21">
      <c r="A52" s="231"/>
      <c r="B52" s="236" t="s">
        <v>38</v>
      </c>
      <c r="C52" s="236"/>
      <c r="D52" s="236"/>
      <c r="E52" s="622">
        <f t="shared" ref="E52:Q52" si="19">E29</f>
        <v>14.085999999999785</v>
      </c>
      <c r="F52" s="622">
        <f t="shared" si="19"/>
        <v>101.63400000000001</v>
      </c>
      <c r="G52" s="622">
        <f t="shared" si="19"/>
        <v>-106.45700000000033</v>
      </c>
      <c r="H52" s="622">
        <f t="shared" si="19"/>
        <v>-345.22200000000021</v>
      </c>
      <c r="I52" s="622">
        <f t="shared" si="19"/>
        <v>-117.07699999999932</v>
      </c>
      <c r="J52" s="622">
        <f t="shared" si="19"/>
        <v>-130.39199999999892</v>
      </c>
      <c r="K52" s="622">
        <f t="shared" si="19"/>
        <v>10.352999999999156</v>
      </c>
      <c r="L52" s="622">
        <f t="shared" si="19"/>
        <v>49.755724170053327</v>
      </c>
      <c r="M52" s="622">
        <f t="shared" si="19"/>
        <v>218.66035615159035</v>
      </c>
      <c r="N52" s="622">
        <f t="shared" si="19"/>
        <v>449.92668643092657</v>
      </c>
      <c r="O52" s="622">
        <f t="shared" si="19"/>
        <v>1002.296756652293</v>
      </c>
      <c r="P52" s="622">
        <f t="shared" si="19"/>
        <v>1734.7046957456987</v>
      </c>
      <c r="Q52" s="622">
        <f t="shared" si="19"/>
        <v>2505.1327479899737</v>
      </c>
    </row>
    <row r="53" spans="1:21">
      <c r="A53" s="231"/>
      <c r="B53" s="231" t="s">
        <v>36</v>
      </c>
      <c r="C53" s="231"/>
      <c r="D53" s="231"/>
      <c r="E53" s="619">
        <f t="shared" ref="E53:Q53" si="20">E18</f>
        <v>85.17900000000003</v>
      </c>
      <c r="F53" s="619">
        <f t="shared" si="20"/>
        <v>82.162000000000006</v>
      </c>
      <c r="G53" s="619">
        <f t="shared" si="20"/>
        <v>55.353000000000009</v>
      </c>
      <c r="H53" s="619">
        <f t="shared" si="20"/>
        <v>52.480000000000018</v>
      </c>
      <c r="I53" s="619">
        <f t="shared" si="20"/>
        <v>78.738</v>
      </c>
      <c r="J53" s="619">
        <f t="shared" si="20"/>
        <v>78.737999999999943</v>
      </c>
      <c r="K53" s="619">
        <f t="shared" si="20"/>
        <v>140.66999999999999</v>
      </c>
      <c r="L53" s="619">
        <f t="shared" si="20"/>
        <v>139.14995208890153</v>
      </c>
      <c r="M53" s="619">
        <f t="shared" si="20"/>
        <v>147.09922482564593</v>
      </c>
      <c r="N53" s="619">
        <f t="shared" si="20"/>
        <v>156.5064889785109</v>
      </c>
      <c r="O53" s="619">
        <f t="shared" si="20"/>
        <v>166.30224607159414</v>
      </c>
      <c r="P53" s="619">
        <f t="shared" si="20"/>
        <v>99.556197047027197</v>
      </c>
      <c r="Q53" s="619">
        <f t="shared" si="20"/>
        <v>80.69079844161206</v>
      </c>
    </row>
    <row r="54" spans="1:21">
      <c r="A54" s="231"/>
      <c r="B54" s="231"/>
      <c r="C54" s="231"/>
      <c r="D54" s="231"/>
      <c r="E54" s="333"/>
      <c r="F54" s="619"/>
      <c r="G54" s="619"/>
      <c r="H54" s="619"/>
      <c r="I54" s="619"/>
      <c r="J54" s="619"/>
      <c r="K54" s="231"/>
      <c r="L54" s="509"/>
      <c r="M54" s="509"/>
      <c r="N54" s="509"/>
      <c r="O54" s="509"/>
      <c r="P54" s="509"/>
      <c r="Q54" s="509"/>
    </row>
    <row r="55" spans="1:21">
      <c r="A55" s="239"/>
      <c r="B55" s="236" t="s">
        <v>34</v>
      </c>
      <c r="C55" s="236"/>
      <c r="D55" s="236"/>
      <c r="E55" s="622">
        <f>SUM(E52:E53)</f>
        <v>99.264999999999816</v>
      </c>
      <c r="F55" s="622">
        <f>SUM(F52:F53)</f>
        <v>183.79600000000002</v>
      </c>
      <c r="G55" s="622">
        <f t="shared" ref="G55:I55" si="21">SUM(G52:G53)</f>
        <v>-51.104000000000326</v>
      </c>
      <c r="H55" s="622">
        <f t="shared" si="21"/>
        <v>-292.74200000000019</v>
      </c>
      <c r="I55" s="622">
        <f t="shared" si="21"/>
        <v>-38.338999999999317</v>
      </c>
      <c r="J55" s="622">
        <f>SUM(J52:J53)</f>
        <v>-51.653999999998973</v>
      </c>
      <c r="K55" s="622">
        <f>SUM(K52:K53)</f>
        <v>151.02299999999914</v>
      </c>
      <c r="L55" s="622">
        <f t="shared" ref="L55:Q55" si="22">SUM(L52:L53)</f>
        <v>188.90567625895486</v>
      </c>
      <c r="M55" s="622">
        <f t="shared" si="22"/>
        <v>365.75958097723628</v>
      </c>
      <c r="N55" s="622">
        <f t="shared" si="22"/>
        <v>606.43317540943747</v>
      </c>
      <c r="O55" s="622">
        <f t="shared" si="22"/>
        <v>1168.5990027238872</v>
      </c>
      <c r="P55" s="622">
        <f t="shared" si="22"/>
        <v>1834.2608927927258</v>
      </c>
      <c r="Q55" s="622">
        <f t="shared" si="22"/>
        <v>2585.8235464315858</v>
      </c>
    </row>
    <row r="56" spans="1:21">
      <c r="D56" s="213"/>
      <c r="P56" s="259"/>
      <c r="Q56" s="259"/>
    </row>
    <row r="57" spans="1:21">
      <c r="B57" s="213" t="s">
        <v>518</v>
      </c>
      <c r="D57" s="213"/>
      <c r="E57" s="570">
        <f>_xlfn.RRI(Q4,E10,Q10)</f>
        <v>0.21161739968859883</v>
      </c>
      <c r="P57" s="259"/>
      <c r="Q57" s="259"/>
    </row>
    <row r="58" spans="1:21">
      <c r="A58" s="217"/>
      <c r="B58" s="230"/>
      <c r="C58" s="230"/>
      <c r="D58" s="230"/>
      <c r="F58" s="231"/>
      <c r="G58" s="231"/>
      <c r="H58" s="231"/>
      <c r="I58" s="231"/>
      <c r="J58" s="231"/>
      <c r="P58" s="259"/>
      <c r="Q58" s="259"/>
    </row>
    <row r="59" spans="1:21">
      <c r="B59" s="576" t="s">
        <v>250</v>
      </c>
      <c r="C59" s="575" t="s">
        <v>519</v>
      </c>
      <c r="D59" s="575" t="s">
        <v>520</v>
      </c>
      <c r="E59" s="575" t="s">
        <v>521</v>
      </c>
      <c r="F59" s="575" t="s">
        <v>522</v>
      </c>
      <c r="G59" s="217"/>
      <c r="H59" s="1005" t="s">
        <v>358</v>
      </c>
      <c r="I59" s="1006" t="s">
        <v>359</v>
      </c>
      <c r="J59" s="1005" t="s">
        <v>360</v>
      </c>
      <c r="K59" s="1005" t="s">
        <v>361</v>
      </c>
      <c r="L59" s="1006" t="s">
        <v>362</v>
      </c>
      <c r="M59" s="1005" t="s">
        <v>363</v>
      </c>
      <c r="N59" s="1005" t="s">
        <v>364</v>
      </c>
      <c r="O59" s="1006" t="s">
        <v>365</v>
      </c>
      <c r="P59" s="1005" t="s">
        <v>366</v>
      </c>
      <c r="Q59" s="1006" t="s">
        <v>367</v>
      </c>
      <c r="R59" s="1005" t="s">
        <v>368</v>
      </c>
      <c r="S59" s="1006" t="s">
        <v>369</v>
      </c>
      <c r="T59" s="1005" t="s">
        <v>370</v>
      </c>
    </row>
    <row r="60" spans="1:21">
      <c r="B60" s="579">
        <v>43983</v>
      </c>
      <c r="C60" s="580">
        <f>E10</f>
        <v>1614.173</v>
      </c>
      <c r="D60" s="339" t="s">
        <v>523</v>
      </c>
      <c r="E60" s="577"/>
      <c r="F60" s="581"/>
      <c r="G60" s="577"/>
      <c r="H60" s="582">
        <f>E9</f>
        <v>0.33389999999999997</v>
      </c>
      <c r="I60" s="582">
        <f t="shared" ref="I60:T60" si="23">F9</f>
        <v>0.29424293430753701</v>
      </c>
      <c r="J60" s="582">
        <f t="shared" si="23"/>
        <v>0.34164906765106262</v>
      </c>
      <c r="K60" s="582">
        <f t="shared" si="23"/>
        <v>0.2610759211411684</v>
      </c>
      <c r="L60" s="582">
        <f t="shared" si="23"/>
        <v>0.23310842638600127</v>
      </c>
      <c r="M60" s="582">
        <f t="shared" si="23"/>
        <v>0.19655403348274669</v>
      </c>
      <c r="N60" s="582">
        <f t="shared" si="23"/>
        <v>0.26019652929148518</v>
      </c>
      <c r="O60" s="582">
        <f t="shared" si="23"/>
        <v>0.14729193072471292</v>
      </c>
      <c r="P60" s="582">
        <f t="shared" si="23"/>
        <v>0.21108026685692627</v>
      </c>
      <c r="Q60" s="582">
        <f t="shared" si="23"/>
        <v>0.20625792674238363</v>
      </c>
      <c r="R60" s="582">
        <f t="shared" si="23"/>
        <v>0.17805129471110792</v>
      </c>
      <c r="S60" s="582">
        <f t="shared" si="23"/>
        <v>0.13031412252097141</v>
      </c>
      <c r="T60" s="582">
        <f t="shared" si="23"/>
        <v>0.10145760739666554</v>
      </c>
    </row>
    <row r="61" spans="1:21">
      <c r="B61" s="579">
        <v>44377</v>
      </c>
      <c r="C61" s="580">
        <f>F10</f>
        <v>2089.1320000000001</v>
      </c>
      <c r="D61" s="339" t="s">
        <v>523</v>
      </c>
      <c r="E61" s="582">
        <f>C61/C60-1</f>
        <v>0.29424293430753701</v>
      </c>
      <c r="F61" s="581">
        <f t="shared" ref="F61:F72" si="24">$E$57</f>
        <v>0.21161739968859883</v>
      </c>
      <c r="G61" s="577"/>
      <c r="H61" s="1049">
        <f>_xlfn.RRI($K$4,$E$10,$K$10)</f>
        <v>0.26365340374457125</v>
      </c>
      <c r="I61" s="1049">
        <f t="shared" ref="I61:N61" si="25">_xlfn.RRI($K$4,$E$10,$K$10)</f>
        <v>0.26365340374457125</v>
      </c>
      <c r="J61" s="1049">
        <f t="shared" si="25"/>
        <v>0.26365340374457125</v>
      </c>
      <c r="K61" s="1049">
        <f t="shared" si="25"/>
        <v>0.26365340374457125</v>
      </c>
      <c r="L61" s="1049">
        <f t="shared" si="25"/>
        <v>0.26365340374457125</v>
      </c>
      <c r="M61" s="1049">
        <f t="shared" si="25"/>
        <v>0.26365340374457125</v>
      </c>
      <c r="N61" s="1049">
        <f t="shared" si="25"/>
        <v>0.26365340374457125</v>
      </c>
      <c r="U61" s="577"/>
    </row>
    <row r="62" spans="1:21">
      <c r="B62" s="579">
        <f t="shared" ref="B62:B72" si="26">EDATE(B61,12)</f>
        <v>44742</v>
      </c>
      <c r="C62" s="580">
        <f>G10</f>
        <v>2802.8819999999996</v>
      </c>
      <c r="D62" s="339" t="s">
        <v>523</v>
      </c>
      <c r="E62" s="582">
        <f t="shared" ref="E62:E72" si="27">C62/C61-1</f>
        <v>0.34164906765106262</v>
      </c>
      <c r="F62" s="581">
        <f t="shared" si="24"/>
        <v>0.21161739968859883</v>
      </c>
      <c r="G62" s="577"/>
      <c r="H62" s="307"/>
      <c r="I62" s="307"/>
      <c r="J62" s="307"/>
      <c r="K62" s="307"/>
      <c r="L62" s="307"/>
      <c r="M62" s="307"/>
      <c r="N62" s="307"/>
      <c r="O62" s="307">
        <f>_xlfn.RRI($Q$7,$K$10,$Q$10)</f>
        <v>0.16172418708959513</v>
      </c>
      <c r="P62" s="307">
        <f t="shared" ref="P62:T62" si="28">_xlfn.RRI($Q$7,$K$10,$Q$10)</f>
        <v>0.16172418708959513</v>
      </c>
      <c r="Q62" s="307">
        <f t="shared" si="28"/>
        <v>0.16172418708959513</v>
      </c>
      <c r="R62" s="307">
        <f t="shared" si="28"/>
        <v>0.16172418708959513</v>
      </c>
      <c r="S62" s="307">
        <f t="shared" si="28"/>
        <v>0.16172418708959513</v>
      </c>
      <c r="T62" s="307">
        <f t="shared" si="28"/>
        <v>0.16172418708959513</v>
      </c>
    </row>
    <row r="63" spans="1:21">
      <c r="B63" s="579">
        <f t="shared" si="26"/>
        <v>45107</v>
      </c>
      <c r="C63" s="580">
        <f>H10</f>
        <v>3534.6469999999999</v>
      </c>
      <c r="D63" s="339" t="s">
        <v>523</v>
      </c>
      <c r="E63" s="582">
        <f t="shared" si="27"/>
        <v>0.2610759211411684</v>
      </c>
      <c r="F63" s="581">
        <f t="shared" si="24"/>
        <v>0.21161739968859883</v>
      </c>
      <c r="G63" s="577"/>
      <c r="H63" s="577"/>
      <c r="I63" s="577"/>
      <c r="J63" s="577"/>
      <c r="K63" s="577"/>
      <c r="L63" s="577"/>
      <c r="M63" s="577"/>
      <c r="N63" s="577"/>
      <c r="P63" s="578"/>
      <c r="Q63" s="578"/>
    </row>
    <row r="64" spans="1:21">
      <c r="B64" s="579">
        <f t="shared" si="26"/>
        <v>45473</v>
      </c>
      <c r="C64" s="580">
        <f>I10</f>
        <v>4358.6030000000001</v>
      </c>
      <c r="D64" s="339" t="s">
        <v>523</v>
      </c>
      <c r="E64" s="582">
        <f t="shared" si="27"/>
        <v>0.23310842638600127</v>
      </c>
      <c r="F64" s="581">
        <f t="shared" si="24"/>
        <v>0.21161739968859883</v>
      </c>
      <c r="G64" s="577"/>
      <c r="H64" s="577"/>
      <c r="I64" s="577"/>
      <c r="J64" s="577"/>
      <c r="K64" s="577"/>
      <c r="L64" s="577"/>
      <c r="M64" s="577"/>
      <c r="N64" s="577"/>
      <c r="P64" s="578"/>
      <c r="Q64" s="578"/>
    </row>
    <row r="65" spans="2:17">
      <c r="B65" s="579">
        <f t="shared" si="26"/>
        <v>45838</v>
      </c>
      <c r="C65" s="580">
        <f>J10</f>
        <v>5215.3040000000001</v>
      </c>
      <c r="D65" s="339" t="s">
        <v>523</v>
      </c>
      <c r="E65" s="582">
        <f t="shared" si="27"/>
        <v>0.19655403348274669</v>
      </c>
      <c r="F65" s="581">
        <f t="shared" si="24"/>
        <v>0.21161739968859883</v>
      </c>
      <c r="G65" s="577"/>
      <c r="H65" s="577"/>
      <c r="I65" s="577"/>
      <c r="J65" s="577"/>
      <c r="K65" s="577"/>
      <c r="L65" s="577"/>
      <c r="M65" s="577"/>
      <c r="N65" s="577"/>
      <c r="P65" s="578"/>
      <c r="Q65" s="578"/>
    </row>
    <row r="66" spans="2:17">
      <c r="B66" s="579">
        <f t="shared" si="26"/>
        <v>46203</v>
      </c>
      <c r="C66" s="580">
        <f>K10</f>
        <v>6572.308</v>
      </c>
      <c r="D66" s="339" t="s">
        <v>523</v>
      </c>
      <c r="E66" s="582">
        <f t="shared" si="27"/>
        <v>0.26019652929148518</v>
      </c>
      <c r="F66" s="581">
        <f t="shared" si="24"/>
        <v>0.21161739968859883</v>
      </c>
      <c r="G66" s="577"/>
      <c r="H66" s="577"/>
      <c r="I66" s="577"/>
      <c r="J66" s="577"/>
      <c r="K66" s="577"/>
      <c r="L66" s="577"/>
      <c r="M66" s="577"/>
      <c r="N66" s="577"/>
      <c r="P66" s="578"/>
      <c r="Q66" s="578"/>
    </row>
    <row r="67" spans="2:17">
      <c r="B67" s="579">
        <f t="shared" si="26"/>
        <v>46568</v>
      </c>
      <c r="C67" s="580">
        <f>L10</f>
        <v>7540.3559346374768</v>
      </c>
      <c r="D67" s="339" t="s">
        <v>17</v>
      </c>
      <c r="E67" s="582">
        <f t="shared" si="27"/>
        <v>0.14729193072471292</v>
      </c>
      <c r="F67" s="581">
        <f t="shared" si="24"/>
        <v>0.21161739968859883</v>
      </c>
      <c r="G67" s="577"/>
      <c r="H67" s="577"/>
      <c r="I67" s="577"/>
      <c r="J67" s="577"/>
      <c r="K67" s="577"/>
      <c r="L67" s="577"/>
      <c r="M67" s="577"/>
      <c r="N67" s="577"/>
      <c r="P67" s="578"/>
      <c r="Q67" s="578"/>
    </row>
    <row r="68" spans="2:17">
      <c r="B68" s="579">
        <f t="shared" si="26"/>
        <v>46934</v>
      </c>
      <c r="C68" s="580">
        <f>M10</f>
        <v>9131.9762775169638</v>
      </c>
      <c r="D68" s="339" t="s">
        <v>17</v>
      </c>
      <c r="E68" s="582">
        <f t="shared" si="27"/>
        <v>0.21108026685692627</v>
      </c>
      <c r="F68" s="581">
        <f t="shared" si="24"/>
        <v>0.21161739968859883</v>
      </c>
      <c r="G68" s="577"/>
      <c r="H68" s="577"/>
      <c r="I68" s="577"/>
      <c r="J68" s="577"/>
      <c r="K68" s="577"/>
      <c r="L68" s="577"/>
      <c r="M68" s="577"/>
      <c r="N68" s="577"/>
      <c r="P68" s="578"/>
      <c r="Q68" s="578"/>
    </row>
    <row r="69" spans="2:17">
      <c r="B69" s="579">
        <f t="shared" si="26"/>
        <v>47299</v>
      </c>
      <c r="C69" s="580">
        <f>N10</f>
        <v>11015.518771578243</v>
      </c>
      <c r="D69" s="339" t="s">
        <v>17</v>
      </c>
      <c r="E69" s="582">
        <f t="shared" si="27"/>
        <v>0.20625792674238363</v>
      </c>
      <c r="F69" s="581">
        <f t="shared" si="24"/>
        <v>0.21161739968859883</v>
      </c>
      <c r="G69" s="577"/>
      <c r="H69" s="577"/>
      <c r="I69" s="577"/>
      <c r="J69" s="577"/>
      <c r="K69" s="577"/>
      <c r="L69" s="577"/>
      <c r="M69" s="577"/>
      <c r="N69" s="577"/>
      <c r="P69" s="578"/>
      <c r="Q69" s="578"/>
    </row>
    <row r="70" spans="2:17">
      <c r="B70" s="579">
        <f t="shared" si="26"/>
        <v>47664</v>
      </c>
      <c r="C70" s="580">
        <f>O10</f>
        <v>12976.846150772262</v>
      </c>
      <c r="D70" s="339" t="s">
        <v>17</v>
      </c>
      <c r="E70" s="582">
        <f t="shared" si="27"/>
        <v>0.17805129471110792</v>
      </c>
      <c r="F70" s="581">
        <f t="shared" si="24"/>
        <v>0.21161739968859883</v>
      </c>
      <c r="G70" s="577"/>
      <c r="H70" s="577"/>
      <c r="I70" s="577"/>
      <c r="J70" s="577"/>
      <c r="K70" s="577"/>
      <c r="L70" s="577"/>
      <c r="M70" s="577"/>
      <c r="N70" s="577"/>
      <c r="P70" s="578"/>
      <c r="Q70" s="578"/>
    </row>
    <row r="71" spans="2:17">
      <c r="B71" s="579">
        <f t="shared" si="26"/>
        <v>48029</v>
      </c>
      <c r="C71" s="580">
        <f>P10</f>
        <v>14667.912469999794</v>
      </c>
      <c r="D71" s="339" t="s">
        <v>17</v>
      </c>
      <c r="E71" s="582">
        <f t="shared" si="27"/>
        <v>0.13031412252097141</v>
      </c>
      <c r="F71" s="581">
        <f t="shared" si="24"/>
        <v>0.21161739968859883</v>
      </c>
      <c r="G71" s="577"/>
      <c r="H71" s="577"/>
      <c r="I71" s="577"/>
      <c r="J71" s="577"/>
      <c r="K71" s="577"/>
      <c r="L71" s="577"/>
      <c r="M71" s="577"/>
      <c r="N71" s="577"/>
      <c r="Q71" s="213"/>
    </row>
    <row r="72" spans="2:17">
      <c r="B72" s="579">
        <f t="shared" si="26"/>
        <v>48395</v>
      </c>
      <c r="C72" s="580">
        <f>Q10</f>
        <v>16156.083774709687</v>
      </c>
      <c r="D72" s="339" t="s">
        <v>17</v>
      </c>
      <c r="E72" s="582">
        <f t="shared" si="27"/>
        <v>0.10145760739666554</v>
      </c>
      <c r="F72" s="581">
        <f t="shared" si="24"/>
        <v>0.21161739968859883</v>
      </c>
      <c r="P72" s="578"/>
      <c r="Q72" s="578"/>
    </row>
    <row r="73" spans="2:17">
      <c r="Q73" s="213"/>
    </row>
    <row r="74" spans="2:17">
      <c r="P74" s="578"/>
      <c r="Q74" s="578"/>
    </row>
    <row r="75" spans="2:17">
      <c r="Q75" s="213"/>
    </row>
    <row r="76" spans="2:17">
      <c r="Q76" s="213"/>
    </row>
    <row r="77" spans="2:17">
      <c r="P77" s="578"/>
      <c r="Q77" s="578"/>
    </row>
    <row r="78" spans="2:17">
      <c r="P78" s="578"/>
      <c r="Q78" s="578"/>
    </row>
    <row r="79" spans="2:17">
      <c r="P79" s="578"/>
      <c r="Q79" s="578"/>
    </row>
    <row r="80" spans="2:17">
      <c r="P80" s="578"/>
      <c r="Q80" s="578"/>
    </row>
    <row r="81" spans="16:17">
      <c r="P81" s="578"/>
      <c r="Q81" s="578"/>
    </row>
    <row r="82" spans="16:17">
      <c r="P82" s="578"/>
      <c r="Q82" s="578"/>
    </row>
    <row r="83" spans="16:17">
      <c r="P83" s="578"/>
      <c r="Q83" s="578"/>
    </row>
    <row r="84" spans="16:17">
      <c r="Q84" s="213"/>
    </row>
    <row r="85" spans="16:17">
      <c r="P85" s="578"/>
      <c r="Q85" s="578"/>
    </row>
    <row r="86" spans="16:17">
      <c r="Q86" s="213"/>
    </row>
    <row r="87" spans="16:17">
      <c r="P87" s="578"/>
      <c r="Q87" s="578"/>
    </row>
    <row r="88" spans="16:17">
      <c r="Q88" s="213"/>
    </row>
    <row r="89" spans="16:17">
      <c r="P89" s="578"/>
      <c r="Q89" s="578"/>
    </row>
  </sheetData>
  <pageMargins left="0.7" right="0.7" top="0.75" bottom="0.75" header="0.3" footer="0.3"/>
  <pageSetup paperSize="9"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7E3BB-6567-4DDB-BE9E-DA987AECA383}">
  <sheetPr>
    <tabColor rgb="FFFFFF00"/>
  </sheetPr>
  <dimension ref="A1:S122"/>
  <sheetViews>
    <sheetView showGridLines="0" topLeftCell="A5" zoomScale="59" workbookViewId="0">
      <selection activeCell="I25" sqref="I25"/>
    </sheetView>
  </sheetViews>
  <sheetFormatPr defaultRowHeight="14.5"/>
  <cols>
    <col min="2" max="2" width="11.54296875" customWidth="1"/>
    <col min="3" max="3" width="12.54296875" customWidth="1"/>
    <col min="5" max="8" width="9.26953125" bestFit="1" customWidth="1"/>
    <col min="9" max="10" width="10.453125" bestFit="1" customWidth="1"/>
    <col min="11" max="11" width="12.26953125" customWidth="1"/>
    <col min="12" max="12" width="11.54296875" customWidth="1"/>
    <col min="13" max="13" width="23.26953125" customWidth="1"/>
    <col min="14" max="14" width="30" customWidth="1"/>
    <col min="15" max="15" width="31.81640625" customWidth="1"/>
    <col min="16" max="16" width="20.453125" customWidth="1"/>
  </cols>
  <sheetData>
    <row r="1" spans="1:19">
      <c r="A1" s="1022" t="s">
        <v>524</v>
      </c>
      <c r="B1" s="3" t="s">
        <v>525</v>
      </c>
      <c r="C1" s="1022" t="s">
        <v>526</v>
      </c>
    </row>
    <row r="2" spans="1:19">
      <c r="A2" t="s">
        <v>527</v>
      </c>
      <c r="B2">
        <f>'IS Intergrated'!J11/1000</f>
        <v>3.4474</v>
      </c>
      <c r="D2" s="1034"/>
      <c r="E2" s="1034" t="s">
        <v>364</v>
      </c>
      <c r="F2" s="1034" t="s">
        <v>365</v>
      </c>
      <c r="G2" s="1034" t="s">
        <v>366</v>
      </c>
      <c r="H2" s="1034" t="s">
        <v>367</v>
      </c>
      <c r="I2" s="1034" t="s">
        <v>368</v>
      </c>
      <c r="J2" s="1034" t="s">
        <v>369</v>
      </c>
      <c r="K2" s="1034" t="s">
        <v>370</v>
      </c>
      <c r="S2" s="1035" t="s">
        <v>528</v>
      </c>
    </row>
    <row r="3" spans="1:19">
      <c r="A3" t="s">
        <v>529</v>
      </c>
      <c r="B3">
        <f>'IS Intergrated'!K11</f>
        <v>4410.6270000000004</v>
      </c>
      <c r="C3" s="124">
        <f>(B3/B2)-1</f>
        <v>1278.4067993270291</v>
      </c>
      <c r="E3" s="99">
        <f>'IS Intergrated'!K11/1000</f>
        <v>4.4106270000000007</v>
      </c>
      <c r="F3" s="99">
        <f>'IS Intergrated'!L11/1000</f>
        <v>5.9094217500000008</v>
      </c>
      <c r="G3" s="99">
        <f>'IS Intergrated'!M11/1000</f>
        <v>7.6343850903600003</v>
      </c>
      <c r="H3" s="99">
        <f>'IS Intergrated'!N11/1000</f>
        <v>10.459659292926482</v>
      </c>
      <c r="I3" s="99">
        <f>'IS Intergrated'!O11/1000</f>
        <v>12.342397965653246</v>
      </c>
      <c r="J3" s="99">
        <f>'IS Intergrated'!P11/1000</f>
        <v>13.946909701188167</v>
      </c>
      <c r="K3" s="99">
        <f>'IS Intergrated'!Q11/1000</f>
        <v>15.341600671306985</v>
      </c>
      <c r="S3" s="398"/>
    </row>
    <row r="4" spans="1:19">
      <c r="A4" t="s">
        <v>530</v>
      </c>
      <c r="B4" s="58">
        <f>'IS Intergrated'!L11</f>
        <v>5909.4217500000004</v>
      </c>
      <c r="C4" s="124">
        <f>(B4/B3)-1</f>
        <v>0.33981444134813477</v>
      </c>
      <c r="E4" s="119">
        <f>E3/B2-1</f>
        <v>0.27940679932702928</v>
      </c>
      <c r="F4" s="124">
        <f>'Revenue Assumptions'!F7</f>
        <v>0.29000000000000004</v>
      </c>
      <c r="G4" s="124">
        <f>'Revenue Assumptions'!G7</f>
        <v>0.26</v>
      </c>
      <c r="H4" s="124">
        <f>'Revenue Assumptions'!H7</f>
        <v>0.22999999999999998</v>
      </c>
      <c r="I4" s="124">
        <f>'Revenue Assumptions'!I7</f>
        <v>0.18</v>
      </c>
      <c r="J4" s="124">
        <f>'Revenue Assumptions'!J7</f>
        <v>0.13</v>
      </c>
      <c r="K4" s="124">
        <f>'Revenue Assumptions'!K7</f>
        <v>0.1</v>
      </c>
      <c r="L4" s="124"/>
      <c r="N4" s="1042" t="s">
        <v>531</v>
      </c>
      <c r="O4" s="1042" t="s">
        <v>532</v>
      </c>
      <c r="P4" s="1042" t="s">
        <v>533</v>
      </c>
      <c r="S4" s="958"/>
    </row>
    <row r="5" spans="1:19">
      <c r="A5" t="s">
        <v>534</v>
      </c>
      <c r="B5" s="58">
        <f>'IS Intergrated'!M11</f>
        <v>7634.3850903600005</v>
      </c>
      <c r="C5" s="124">
        <f>(B5/B4)-1</f>
        <v>0.29190052992240734</v>
      </c>
      <c r="N5" s="1039" t="s">
        <v>535</v>
      </c>
      <c r="O5" s="311"/>
      <c r="P5" s="1039" t="s">
        <v>536</v>
      </c>
      <c r="S5" s="984"/>
    </row>
    <row r="6" spans="1:19">
      <c r="A6" t="s">
        <v>537</v>
      </c>
      <c r="B6" s="58">
        <f>'IS Intergrated'!N11</f>
        <v>10459.659292926481</v>
      </c>
      <c r="C6" s="124">
        <f>(B6/B5)-1</f>
        <v>0.37007226765833123</v>
      </c>
      <c r="N6" s="1040" t="s">
        <v>132</v>
      </c>
      <c r="P6" s="1040" t="s">
        <v>538</v>
      </c>
      <c r="S6" s="985"/>
    </row>
    <row r="7" spans="1:19">
      <c r="A7" t="s">
        <v>539</v>
      </c>
      <c r="B7" s="58">
        <f>'IS Intergrated'!O11</f>
        <v>12342.397965653247</v>
      </c>
      <c r="C7" s="124">
        <f>(B7/B6)-1</f>
        <v>0.17999999999999994</v>
      </c>
      <c r="N7" s="1039" t="s">
        <v>139</v>
      </c>
      <c r="O7" s="311"/>
      <c r="P7" s="1039" t="s">
        <v>540</v>
      </c>
      <c r="S7" s="986"/>
    </row>
    <row r="8" spans="1:19">
      <c r="N8" s="1040" t="s">
        <v>140</v>
      </c>
      <c r="P8" s="1040" t="s">
        <v>541</v>
      </c>
      <c r="S8" s="320"/>
    </row>
    <row r="9" spans="1:19">
      <c r="N9" s="1039" t="s">
        <v>142</v>
      </c>
      <c r="O9" s="311"/>
      <c r="P9" s="1039" t="s">
        <v>542</v>
      </c>
    </row>
    <row r="10" spans="1:19">
      <c r="N10" s="1040" t="s">
        <v>144</v>
      </c>
      <c r="O10" s="1041"/>
      <c r="P10" s="1040" t="s">
        <v>543</v>
      </c>
    </row>
    <row r="11" spans="1:19">
      <c r="N11" s="1039" t="s">
        <v>146</v>
      </c>
      <c r="O11" s="311"/>
      <c r="P11" s="1039" t="s">
        <v>544</v>
      </c>
    </row>
    <row r="16" spans="1:19">
      <c r="K16" s="1036" t="s">
        <v>545</v>
      </c>
      <c r="L16" s="1036"/>
      <c r="M16" s="1036"/>
      <c r="N16" s="1036"/>
      <c r="O16" s="1036"/>
    </row>
    <row r="17" spans="1:15">
      <c r="K17" s="1037" t="s">
        <v>531</v>
      </c>
      <c r="L17" s="1037" t="s">
        <v>546</v>
      </c>
      <c r="M17" s="1037" t="s">
        <v>547</v>
      </c>
      <c r="N17" s="1037" t="s">
        <v>548</v>
      </c>
      <c r="O17" s="1037" t="s">
        <v>549</v>
      </c>
    </row>
    <row r="18" spans="1:15">
      <c r="K18" s="3" t="s">
        <v>535</v>
      </c>
      <c r="L18" t="s">
        <v>550</v>
      </c>
      <c r="M18" t="s">
        <v>551</v>
      </c>
      <c r="N18" t="s">
        <v>552</v>
      </c>
      <c r="O18" t="s">
        <v>553</v>
      </c>
    </row>
    <row r="19" spans="1:15">
      <c r="K19" s="1038" t="s">
        <v>132</v>
      </c>
      <c r="L19" s="311" t="s">
        <v>554</v>
      </c>
      <c r="M19" s="311" t="s">
        <v>552</v>
      </c>
      <c r="N19" s="311" t="s">
        <v>555</v>
      </c>
      <c r="O19" s="311" t="s">
        <v>556</v>
      </c>
    </row>
    <row r="20" spans="1:15">
      <c r="K20" s="3" t="s">
        <v>557</v>
      </c>
      <c r="L20" t="s">
        <v>558</v>
      </c>
      <c r="M20" t="s">
        <v>552</v>
      </c>
      <c r="N20" t="s">
        <v>559</v>
      </c>
      <c r="O20" t="s">
        <v>560</v>
      </c>
    </row>
    <row r="21" spans="1:15">
      <c r="K21" s="1038" t="s">
        <v>142</v>
      </c>
      <c r="L21" s="311" t="s">
        <v>561</v>
      </c>
      <c r="M21" s="311" t="s">
        <v>552</v>
      </c>
      <c r="N21" s="311" t="s">
        <v>562</v>
      </c>
      <c r="O21" s="311" t="s">
        <v>560</v>
      </c>
    </row>
    <row r="22" spans="1:15">
      <c r="K22" s="3" t="s">
        <v>146</v>
      </c>
      <c r="L22" t="s">
        <v>563</v>
      </c>
      <c r="M22" t="s">
        <v>552</v>
      </c>
      <c r="N22" t="s">
        <v>562</v>
      </c>
      <c r="O22" t="s">
        <v>560</v>
      </c>
    </row>
    <row r="23" spans="1:15">
      <c r="D23" t="s">
        <v>564</v>
      </c>
      <c r="K23" s="1037" t="s">
        <v>140</v>
      </c>
      <c r="L23" s="311" t="s">
        <v>565</v>
      </c>
      <c r="M23" s="311" t="s">
        <v>552</v>
      </c>
      <c r="N23" s="311" t="s">
        <v>559</v>
      </c>
      <c r="O23" s="311" t="s">
        <v>560</v>
      </c>
    </row>
    <row r="28" spans="1:15">
      <c r="A28" t="s">
        <v>566</v>
      </c>
    </row>
    <row r="29" spans="1:15">
      <c r="A29" t="s">
        <v>567</v>
      </c>
      <c r="B29">
        <v>67</v>
      </c>
    </row>
    <row r="30" spans="1:15">
      <c r="A30" t="s">
        <v>568</v>
      </c>
      <c r="B30">
        <v>28</v>
      </c>
    </row>
    <row r="31" spans="1:15">
      <c r="A31" t="s">
        <v>569</v>
      </c>
      <c r="B31">
        <v>22</v>
      </c>
    </row>
    <row r="32" spans="1:15">
      <c r="A32" t="s">
        <v>570</v>
      </c>
      <c r="B32">
        <v>11</v>
      </c>
    </row>
    <row r="33" spans="1:2">
      <c r="A33" t="s">
        <v>571</v>
      </c>
      <c r="B33">
        <v>9</v>
      </c>
    </row>
    <row r="34" spans="1:2">
      <c r="A34" t="s">
        <v>572</v>
      </c>
      <c r="B34">
        <v>3</v>
      </c>
    </row>
    <row r="55" spans="1:4">
      <c r="B55" t="s">
        <v>573</v>
      </c>
      <c r="C55" t="s">
        <v>574</v>
      </c>
      <c r="D55" t="s">
        <v>575</v>
      </c>
    </row>
    <row r="56" spans="1:4">
      <c r="A56" t="s">
        <v>576</v>
      </c>
      <c r="B56">
        <v>65</v>
      </c>
      <c r="C56">
        <v>77</v>
      </c>
      <c r="D56">
        <v>68</v>
      </c>
    </row>
    <row r="57" spans="1:4">
      <c r="A57" t="s">
        <v>577</v>
      </c>
      <c r="B57">
        <v>35</v>
      </c>
      <c r="C57">
        <v>23</v>
      </c>
      <c r="D57">
        <v>32</v>
      </c>
    </row>
    <row r="77" spans="1:3">
      <c r="B77">
        <v>2025</v>
      </c>
      <c r="C77">
        <v>2026</v>
      </c>
    </row>
    <row r="78" spans="1:3">
      <c r="A78" t="s">
        <v>578</v>
      </c>
      <c r="B78">
        <v>148.19999999999999</v>
      </c>
      <c r="C78">
        <v>172.7</v>
      </c>
    </row>
    <row r="79" spans="1:3">
      <c r="A79" t="s">
        <v>579</v>
      </c>
      <c r="B79" s="99">
        <v>60</v>
      </c>
      <c r="C79">
        <v>70.8</v>
      </c>
    </row>
    <row r="80" spans="1:3">
      <c r="A80" t="s">
        <v>580</v>
      </c>
      <c r="B80">
        <v>69.400000000000006</v>
      </c>
      <c r="C80">
        <v>86.1</v>
      </c>
    </row>
    <row r="99" spans="2:3">
      <c r="B99" t="s">
        <v>1073</v>
      </c>
      <c r="C99" s="117">
        <v>0.48</v>
      </c>
    </row>
    <row r="100" spans="2:3">
      <c r="B100" t="s">
        <v>579</v>
      </c>
      <c r="C100" s="117">
        <v>0.41</v>
      </c>
    </row>
    <row r="101" spans="2:3">
      <c r="B101" t="s">
        <v>580</v>
      </c>
      <c r="C101" s="117">
        <v>0.11</v>
      </c>
    </row>
    <row r="121" spans="1:2">
      <c r="A121">
        <v>2025</v>
      </c>
      <c r="B121">
        <v>2032</v>
      </c>
    </row>
    <row r="122" spans="1:2">
      <c r="A122">
        <v>104.2</v>
      </c>
      <c r="B122" s="99">
        <v>368</v>
      </c>
    </row>
  </sheetData>
  <pageMargins left="0.7" right="0.7" top="0.75" bottom="0.75" header="0.3" footer="0.3"/>
  <drawing r:id="rId1"/>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A1C241-9131-4B90-966A-2C67CAE3EA18}">
  <sheetPr codeName="Sheet15">
    <tabColor rgb="FFFFFF00"/>
  </sheetPr>
  <dimension ref="A1:AB87"/>
  <sheetViews>
    <sheetView showGridLines="0" topLeftCell="A12" zoomScale="106" zoomScaleNormal="100" workbookViewId="0">
      <selection activeCell="O7" sqref="O6:T7"/>
    </sheetView>
  </sheetViews>
  <sheetFormatPr defaultColWidth="8.7265625" defaultRowHeight="12"/>
  <cols>
    <col min="1" max="3" width="8.7265625" style="872"/>
    <col min="4" max="4" width="13.7265625" style="872" customWidth="1"/>
    <col min="5" max="17" width="10.26953125" style="872" bestFit="1" customWidth="1"/>
    <col min="18" max="16384" width="8.7265625" style="872"/>
  </cols>
  <sheetData>
    <row r="1" spans="1:28">
      <c r="A1" s="871" t="s">
        <v>581</v>
      </c>
    </row>
    <row r="2" spans="1:28">
      <c r="A2" s="890" t="s">
        <v>89</v>
      </c>
    </row>
    <row r="5" spans="1:28">
      <c r="E5" s="229">
        <v>43983</v>
      </c>
      <c r="F5" s="214">
        <v>44377</v>
      </c>
      <c r="G5" s="214">
        <f>EDATE(F5,12)</f>
        <v>44742</v>
      </c>
      <c r="H5" s="214">
        <f t="shared" ref="H5:Q5" si="0">EDATE(G5,12)</f>
        <v>45107</v>
      </c>
      <c r="I5" s="214">
        <f t="shared" si="0"/>
        <v>45473</v>
      </c>
      <c r="J5" s="214">
        <f t="shared" si="0"/>
        <v>45838</v>
      </c>
      <c r="K5" s="214">
        <v>46174</v>
      </c>
      <c r="L5" s="214">
        <f t="shared" si="0"/>
        <v>46539</v>
      </c>
      <c r="M5" s="214">
        <f t="shared" si="0"/>
        <v>46905</v>
      </c>
      <c r="N5" s="214">
        <f t="shared" si="0"/>
        <v>47270</v>
      </c>
      <c r="O5" s="214">
        <f t="shared" si="0"/>
        <v>47635</v>
      </c>
      <c r="P5" s="214">
        <f t="shared" si="0"/>
        <v>48000</v>
      </c>
      <c r="Q5" s="214">
        <f t="shared" si="0"/>
        <v>48366</v>
      </c>
    </row>
    <row r="6" spans="1:28">
      <c r="E6" s="874" t="s">
        <v>16</v>
      </c>
      <c r="F6" s="874" t="s">
        <v>16</v>
      </c>
      <c r="G6" s="874" t="s">
        <v>16</v>
      </c>
      <c r="H6" s="874" t="s">
        <v>16</v>
      </c>
      <c r="I6" s="874" t="s">
        <v>16</v>
      </c>
      <c r="J6" s="874" t="s">
        <v>16</v>
      </c>
      <c r="K6" s="874" t="s">
        <v>16</v>
      </c>
      <c r="L6" s="875" t="s">
        <v>17</v>
      </c>
      <c r="M6" s="875" t="s">
        <v>17</v>
      </c>
      <c r="N6" s="875" t="s">
        <v>17</v>
      </c>
      <c r="O6" s="875" t="s">
        <v>17</v>
      </c>
      <c r="P6" s="875" t="s">
        <v>17</v>
      </c>
      <c r="Q6" s="875" t="s">
        <v>17</v>
      </c>
    </row>
    <row r="8" spans="1:28">
      <c r="A8" s="891"/>
      <c r="B8" s="891"/>
      <c r="C8" s="891"/>
      <c r="D8" s="891"/>
      <c r="E8" s="891"/>
      <c r="F8" s="891"/>
      <c r="G8" s="891"/>
      <c r="H8" s="891"/>
      <c r="I8" s="891"/>
      <c r="J8" s="891"/>
      <c r="K8" s="891"/>
      <c r="L8" s="891"/>
      <c r="M8" s="891"/>
      <c r="N8" s="891"/>
      <c r="O8" s="891"/>
      <c r="P8" s="892"/>
      <c r="Q8" s="892"/>
    </row>
    <row r="10" spans="1:28">
      <c r="B10" s="872" t="s">
        <v>582</v>
      </c>
      <c r="L10" s="893"/>
      <c r="M10" s="893"/>
      <c r="N10" s="893"/>
      <c r="O10" s="893"/>
      <c r="P10" s="893"/>
      <c r="Q10" s="893"/>
    </row>
    <row r="11" spans="1:28">
      <c r="B11" s="881" t="s">
        <v>583</v>
      </c>
      <c r="E11" s="894">
        <f>'BS Historical Updated'!D7</f>
        <v>1479.9690000000001</v>
      </c>
      <c r="F11" s="894">
        <f>'BS Historical Updated'!E7</f>
        <v>919.22699999999998</v>
      </c>
      <c r="G11" s="894">
        <f>'BS Historical Updated'!F7</f>
        <v>1385.2650000000001</v>
      </c>
      <c r="H11" s="894">
        <f>'BS Historical Updated'!G7</f>
        <v>2102.5500000000002</v>
      </c>
      <c r="I11" s="894">
        <f>'BS Historical Updated'!H7</f>
        <v>2176.9299999999998</v>
      </c>
      <c r="J11" s="894">
        <f>'BS Historical Updated'!I7</f>
        <v>2512.8739999999998</v>
      </c>
      <c r="K11" s="894">
        <f>'BS Historical Updated'!J7</f>
        <v>1239.5119999999999</v>
      </c>
      <c r="L11" s="895">
        <f>K11+'CF Intergrated'!L49</f>
        <v>1290.1920401879017</v>
      </c>
      <c r="M11" s="895">
        <f>L11+'CF Intergrated'!M49</f>
        <v>1385.8472811367612</v>
      </c>
      <c r="N11" s="895">
        <f>M11+'CF Intergrated'!N49</f>
        <v>1504.8371951736679</v>
      </c>
      <c r="O11" s="895">
        <f>N11+'CF Intergrated'!O49</f>
        <v>1774.4937650869058</v>
      </c>
      <c r="P11" s="895">
        <f>O11+'CF Intergrated'!P49</f>
        <v>2164.3668941648257</v>
      </c>
      <c r="Q11" s="895">
        <f>P11+'CF Intergrated'!Q49</f>
        <v>2771.1575555082013</v>
      </c>
    </row>
    <row r="12" spans="1:28">
      <c r="B12" s="881" t="s">
        <v>584</v>
      </c>
      <c r="E12" s="894">
        <f>'BS Historical Updated'!D8</f>
        <v>676.072</v>
      </c>
      <c r="F12" s="894">
        <f>'BS Historical Updated'!E8</f>
        <v>313.00099999999998</v>
      </c>
      <c r="G12" s="894">
        <f>'BS Historical Updated'!F8</f>
        <v>73.293999999999997</v>
      </c>
      <c r="H12" s="894">
        <f>'BS Historical Updated'!G8</f>
        <v>10</v>
      </c>
      <c r="I12" s="894">
        <f>'BS Historical Updated'!H8</f>
        <v>161.97300000000001</v>
      </c>
      <c r="J12" s="894">
        <f>'BS Historical Updated'!I8</f>
        <v>424.26799999999997</v>
      </c>
      <c r="K12" s="894">
        <f>'BS Historical Updated'!J8</f>
        <v>0</v>
      </c>
      <c r="L12" s="896">
        <v>0</v>
      </c>
      <c r="M12" s="896">
        <v>0</v>
      </c>
      <c r="N12" s="896">
        <v>0</v>
      </c>
      <c r="O12" s="896">
        <v>0</v>
      </c>
      <c r="P12" s="896">
        <v>0</v>
      </c>
      <c r="Q12" s="896">
        <v>0</v>
      </c>
      <c r="V12" s="896"/>
      <c r="W12" s="896"/>
      <c r="X12" s="896"/>
      <c r="Y12" s="896"/>
      <c r="Z12" s="896"/>
      <c r="AA12" s="896"/>
      <c r="AB12" s="896"/>
    </row>
    <row r="13" spans="1:28">
      <c r="B13" s="881" t="s">
        <v>585</v>
      </c>
      <c r="E13" s="894">
        <f>'BS Historical Updated'!D9</f>
        <v>112.01900000000001</v>
      </c>
      <c r="F13" s="894">
        <f>'BS Historical Updated'!E9</f>
        <v>173.47300000000001</v>
      </c>
      <c r="G13" s="894">
        <f>'BS Historical Updated'!F9</f>
        <v>308.12700000000001</v>
      </c>
      <c r="H13" s="894">
        <f>'BS Historical Updated'!G9</f>
        <v>477.678</v>
      </c>
      <c r="I13" s="894">
        <f>'BS Historical Updated'!H9</f>
        <v>628.04899999999998</v>
      </c>
      <c r="J13" s="894">
        <f>'BS Historical Updated'!I9</f>
        <v>778.30200000000002</v>
      </c>
      <c r="K13" s="894">
        <f>'BS Historical Updated'!J9</f>
        <v>1269.9469999999999</v>
      </c>
      <c r="L13" s="893">
        <f>'BS Assumptions'!E9*'IS Intergrated'!L10</f>
        <v>1105.9001164134934</v>
      </c>
      <c r="M13" s="893">
        <f>'BS Assumptions'!F9*'IS Intergrated'!M10</f>
        <v>1339.3338081031595</v>
      </c>
      <c r="N13" s="893">
        <f>'BS Assumptions'!G9*'IS Intergrated'!N10</f>
        <v>1615.5820225784987</v>
      </c>
      <c r="O13" s="893">
        <f>'BS Assumptions'!H9*'IS Intergrated'!O10</f>
        <v>1903.2384934105908</v>
      </c>
      <c r="P13" s="893">
        <f>'BS Assumptions'!I9*'IS Intergrated'!P10</f>
        <v>2151.2573476275275</v>
      </c>
      <c r="Q13" s="893">
        <f>'BS Assumptions'!J9*'IS Intergrated'!Q10</f>
        <v>2369.5187710123128</v>
      </c>
      <c r="V13" s="894"/>
      <c r="W13" s="894"/>
      <c r="X13" s="894"/>
      <c r="Y13" s="894"/>
      <c r="Z13" s="894"/>
      <c r="AA13" s="894"/>
      <c r="AB13" s="894"/>
    </row>
    <row r="14" spans="1:28">
      <c r="B14" s="881" t="s">
        <v>586</v>
      </c>
      <c r="E14" s="894">
        <f>'BS Historical Updated'!D10</f>
        <v>1.5089999999999999</v>
      </c>
      <c r="F14" s="894">
        <f>'BS Historical Updated'!E10</f>
        <v>2.3220000000000001</v>
      </c>
      <c r="G14" s="894">
        <f>'BS Historical Updated'!F10</f>
        <v>0.54100000000000004</v>
      </c>
      <c r="H14" s="894">
        <f>'BS Historical Updated'!G10</f>
        <v>0</v>
      </c>
      <c r="I14" s="894">
        <f>'BS Historical Updated'!H10</f>
        <v>0</v>
      </c>
      <c r="J14" s="894">
        <f>'BS Historical Updated'!I10</f>
        <v>0</v>
      </c>
      <c r="K14" s="894">
        <f>'BS Historical Updated'!J10</f>
        <v>0</v>
      </c>
      <c r="L14" s="894">
        <v>0</v>
      </c>
      <c r="M14" s="894">
        <v>0</v>
      </c>
      <c r="N14" s="894">
        <v>0</v>
      </c>
      <c r="O14" s="894">
        <v>0</v>
      </c>
      <c r="P14" s="894">
        <v>0</v>
      </c>
      <c r="Q14" s="894">
        <v>0</v>
      </c>
      <c r="V14" s="894"/>
      <c r="W14" s="894"/>
      <c r="X14" s="894"/>
      <c r="Y14" s="894"/>
      <c r="Z14" s="894"/>
      <c r="AA14" s="894"/>
      <c r="AB14" s="894"/>
    </row>
    <row r="15" spans="1:28">
      <c r="B15" s="881" t="s">
        <v>587</v>
      </c>
      <c r="E15" s="894">
        <f>'BS Historical Updated'!D11</f>
        <v>327.48700000000002</v>
      </c>
      <c r="F15" s="894">
        <f>'BS Historical Updated'!E11</f>
        <v>127.486</v>
      </c>
      <c r="G15" s="894">
        <f>'BS Historical Updated'!F11</f>
        <v>13.685</v>
      </c>
      <c r="H15" s="894">
        <f>'BS Historical Updated'!G11</f>
        <v>0</v>
      </c>
      <c r="I15" s="894">
        <f>'BS Historical Updated'!H11</f>
        <v>0</v>
      </c>
      <c r="J15" s="894">
        <f>'BS Historical Updated'!I11</f>
        <v>0</v>
      </c>
      <c r="K15" s="894">
        <f>'BS Historical Updated'!J11</f>
        <v>0</v>
      </c>
      <c r="L15" s="894">
        <v>0</v>
      </c>
      <c r="M15" s="894">
        <v>0</v>
      </c>
      <c r="N15" s="894">
        <v>0</v>
      </c>
      <c r="O15" s="894">
        <v>0</v>
      </c>
      <c r="P15" s="894">
        <v>0</v>
      </c>
      <c r="Q15" s="894">
        <v>0</v>
      </c>
      <c r="V15" s="896"/>
      <c r="W15" s="896"/>
      <c r="X15" s="896"/>
      <c r="Y15" s="896"/>
      <c r="Z15" s="896"/>
      <c r="AA15" s="896"/>
      <c r="AB15" s="896"/>
    </row>
    <row r="16" spans="1:28">
      <c r="B16" s="881" t="s">
        <v>588</v>
      </c>
      <c r="E16" s="894">
        <f>'BS Historical Updated'!D12</f>
        <v>46.73</v>
      </c>
      <c r="F16" s="894">
        <f>'BS Historical Updated'!E12</f>
        <v>91.997</v>
      </c>
      <c r="G16" s="894">
        <f>'BS Historical Updated'!F12</f>
        <v>118.342</v>
      </c>
      <c r="H16" s="894">
        <f>'BS Historical Updated'!G12</f>
        <v>146.136</v>
      </c>
      <c r="I16" s="894">
        <f>'BS Historical Updated'!H12</f>
        <v>109.312</v>
      </c>
      <c r="J16" s="894">
        <f>'BS Historical Updated'!I12</f>
        <v>175.79300000000001</v>
      </c>
      <c r="K16" s="894">
        <f>'BS Historical Updated'!J12</f>
        <v>287.66300000000001</v>
      </c>
      <c r="L16" s="893">
        <f>'BS Assumptions'!E19*'IS Intergrated'!L24</f>
        <v>330.61992461391947</v>
      </c>
      <c r="M16" s="893">
        <f>'BS Assumptions'!F19*'IS Intergrated'!M24</f>
        <v>390.59986970853913</v>
      </c>
      <c r="N16" s="893">
        <f>'BS Assumptions'!G19*'IS Intergrated'!N24</f>
        <v>459.33393886430343</v>
      </c>
      <c r="O16" s="893">
        <f>'BS Assumptions'!H19*'IS Intergrated'!O24</f>
        <v>513.24565835739475</v>
      </c>
      <c r="P16" s="893">
        <f>'BS Assumptions'!I19*'IS Intergrated'!P24</f>
        <v>548.62325051811547</v>
      </c>
      <c r="Q16" s="893">
        <f>'BS Assumptions'!J19*'IS Intergrated'!Q24</f>
        <v>569.58320814223146</v>
      </c>
      <c r="V16" s="896"/>
      <c r="W16" s="896"/>
      <c r="X16" s="896"/>
      <c r="Y16" s="896"/>
      <c r="Z16" s="896"/>
      <c r="AA16" s="896"/>
      <c r="AB16" s="896"/>
    </row>
    <row r="17" spans="1:28">
      <c r="B17" s="897"/>
      <c r="E17" s="894"/>
      <c r="F17" s="894"/>
      <c r="G17" s="894"/>
      <c r="H17" s="894"/>
      <c r="I17" s="894"/>
      <c r="J17" s="894"/>
      <c r="K17" s="894"/>
      <c r="L17" s="898"/>
      <c r="M17" s="898"/>
      <c r="N17" s="898"/>
      <c r="O17" s="898"/>
      <c r="P17" s="898"/>
      <c r="Q17" s="898"/>
      <c r="V17" s="894"/>
      <c r="W17" s="894"/>
      <c r="X17" s="894"/>
      <c r="Y17" s="894"/>
      <c r="Z17" s="894"/>
      <c r="AA17" s="894"/>
      <c r="AB17" s="894"/>
    </row>
    <row r="18" spans="1:28">
      <c r="B18" s="880" t="s">
        <v>589</v>
      </c>
      <c r="C18" s="880"/>
      <c r="D18" s="880"/>
      <c r="E18" s="899">
        <f t="shared" ref="E18:K18" si="1">SUM(E11:E16)</f>
        <v>2643.7860000000005</v>
      </c>
      <c r="F18" s="899">
        <f t="shared" si="1"/>
        <v>1627.5060000000001</v>
      </c>
      <c r="G18" s="899">
        <f t="shared" si="1"/>
        <v>1899.2540000000001</v>
      </c>
      <c r="H18" s="899">
        <f t="shared" si="1"/>
        <v>2736.364</v>
      </c>
      <c r="I18" s="899">
        <f t="shared" si="1"/>
        <v>3076.2639999999997</v>
      </c>
      <c r="J18" s="899">
        <f t="shared" si="1"/>
        <v>3891.2370000000001</v>
      </c>
      <c r="K18" s="899">
        <f t="shared" si="1"/>
        <v>2797.1219999999998</v>
      </c>
      <c r="L18" s="899">
        <f>SUM(L11:L16)</f>
        <v>2726.7120812153144</v>
      </c>
      <c r="M18" s="899">
        <f t="shared" ref="M18:Q18" si="2">SUM(M11:M16)</f>
        <v>3115.78095894846</v>
      </c>
      <c r="N18" s="899">
        <f t="shared" si="2"/>
        <v>3579.7531566164698</v>
      </c>
      <c r="O18" s="899">
        <f t="shared" si="2"/>
        <v>4190.9779168548912</v>
      </c>
      <c r="P18" s="899">
        <f t="shared" si="2"/>
        <v>4864.2474923104683</v>
      </c>
      <c r="Q18" s="899">
        <f t="shared" si="2"/>
        <v>5710.259534662745</v>
      </c>
      <c r="V18" s="896"/>
      <c r="W18" s="896"/>
      <c r="X18" s="896"/>
      <c r="Y18" s="896"/>
      <c r="Z18" s="896"/>
      <c r="AA18" s="896"/>
      <c r="AB18" s="896"/>
    </row>
    <row r="19" spans="1:28">
      <c r="E19" s="894"/>
      <c r="F19" s="894"/>
      <c r="G19" s="894"/>
      <c r="H19" s="894"/>
      <c r="I19" s="894"/>
      <c r="J19" s="894"/>
      <c r="K19" s="894"/>
      <c r="L19" s="893"/>
      <c r="M19" s="893"/>
      <c r="N19" s="893"/>
      <c r="O19" s="893"/>
      <c r="P19" s="893"/>
      <c r="Q19" s="893"/>
      <c r="V19" s="896"/>
      <c r="W19" s="896"/>
      <c r="X19" s="896"/>
      <c r="Y19" s="896"/>
      <c r="Z19" s="896"/>
      <c r="AA19" s="896"/>
      <c r="AB19" s="896"/>
    </row>
    <row r="20" spans="1:28">
      <c r="B20" s="881" t="s">
        <v>590</v>
      </c>
      <c r="E20" s="894">
        <f>'BS Historical Updated'!D16</f>
        <v>97.647999999999982</v>
      </c>
      <c r="F20" s="894">
        <f>'BS Historical Updated'!E16</f>
        <v>66.221000000000004</v>
      </c>
      <c r="G20" s="894">
        <f>'BS Historical Updated'!F16</f>
        <v>98.554000000000002</v>
      </c>
      <c r="H20" s="894">
        <f>'BS Historical Updated'!G16</f>
        <v>81.402000000000015</v>
      </c>
      <c r="I20" s="894">
        <f>'BS Historical Updated'!H16</f>
        <v>86.314999999999998</v>
      </c>
      <c r="J20" s="894">
        <f>'BS Historical Updated'!I16</f>
        <v>105.11799999999999</v>
      </c>
      <c r="K20" s="894">
        <f>'BS Historical Updated'!J16</f>
        <v>86.301999999999992</v>
      </c>
      <c r="L20" s="894">
        <f t="shared" ref="L20" si="3">L21+L27</f>
        <v>107.35170124531356</v>
      </c>
      <c r="M20" s="894">
        <f t="shared" ref="M20" si="4">M21+M27</f>
        <v>125.36368431817368</v>
      </c>
      <c r="N20" s="894">
        <f t="shared" ref="N20" si="5">N21+N27</f>
        <v>145.6372914586571</v>
      </c>
      <c r="O20" s="894">
        <f t="shared" ref="O20" si="6">O21+O27</f>
        <v>159.224405829381</v>
      </c>
      <c r="P20" s="894">
        <f t="shared" ref="P20" si="7">P21+P27</f>
        <v>153.56253120123756</v>
      </c>
      <c r="Q20" s="894">
        <f t="shared" ref="Q20" si="8">Q21+Q27</f>
        <v>132.35781333726482</v>
      </c>
      <c r="V20" s="894"/>
      <c r="W20" s="894"/>
      <c r="X20" s="894"/>
      <c r="Y20" s="894"/>
      <c r="Z20" s="894"/>
      <c r="AA20" s="894"/>
      <c r="AB20" s="894"/>
    </row>
    <row r="21" spans="1:28">
      <c r="A21" s="871"/>
      <c r="B21" s="878" t="s">
        <v>591</v>
      </c>
      <c r="E21" s="894">
        <f>'BS Historical Updated'!D17</f>
        <v>155.76499999999999</v>
      </c>
      <c r="F21" s="894">
        <f>'BS Historical Updated'!E17</f>
        <v>148.15100000000001</v>
      </c>
      <c r="G21" s="894">
        <f>'BS Historical Updated'!F17</f>
        <v>172.28800000000001</v>
      </c>
      <c r="H21" s="894">
        <f>'BS Historical Updated'!G17</f>
        <v>186.99700000000001</v>
      </c>
      <c r="I21" s="894">
        <f>'BS Historical Updated'!H17</f>
        <v>215.14</v>
      </c>
      <c r="J21" s="894">
        <f>'BS Historical Updated'!I17</f>
        <v>252.89699999999999</v>
      </c>
      <c r="K21" s="894">
        <f>'BS Historical Updated'!J17</f>
        <v>242.69799999999998</v>
      </c>
      <c r="L21" s="896">
        <f t="shared" ref="L21:Q21" si="9">SUM(L22:L26)</f>
        <v>301.40765333421507</v>
      </c>
      <c r="M21" s="896">
        <f t="shared" si="9"/>
        <v>365.02886123272111</v>
      </c>
      <c r="N21" s="896">
        <f t="shared" si="9"/>
        <v>440.31895735171543</v>
      </c>
      <c r="O21" s="896">
        <f t="shared" si="9"/>
        <v>518.71831779403351</v>
      </c>
      <c r="P21" s="896">
        <f t="shared" si="9"/>
        <v>586.31464021291731</v>
      </c>
      <c r="Q21" s="896">
        <f t="shared" si="9"/>
        <v>645.80072079055662</v>
      </c>
      <c r="AB21" s="894"/>
    </row>
    <row r="22" spans="1:28">
      <c r="B22" s="900" t="s">
        <v>592</v>
      </c>
      <c r="E22" s="894">
        <f>'BS Historical Updated'!D18</f>
        <v>9.6519999999999992</v>
      </c>
      <c r="F22" s="894">
        <f>'BS Historical Updated'!E18</f>
        <v>10.43</v>
      </c>
      <c r="G22" s="894">
        <f>'BS Historical Updated'!F18</f>
        <v>9.14</v>
      </c>
      <c r="H22" s="894">
        <f>'BS Historical Updated'!G18</f>
        <v>9.298</v>
      </c>
      <c r="I22" s="894">
        <f>'BS Historical Updated'!H18</f>
        <v>11.2</v>
      </c>
      <c r="J22" s="894">
        <f>'BS Historical Updated'!I18</f>
        <v>15.007999999999999</v>
      </c>
      <c r="K22" s="894">
        <f>'BS Historical Updated'!J18</f>
        <v>16.27</v>
      </c>
      <c r="L22" s="893">
        <f>'BS Assumptions'!E29*'IS Intergrated'!L10</f>
        <v>35.773876305849498</v>
      </c>
      <c r="M22" s="893">
        <f>'BS Assumptions'!F29*'IS Intergrated'!M10</f>
        <v>43.325035662994885</v>
      </c>
      <c r="N22" s="893">
        <f>'BS Assumptions'!G29*'IS Intergrated'!N10</f>
        <v>52.261167694884044</v>
      </c>
      <c r="O22" s="893">
        <f>'BS Assumptions'!H29*'IS Intergrated'!O10</f>
        <v>61.566336266072476</v>
      </c>
      <c r="P22" s="893">
        <f>'BS Assumptions'!I29*'IS Intergrated'!P10</f>
        <v>69.589299353416763</v>
      </c>
      <c r="Q22" s="893">
        <f>'BS Assumptions'!J29*'IS Intergrated'!Q10</f>
        <v>76.649663166224741</v>
      </c>
      <c r="V22" s="901"/>
      <c r="W22" s="901"/>
      <c r="X22" s="901"/>
      <c r="Y22" s="901"/>
      <c r="Z22" s="901"/>
      <c r="AA22" s="901"/>
      <c r="AB22" s="901"/>
    </row>
    <row r="23" spans="1:28">
      <c r="B23" s="900" t="s">
        <v>593</v>
      </c>
      <c r="E23" s="894">
        <f>'BS Historical Updated'!D19</f>
        <v>12.065</v>
      </c>
      <c r="F23" s="894">
        <f>'BS Historical Updated'!E19</f>
        <v>9.5370000000000008</v>
      </c>
      <c r="G23" s="894">
        <f>'BS Historical Updated'!F19</f>
        <v>18.324000000000002</v>
      </c>
      <c r="H23" s="894">
        <f>'BS Historical Updated'!G19</f>
        <v>29.800999999999998</v>
      </c>
      <c r="I23" s="894">
        <f>'BS Historical Updated'!H19</f>
        <v>40.823999999999998</v>
      </c>
      <c r="J23" s="894">
        <f>'BS Historical Updated'!I19</f>
        <v>58.558999999999997</v>
      </c>
      <c r="K23" s="894">
        <f>'BS Historical Updated'!J19</f>
        <v>73.057000000000002</v>
      </c>
      <c r="L23" s="893">
        <f>'BS Assumptions'!E39*'IS Intergrated'!L10</f>
        <v>84.241544077713328</v>
      </c>
      <c r="M23" s="893">
        <f>'BS Assumptions'!F39*'IS Intergrated'!M10</f>
        <v>102.02327168207658</v>
      </c>
      <c r="N23" s="893">
        <f>'BS Assumptions'!G39*'IS Intergrated'!N10</f>
        <v>123.06638017869665</v>
      </c>
      <c r="O23" s="893">
        <f>'BS Assumptions'!H39*'IS Intergrated'!O10</f>
        <v>144.97850850492301</v>
      </c>
      <c r="P23" s="893">
        <f>'BS Assumptions'!I39*'IS Intergrated'!P10</f>
        <v>163.87125562514123</v>
      </c>
      <c r="Q23" s="893">
        <f>'BS Assumptions'!J39*'IS Intergrated'!Q10</f>
        <v>180.49724114195541</v>
      </c>
      <c r="V23" s="894"/>
      <c r="W23" s="894"/>
      <c r="X23" s="894"/>
      <c r="Y23" s="894"/>
      <c r="Z23" s="894"/>
      <c r="AA23" s="894"/>
      <c r="AB23" s="894"/>
    </row>
    <row r="24" spans="1:28">
      <c r="B24" s="900" t="s">
        <v>594</v>
      </c>
      <c r="E24" s="894">
        <f>'BS Historical Updated'!D20</f>
        <v>19.687000000000001</v>
      </c>
      <c r="F24" s="894">
        <f>'BS Historical Updated'!E20</f>
        <v>21.187999999999999</v>
      </c>
      <c r="G24" s="894">
        <f>'BS Historical Updated'!F20</f>
        <v>25.157</v>
      </c>
      <c r="H24" s="894">
        <f>'BS Historical Updated'!G20</f>
        <v>24.773</v>
      </c>
      <c r="I24" s="894">
        <f>'BS Historical Updated'!H20</f>
        <v>25.172000000000001</v>
      </c>
      <c r="J24" s="894">
        <f>'BS Historical Updated'!I20</f>
        <v>25.216999999999999</v>
      </c>
      <c r="K24" s="894">
        <f>'BS Historical Updated'!J20</f>
        <v>27.766999999999999</v>
      </c>
      <c r="L24" s="893">
        <f>'BS Assumptions'!E49*'IS Intergrated'!L10</f>
        <v>37.287777283905392</v>
      </c>
      <c r="M24" s="893">
        <f>'BS Assumptions'!F49*'IS Intergrated'!M10</f>
        <v>45.158491263493779</v>
      </c>
      <c r="N24" s="893">
        <f>'BS Assumptions'!G49*'IS Intergrated'!N10</f>
        <v>54.472788046316047</v>
      </c>
      <c r="O24" s="893">
        <f>'BS Assumptions'!H49*'IS Intergrated'!O10</f>
        <v>64.171738484486383</v>
      </c>
      <c r="P24" s="893">
        <f>'BS Assumptions'!I49*'IS Intergrated'!P10</f>
        <v>72.534222275737477</v>
      </c>
      <c r="Q24" s="893">
        <f>'BS Assumptions'!J49*'IS Intergrated'!Q10</f>
        <v>79.893370922211716</v>
      </c>
      <c r="V24" s="894"/>
      <c r="W24" s="894"/>
      <c r="X24" s="894"/>
      <c r="Y24" s="894"/>
      <c r="Z24" s="894"/>
      <c r="AA24" s="894"/>
      <c r="AB24" s="894"/>
    </row>
    <row r="25" spans="1:28">
      <c r="B25" s="900" t="s">
        <v>595</v>
      </c>
      <c r="E25" s="894">
        <f>'BS Historical Updated'!D21</f>
        <v>103.1</v>
      </c>
      <c r="F25" s="894">
        <f>'BS Historical Updated'!E21</f>
        <v>106.996</v>
      </c>
      <c r="G25" s="894">
        <f>'BS Historical Updated'!F21</f>
        <v>119.667</v>
      </c>
      <c r="H25" s="894">
        <f>'BS Historical Updated'!G21</f>
        <v>123.125</v>
      </c>
      <c r="I25" s="894">
        <f>'BS Historical Updated'!H21</f>
        <v>137.94399999999999</v>
      </c>
      <c r="J25" s="894">
        <f>'BS Historical Updated'!I21</f>
        <v>154.113</v>
      </c>
      <c r="K25" s="894">
        <f>'BS Historical Updated'!J21</f>
        <v>125.604</v>
      </c>
      <c r="L25" s="895">
        <f>'BS Assumptions'!E59*'IS Intergrated'!L10</f>
        <v>144.10445566674684</v>
      </c>
      <c r="M25" s="895">
        <f>'BS Assumptions'!F59*'IS Intergrated'!M10</f>
        <v>174.52206262415586</v>
      </c>
      <c r="N25" s="895">
        <f>'BS Assumptions'!G59*'IS Intergrated'!N10</f>
        <v>210.5186214318187</v>
      </c>
      <c r="O25" s="895">
        <f>'BS Assumptions'!H59*'IS Intergrated'!O10</f>
        <v>248.0017345385516</v>
      </c>
      <c r="P25" s="895">
        <f>'BS Assumptions'!I59*'IS Intergrated'!P10</f>
        <v>280.31986295862185</v>
      </c>
      <c r="Q25" s="895">
        <f>'BS Assumptions'!J59*'IS Intergrated'!Q10</f>
        <v>308.76044556016478</v>
      </c>
      <c r="V25" s="896"/>
      <c r="W25" s="896"/>
      <c r="X25" s="896"/>
      <c r="Y25" s="896"/>
      <c r="Z25" s="896"/>
      <c r="AA25" s="896"/>
      <c r="AB25" s="896"/>
    </row>
    <row r="26" spans="1:28">
      <c r="B26" s="900" t="s">
        <v>596</v>
      </c>
      <c r="E26" s="894">
        <f>'BS Historical Updated'!D22</f>
        <v>11.260999999999999</v>
      </c>
      <c r="F26" s="894">
        <f>'BS Historical Updated'!E22</f>
        <v>0</v>
      </c>
      <c r="G26" s="894">
        <f>'BS Historical Updated'!F22</f>
        <v>0</v>
      </c>
      <c r="H26" s="894">
        <f>'BS Historical Updated'!G22</f>
        <v>0</v>
      </c>
      <c r="I26" s="894">
        <f>'BS Historical Updated'!H22</f>
        <v>0</v>
      </c>
      <c r="J26" s="894">
        <f>'BS Historical Updated'!I22</f>
        <v>0</v>
      </c>
      <c r="K26" s="894">
        <f>'BS Historical Updated'!J22</f>
        <v>0</v>
      </c>
      <c r="L26" s="894">
        <v>0</v>
      </c>
      <c r="M26" s="894">
        <v>0</v>
      </c>
      <c r="N26" s="894">
        <v>0</v>
      </c>
      <c r="O26" s="894">
        <v>0</v>
      </c>
      <c r="P26" s="894">
        <v>0</v>
      </c>
      <c r="Q26" s="894">
        <v>0</v>
      </c>
      <c r="V26" s="896"/>
      <c r="W26" s="896"/>
      <c r="X26" s="896"/>
      <c r="Y26" s="896"/>
      <c r="Z26" s="896"/>
      <c r="AA26" s="896"/>
      <c r="AB26" s="896"/>
    </row>
    <row r="27" spans="1:28">
      <c r="B27" s="878" t="s">
        <v>597</v>
      </c>
      <c r="E27" s="894">
        <f>'BS Historical Updated'!D23</f>
        <v>-58.117000000000004</v>
      </c>
      <c r="F27" s="894">
        <f>'BS Historical Updated'!E23</f>
        <v>-81.93</v>
      </c>
      <c r="G27" s="894">
        <f>'BS Historical Updated'!F23</f>
        <v>-73.734000000000009</v>
      </c>
      <c r="H27" s="894">
        <f>'BS Historical Updated'!G23</f>
        <v>-105.595</v>
      </c>
      <c r="I27" s="894">
        <f>'BS Historical Updated'!H23</f>
        <v>-128.82499999999999</v>
      </c>
      <c r="J27" s="894">
        <f>'BS Historical Updated'!I23</f>
        <v>-147.779</v>
      </c>
      <c r="K27" s="894">
        <f>'BS Historical Updated'!J23</f>
        <v>-156.39599999999999</v>
      </c>
      <c r="L27" s="893">
        <f>K27-'IS Intergrated'!L19</f>
        <v>-194.05595208890151</v>
      </c>
      <c r="M27" s="893">
        <f>L27-'IS Intergrated'!M19</f>
        <v>-239.66517691454743</v>
      </c>
      <c r="N27" s="893">
        <f>M27-'IS Intergrated'!N19</f>
        <v>-294.68166589305832</v>
      </c>
      <c r="O27" s="893">
        <f>N27-'IS Intergrated'!O19</f>
        <v>-359.49391196465251</v>
      </c>
      <c r="P27" s="893">
        <f>O27-'IS Intergrated'!P19</f>
        <v>-432.75210901167975</v>
      </c>
      <c r="Q27" s="893">
        <f>P27-'IS Intergrated'!Q19</f>
        <v>-513.44290745329181</v>
      </c>
      <c r="V27" s="896"/>
      <c r="W27" s="896"/>
      <c r="X27" s="896"/>
      <c r="Y27" s="896"/>
      <c r="Z27" s="896"/>
      <c r="AA27" s="896"/>
      <c r="AB27" s="896"/>
    </row>
    <row r="28" spans="1:28">
      <c r="B28" s="900" t="s">
        <v>592</v>
      </c>
      <c r="E28" s="894">
        <f>'BS Historical Updated'!D24</f>
        <v>-5.6180000000000003</v>
      </c>
      <c r="F28" s="894">
        <f>'BS Historical Updated'!E24</f>
        <v>-7.5449999999999999</v>
      </c>
      <c r="G28" s="894">
        <f>'BS Historical Updated'!F24</f>
        <v>-7.9029999999999996</v>
      </c>
      <c r="H28" s="894" t="str">
        <f>'BS Historical Updated'!G24</f>
        <v>-</v>
      </c>
      <c r="I28" s="894" t="str">
        <f>'BS Historical Updated'!H24</f>
        <v>-</v>
      </c>
      <c r="J28" s="894" t="str">
        <f>'BS Historical Updated'!I24</f>
        <v>-</v>
      </c>
      <c r="K28" s="894" t="str">
        <f>'BS Historical Updated'!J24</f>
        <v>-</v>
      </c>
      <c r="L28" s="893" t="s">
        <v>269</v>
      </c>
      <c r="M28" s="893" t="s">
        <v>269</v>
      </c>
      <c r="N28" s="893" t="s">
        <v>269</v>
      </c>
      <c r="O28" s="893" t="s">
        <v>269</v>
      </c>
      <c r="P28" s="893" t="s">
        <v>269</v>
      </c>
      <c r="Q28" s="893" t="s">
        <v>269</v>
      </c>
      <c r="V28" s="896"/>
      <c r="W28" s="896"/>
      <c r="X28" s="896"/>
      <c r="Y28" s="896"/>
      <c r="Z28" s="896"/>
      <c r="AA28" s="896"/>
      <c r="AB28" s="896"/>
    </row>
    <row r="29" spans="1:28">
      <c r="B29" s="900" t="s">
        <v>593</v>
      </c>
      <c r="E29" s="894">
        <f>'BS Historical Updated'!D25</f>
        <v>-8.6110000000000007</v>
      </c>
      <c r="F29" s="894">
        <f>'BS Historical Updated'!E25</f>
        <v>-9.0619999999999994</v>
      </c>
      <c r="G29" s="894">
        <f>'BS Historical Updated'!F25</f>
        <v>-2.9020000000000001</v>
      </c>
      <c r="H29" s="894" t="str">
        <f>'BS Historical Updated'!G25</f>
        <v>-</v>
      </c>
      <c r="I29" s="894" t="str">
        <f>'BS Historical Updated'!H25</f>
        <v>-</v>
      </c>
      <c r="J29" s="894" t="str">
        <f>'BS Historical Updated'!I25</f>
        <v>-</v>
      </c>
      <c r="K29" s="894" t="str">
        <f>'BS Historical Updated'!J25</f>
        <v>-</v>
      </c>
      <c r="L29" s="893" t="s">
        <v>269</v>
      </c>
      <c r="M29" s="893" t="s">
        <v>269</v>
      </c>
      <c r="N29" s="893" t="s">
        <v>269</v>
      </c>
      <c r="O29" s="893" t="s">
        <v>269</v>
      </c>
      <c r="P29" s="893" t="s">
        <v>269</v>
      </c>
      <c r="Q29" s="893" t="s">
        <v>269</v>
      </c>
      <c r="V29" s="896"/>
      <c r="W29" s="896"/>
      <c r="X29" s="896"/>
      <c r="Y29" s="896"/>
      <c r="Z29" s="896"/>
      <c r="AA29" s="896"/>
      <c r="AB29" s="896"/>
    </row>
    <row r="30" spans="1:28">
      <c r="B30" s="900" t="s">
        <v>594</v>
      </c>
      <c r="E30" s="894">
        <f>'BS Historical Updated'!D26</f>
        <v>-8.3879999999999999</v>
      </c>
      <c r="F30" s="894">
        <f>'BS Historical Updated'!E26</f>
        <v>-11.259</v>
      </c>
      <c r="G30" s="894">
        <f>'BS Historical Updated'!F26</f>
        <v>-12.170999999999999</v>
      </c>
      <c r="H30" s="894" t="str">
        <f>'BS Historical Updated'!G26</f>
        <v>-</v>
      </c>
      <c r="I30" s="894" t="str">
        <f>'BS Historical Updated'!H26</f>
        <v>-</v>
      </c>
      <c r="J30" s="894" t="str">
        <f>'BS Historical Updated'!I26</f>
        <v>-</v>
      </c>
      <c r="K30" s="894" t="str">
        <f>'BS Historical Updated'!J26</f>
        <v>-</v>
      </c>
      <c r="L30" s="893" t="s">
        <v>269</v>
      </c>
      <c r="M30" s="893" t="s">
        <v>269</v>
      </c>
      <c r="N30" s="893" t="s">
        <v>269</v>
      </c>
      <c r="O30" s="893" t="s">
        <v>269</v>
      </c>
      <c r="P30" s="893" t="s">
        <v>269</v>
      </c>
      <c r="Q30" s="893" t="s">
        <v>269</v>
      </c>
      <c r="V30" s="896"/>
      <c r="W30" s="896"/>
      <c r="X30" s="896"/>
      <c r="Y30" s="896"/>
      <c r="Z30" s="896"/>
      <c r="AA30" s="896"/>
      <c r="AB30" s="896"/>
    </row>
    <row r="31" spans="1:28">
      <c r="B31" s="900" t="s">
        <v>595</v>
      </c>
      <c r="E31" s="894">
        <f>'BS Historical Updated'!D27</f>
        <v>-35.5</v>
      </c>
      <c r="F31" s="894">
        <f>'BS Historical Updated'!E27</f>
        <v>-54.064</v>
      </c>
      <c r="G31" s="894">
        <f>'BS Historical Updated'!F27</f>
        <v>-50.758000000000003</v>
      </c>
      <c r="H31" s="894" t="str">
        <f>'BS Historical Updated'!G27</f>
        <v>-</v>
      </c>
      <c r="I31" s="894" t="str">
        <f>'BS Historical Updated'!H27</f>
        <v>-</v>
      </c>
      <c r="J31" s="894" t="str">
        <f>'BS Historical Updated'!I27</f>
        <v>-</v>
      </c>
      <c r="K31" s="894" t="str">
        <f>'BS Historical Updated'!J27</f>
        <v>-</v>
      </c>
      <c r="L31" s="893" t="s">
        <v>269</v>
      </c>
      <c r="M31" s="893" t="s">
        <v>269</v>
      </c>
      <c r="N31" s="893" t="s">
        <v>269</v>
      </c>
      <c r="O31" s="893" t="s">
        <v>269</v>
      </c>
      <c r="P31" s="893" t="s">
        <v>269</v>
      </c>
      <c r="Q31" s="893" t="s">
        <v>269</v>
      </c>
      <c r="V31" s="896"/>
      <c r="W31" s="896"/>
      <c r="X31" s="896"/>
      <c r="Y31" s="896"/>
      <c r="Z31" s="896"/>
      <c r="AA31" s="896"/>
      <c r="AB31" s="896"/>
    </row>
    <row r="32" spans="1:28">
      <c r="B32" s="900" t="s">
        <v>596</v>
      </c>
      <c r="E32" s="894">
        <f>'BS Historical Updated'!D28</f>
        <v>0</v>
      </c>
      <c r="F32" s="894">
        <f>'BS Historical Updated'!E28</f>
        <v>0</v>
      </c>
      <c r="G32" s="894">
        <f>'BS Historical Updated'!F28</f>
        <v>0</v>
      </c>
      <c r="H32" s="894" t="str">
        <f>'BS Historical Updated'!G28</f>
        <v>-</v>
      </c>
      <c r="I32" s="894" t="str">
        <f>'BS Historical Updated'!H28</f>
        <v>-</v>
      </c>
      <c r="J32" s="894" t="str">
        <f>'BS Historical Updated'!I28</f>
        <v>-</v>
      </c>
      <c r="K32" s="894" t="str">
        <f>'BS Historical Updated'!J28</f>
        <v>-</v>
      </c>
      <c r="L32" s="893" t="s">
        <v>269</v>
      </c>
      <c r="M32" s="893" t="s">
        <v>269</v>
      </c>
      <c r="N32" s="893" t="s">
        <v>269</v>
      </c>
      <c r="O32" s="893" t="s">
        <v>269</v>
      </c>
      <c r="P32" s="893" t="s">
        <v>269</v>
      </c>
      <c r="Q32" s="893" t="s">
        <v>269</v>
      </c>
      <c r="V32" s="896"/>
      <c r="W32" s="896"/>
      <c r="X32" s="896"/>
      <c r="Y32" s="896"/>
      <c r="Z32" s="896"/>
      <c r="AA32" s="896"/>
      <c r="AB32" s="896"/>
    </row>
    <row r="33" spans="1:28">
      <c r="B33" s="881" t="s">
        <v>598</v>
      </c>
      <c r="E33" s="894">
        <f>'BS Historical Updated'!D29</f>
        <v>217.68299999999999</v>
      </c>
      <c r="F33" s="894">
        <f>'BS Historical Updated'!E29</f>
        <v>205.3</v>
      </c>
      <c r="G33" s="894">
        <f>'BS Historical Updated'!F29</f>
        <v>267.32799999999997</v>
      </c>
      <c r="H33" s="894">
        <f>'BS Historical Updated'!G29</f>
        <v>184.19499999999999</v>
      </c>
      <c r="I33" s="894">
        <f>'BS Historical Updated'!H29</f>
        <v>172.46799999999999</v>
      </c>
      <c r="J33" s="894">
        <f>'BS Historical Updated'!I29</f>
        <v>169.12700000000001</v>
      </c>
      <c r="K33" s="894">
        <f>'BS Historical Updated'!J29</f>
        <v>114.059</v>
      </c>
      <c r="L33" s="896">
        <f>'BS Assumptions'!E69</f>
        <v>114.059</v>
      </c>
      <c r="M33" s="896">
        <f>'BS Assumptions'!F69</f>
        <v>114.059</v>
      </c>
      <c r="N33" s="896">
        <f>'BS Assumptions'!G69</f>
        <v>114.059</v>
      </c>
      <c r="O33" s="896">
        <f>'BS Assumptions'!H69</f>
        <v>114.059</v>
      </c>
      <c r="P33" s="896">
        <f>'BS Assumptions'!I69</f>
        <v>114.059</v>
      </c>
      <c r="Q33" s="896">
        <f>'BS Assumptions'!J69</f>
        <v>114.059</v>
      </c>
      <c r="V33" s="896"/>
      <c r="W33" s="896"/>
      <c r="X33" s="896"/>
      <c r="Y33" s="896"/>
      <c r="Z33" s="896"/>
      <c r="AA33" s="896"/>
      <c r="AB33" s="896"/>
    </row>
    <row r="34" spans="1:28">
      <c r="B34" s="881" t="s">
        <v>599</v>
      </c>
      <c r="E34" s="894">
        <f>'BS Historical Updated'!D30</f>
        <v>35.350999999999999</v>
      </c>
      <c r="F34" s="894">
        <f>'BS Historical Updated'!E30</f>
        <v>36.173999999999999</v>
      </c>
      <c r="G34" s="894">
        <f>'BS Historical Updated'!F30</f>
        <v>42.76</v>
      </c>
      <c r="H34" s="894">
        <f>'BS Historical Updated'!G30</f>
        <v>9.9450000000000003</v>
      </c>
      <c r="I34" s="894">
        <f>'BS Historical Updated'!H30</f>
        <v>3.9340000000000002</v>
      </c>
      <c r="J34" s="894">
        <f>'BS Historical Updated'!I30</f>
        <v>3.762</v>
      </c>
      <c r="K34" s="894">
        <f>'BS Historical Updated'!J30</f>
        <v>4.0880000000000001</v>
      </c>
      <c r="L34" s="896">
        <f>'BS Assumptions'!E79</f>
        <v>4.0880000000000001</v>
      </c>
      <c r="M34" s="896">
        <f>'BS Assumptions'!F79</f>
        <v>4.0880000000000001</v>
      </c>
      <c r="N34" s="896">
        <f>'BS Assumptions'!G79</f>
        <v>4.0880000000000001</v>
      </c>
      <c r="O34" s="896">
        <f>'BS Assumptions'!H79</f>
        <v>4.0880000000000001</v>
      </c>
      <c r="P34" s="896">
        <f>'BS Assumptions'!I79</f>
        <v>4.0880000000000001</v>
      </c>
      <c r="Q34" s="896">
        <f>'BS Assumptions'!J79</f>
        <v>4.0880000000000001</v>
      </c>
      <c r="V34" s="896"/>
      <c r="W34" s="896"/>
      <c r="X34" s="896"/>
      <c r="Y34" s="896"/>
      <c r="Z34" s="896"/>
      <c r="AA34" s="896"/>
      <c r="AB34" s="896"/>
    </row>
    <row r="35" spans="1:28">
      <c r="B35" s="881" t="s">
        <v>600</v>
      </c>
      <c r="E35" s="894">
        <f>'BS Historical Updated'!D31</f>
        <v>645.14</v>
      </c>
      <c r="F35" s="894">
        <f>'BS Historical Updated'!E31</f>
        <v>725.75800000000004</v>
      </c>
      <c r="G35" s="894">
        <f>'BS Historical Updated'!F31</f>
        <v>732.66600000000005</v>
      </c>
      <c r="H35" s="894">
        <f>'BS Historical Updated'!G31</f>
        <v>727.221</v>
      </c>
      <c r="I35" s="894">
        <f>'BS Historical Updated'!H31</f>
        <v>1288.7560000000001</v>
      </c>
      <c r="J35" s="894">
        <f>'BS Historical Updated'!I31</f>
        <v>1304.4449999999999</v>
      </c>
      <c r="K35" s="894">
        <f>'BS Historical Updated'!J31</f>
        <v>2302.739</v>
      </c>
      <c r="L35" s="896">
        <f>'BS Assumptions'!E113</f>
        <v>2792.5451215828957</v>
      </c>
      <c r="M35" s="896">
        <f>'BS Assumptions'!F113</f>
        <v>3477.0594127928348</v>
      </c>
      <c r="N35" s="896">
        <f>'BS Assumptions'!G113</f>
        <v>4412.9153902490507</v>
      </c>
      <c r="O35" s="896">
        <f>'BS Assumptions'!H113</f>
        <v>5645.1701976621971</v>
      </c>
      <c r="P35" s="896">
        <f>'BS Assumptions'!I113</f>
        <v>7184.6843337256341</v>
      </c>
      <c r="Q35" s="896">
        <f>'BS Assumptions'!J113</f>
        <v>9041.9547283345091</v>
      </c>
      <c r="V35" s="896"/>
      <c r="W35" s="896"/>
      <c r="X35" s="896"/>
      <c r="Y35" s="896"/>
      <c r="Z35" s="896"/>
      <c r="AA35" s="896"/>
      <c r="AB35" s="896"/>
    </row>
    <row r="36" spans="1:28">
      <c r="B36" s="881" t="s">
        <v>601</v>
      </c>
      <c r="E36" s="894">
        <f>'BS Historical Updated'!D32</f>
        <v>129.69</v>
      </c>
      <c r="F36" s="894">
        <f>'BS Historical Updated'!E32</f>
        <v>124.59</v>
      </c>
      <c r="G36" s="894">
        <f>'BS Historical Updated'!F32</f>
        <v>100.84</v>
      </c>
      <c r="H36" s="894">
        <f>'BS Historical Updated'!G32</f>
        <v>69.072000000000003</v>
      </c>
      <c r="I36" s="894">
        <f>'BS Historical Updated'!H32</f>
        <v>299.05700000000002</v>
      </c>
      <c r="J36" s="894">
        <f>'BS Historical Updated'!I32</f>
        <v>244.84</v>
      </c>
      <c r="K36" s="894">
        <f>'BS Historical Updated'!J32</f>
        <v>432.25799999999998</v>
      </c>
      <c r="L36" s="895">
        <f>MAX(K36-'BS Assumptions'!E119,0)</f>
        <v>330.76799999999997</v>
      </c>
      <c r="M36" s="895">
        <f>MAX(L36-'BS Assumptions'!F119,0)</f>
        <v>229.27799999999996</v>
      </c>
      <c r="N36" s="895">
        <f>MAX(M36-'BS Assumptions'!G119,0)</f>
        <v>127.78799999999997</v>
      </c>
      <c r="O36" s="895">
        <f>MAX(N36-'BS Assumptions'!H119,0)</f>
        <v>26.297999999999973</v>
      </c>
      <c r="P36" s="895">
        <f>MAX(O36-'BS Assumptions'!I119,0)</f>
        <v>0</v>
      </c>
      <c r="Q36" s="895">
        <f>MAX(P36-'BS Assumptions'!J119,0)</f>
        <v>0</v>
      </c>
      <c r="V36" s="896"/>
      <c r="W36" s="896"/>
      <c r="X36" s="896"/>
      <c r="Y36" s="896"/>
      <c r="Z36" s="896"/>
      <c r="AA36" s="896"/>
      <c r="AB36" s="896"/>
    </row>
    <row r="37" spans="1:28">
      <c r="B37" s="881" t="s">
        <v>602</v>
      </c>
      <c r="E37" s="894">
        <f>'BS Historical Updated'!D33</f>
        <v>0</v>
      </c>
      <c r="F37" s="894">
        <f>'BS Historical Updated'!E33</f>
        <v>122.15900000000001</v>
      </c>
      <c r="G37" s="894">
        <f>'BS Historical Updated'!F33</f>
        <v>159.06399999999999</v>
      </c>
      <c r="H37" s="894">
        <f>'BS Historical Updated'!G33</f>
        <v>225.53800000000001</v>
      </c>
      <c r="I37" s="894">
        <f>'BS Historical Updated'!H33</f>
        <v>223.221</v>
      </c>
      <c r="J37" s="894">
        <f>'BS Historical Updated'!I33</f>
        <v>221.94200000000001</v>
      </c>
      <c r="K37" s="894">
        <f>'BS Historical Updated'!J33</f>
        <v>213.14699999999999</v>
      </c>
      <c r="L37" s="896">
        <v>213.14699999999999</v>
      </c>
      <c r="M37" s="896">
        <v>213.14699999999999</v>
      </c>
      <c r="N37" s="896">
        <v>213.14699999999999</v>
      </c>
      <c r="O37" s="896">
        <v>213.14699999999999</v>
      </c>
      <c r="P37" s="896">
        <v>213.14699999999999</v>
      </c>
      <c r="Q37" s="896">
        <v>213.14699999999999</v>
      </c>
      <c r="V37" s="896"/>
      <c r="W37" s="896"/>
      <c r="X37" s="896"/>
      <c r="Y37" s="896"/>
      <c r="Z37" s="896"/>
      <c r="AA37" s="896"/>
      <c r="AB37" s="896"/>
    </row>
    <row r="38" spans="1:28">
      <c r="B38" s="881" t="s">
        <v>603</v>
      </c>
      <c r="E38" s="894">
        <f>'BS Historical Updated'!D34</f>
        <v>124.774</v>
      </c>
      <c r="F38" s="894">
        <f>'BS Historical Updated'!E34</f>
        <v>37.636000000000003</v>
      </c>
      <c r="G38" s="894">
        <f>'BS Historical Updated'!F34</f>
        <v>60.74</v>
      </c>
      <c r="H38" s="894">
        <f>'BS Historical Updated'!G34</f>
        <v>73.052000000000007</v>
      </c>
      <c r="I38" s="894">
        <f>'BS Historical Updated'!H34</f>
        <v>62.118000000000002</v>
      </c>
      <c r="J38" s="894">
        <f>'BS Historical Updated'!I34</f>
        <v>101.499</v>
      </c>
      <c r="K38" s="894">
        <f>'BS Historical Updated'!J34</f>
        <v>153.81399999999999</v>
      </c>
      <c r="L38" s="895">
        <f>'BS Assumptions'!E89*'IS Intergrated'!L10</f>
        <v>209.80399104261463</v>
      </c>
      <c r="M38" s="895">
        <f>'BS Assumptions'!F89*'IS Intergrated'!M10</f>
        <v>254.08947345953791</v>
      </c>
      <c r="N38" s="895">
        <f>'BS Assumptions'!G89*'IS Intergrated'!N10</f>
        <v>306.49744146236611</v>
      </c>
      <c r="O38" s="895">
        <f>'BS Assumptions'!H89*'IS Intergrated'!O10</f>
        <v>361.0697077403824</v>
      </c>
      <c r="P38" s="895">
        <f>'BS Assumptions'!I89*'IS Intergrated'!P10</f>
        <v>408.12218987347393</v>
      </c>
      <c r="Q38" s="895">
        <f>'BS Assumptions'!J89*'IS Intergrated'!Q10</f>
        <v>449.52929078352417</v>
      </c>
      <c r="V38" s="896"/>
      <c r="W38" s="896"/>
      <c r="X38" s="896"/>
      <c r="Y38" s="896"/>
      <c r="Z38" s="896"/>
      <c r="AA38" s="896"/>
      <c r="AB38" s="896"/>
    </row>
    <row r="39" spans="1:28">
      <c r="B39" s="897"/>
      <c r="E39" s="894"/>
      <c r="F39" s="894"/>
      <c r="G39" s="894"/>
      <c r="H39" s="894"/>
      <c r="I39" s="894"/>
      <c r="J39" s="894"/>
      <c r="K39" s="894"/>
      <c r="L39" s="895"/>
      <c r="M39" s="895"/>
      <c r="N39" s="895"/>
      <c r="O39" s="895"/>
      <c r="P39" s="895"/>
      <c r="Q39" s="895"/>
      <c r="V39" s="896"/>
      <c r="W39" s="896"/>
      <c r="X39" s="896"/>
      <c r="Y39" s="896"/>
      <c r="Z39" s="896"/>
      <c r="AA39" s="896"/>
      <c r="AB39" s="896"/>
    </row>
    <row r="40" spans="1:28">
      <c r="B40" s="888" t="s">
        <v>604</v>
      </c>
      <c r="C40" s="888"/>
      <c r="D40" s="888"/>
      <c r="E40" s="902">
        <f t="shared" ref="E40:K40" si="10">E20+E33+E34+E35+E36+E38+E37</f>
        <v>1250.2860000000001</v>
      </c>
      <c r="F40" s="902">
        <f t="shared" si="10"/>
        <v>1317.838</v>
      </c>
      <c r="G40" s="902">
        <f t="shared" si="10"/>
        <v>1461.952</v>
      </c>
      <c r="H40" s="902">
        <f t="shared" si="10"/>
        <v>1370.425</v>
      </c>
      <c r="I40" s="902">
        <f t="shared" si="10"/>
        <v>2135.8690000000001</v>
      </c>
      <c r="J40" s="902">
        <f t="shared" si="10"/>
        <v>2150.7330000000002</v>
      </c>
      <c r="K40" s="902">
        <f t="shared" si="10"/>
        <v>3306.4069999999997</v>
      </c>
      <c r="L40" s="902">
        <f t="shared" ref="L40:Q40" si="11">L20+L33+L34+L35+L36+L38+L37</f>
        <v>3771.7628138708237</v>
      </c>
      <c r="M40" s="902">
        <f t="shared" si="11"/>
        <v>4417.084570570546</v>
      </c>
      <c r="N40" s="902">
        <f t="shared" si="11"/>
        <v>5324.1321231700731</v>
      </c>
      <c r="O40" s="902">
        <f t="shared" si="11"/>
        <v>6523.0563112319596</v>
      </c>
      <c r="P40" s="902">
        <f t="shared" si="11"/>
        <v>8077.6630548003459</v>
      </c>
      <c r="Q40" s="902">
        <f t="shared" si="11"/>
        <v>9955.1358324553003</v>
      </c>
      <c r="V40" s="896"/>
      <c r="W40" s="896"/>
      <c r="X40" s="896"/>
      <c r="Y40" s="896"/>
      <c r="Z40" s="896"/>
      <c r="AA40" s="896"/>
      <c r="AB40" s="896"/>
    </row>
    <row r="41" spans="1:28" ht="12.5" thickBot="1">
      <c r="B41" s="900"/>
      <c r="C41" s="900"/>
      <c r="D41" s="900"/>
      <c r="E41" s="894"/>
      <c r="F41" s="894"/>
      <c r="G41" s="894"/>
      <c r="H41" s="894"/>
      <c r="I41" s="894"/>
      <c r="J41" s="894"/>
      <c r="K41" s="894"/>
      <c r="L41" s="893"/>
      <c r="M41" s="893"/>
      <c r="N41" s="893"/>
      <c r="O41" s="893"/>
      <c r="P41" s="893"/>
      <c r="Q41" s="893"/>
      <c r="V41" s="896"/>
      <c r="W41" s="896"/>
      <c r="X41" s="896"/>
      <c r="Y41" s="896"/>
      <c r="Z41" s="896"/>
      <c r="AA41" s="896"/>
      <c r="AB41" s="896"/>
    </row>
    <row r="42" spans="1:28" ht="12.5" thickBot="1">
      <c r="A42" s="871"/>
      <c r="B42" s="903" t="s">
        <v>605</v>
      </c>
      <c r="C42" s="904"/>
      <c r="D42" s="904"/>
      <c r="E42" s="904">
        <f t="shared" ref="E42:K42" si="12">E40+E18</f>
        <v>3894.0720000000006</v>
      </c>
      <c r="F42" s="904">
        <f t="shared" si="12"/>
        <v>2945.3440000000001</v>
      </c>
      <c r="G42" s="904">
        <f t="shared" si="12"/>
        <v>3361.2060000000001</v>
      </c>
      <c r="H42" s="904">
        <f t="shared" si="12"/>
        <v>4106.7889999999998</v>
      </c>
      <c r="I42" s="904">
        <f t="shared" si="12"/>
        <v>5212.1329999999998</v>
      </c>
      <c r="J42" s="904">
        <f t="shared" si="12"/>
        <v>6041.97</v>
      </c>
      <c r="K42" s="904">
        <f t="shared" si="12"/>
        <v>6103.5289999999995</v>
      </c>
      <c r="L42" s="904">
        <f t="shared" ref="L42:Q42" si="13">L40+L18</f>
        <v>6498.4748950861376</v>
      </c>
      <c r="M42" s="904">
        <f t="shared" si="13"/>
        <v>7532.8655295190056</v>
      </c>
      <c r="N42" s="904">
        <f t="shared" si="13"/>
        <v>8903.8852797865438</v>
      </c>
      <c r="O42" s="904">
        <f t="shared" si="13"/>
        <v>10714.03422808685</v>
      </c>
      <c r="P42" s="904">
        <f t="shared" si="13"/>
        <v>12941.910547110814</v>
      </c>
      <c r="Q42" s="904">
        <f t="shared" si="13"/>
        <v>15665.395367118046</v>
      </c>
      <c r="V42" s="894"/>
      <c r="W42" s="894"/>
      <c r="X42" s="894"/>
      <c r="Y42" s="894"/>
      <c r="Z42" s="894"/>
      <c r="AA42" s="894"/>
      <c r="AB42" s="894"/>
    </row>
    <row r="43" spans="1:28">
      <c r="E43" s="894"/>
      <c r="F43" s="894"/>
      <c r="G43" s="894"/>
      <c r="H43" s="894"/>
      <c r="I43" s="894"/>
      <c r="J43" s="894"/>
      <c r="K43" s="894"/>
      <c r="L43" s="893"/>
      <c r="M43" s="893"/>
      <c r="N43" s="893"/>
      <c r="O43" s="893"/>
      <c r="P43" s="893"/>
      <c r="Q43" s="893"/>
      <c r="V43" s="901"/>
      <c r="W43" s="901"/>
      <c r="X43" s="901"/>
      <c r="Y43" s="901"/>
      <c r="Z43" s="901"/>
      <c r="AA43" s="901"/>
      <c r="AB43" s="901"/>
    </row>
    <row r="44" spans="1:28">
      <c r="A44" s="871"/>
      <c r="B44" s="872" t="s">
        <v>606</v>
      </c>
      <c r="E44" s="894"/>
      <c r="F44" s="894"/>
      <c r="G44" s="894"/>
      <c r="H44" s="894"/>
      <c r="I44" s="894"/>
      <c r="J44" s="894"/>
      <c r="K44" s="894"/>
      <c r="L44" s="905"/>
      <c r="M44" s="905"/>
      <c r="N44" s="905"/>
      <c r="O44" s="905"/>
      <c r="P44" s="905"/>
      <c r="Q44" s="905"/>
      <c r="V44" s="894"/>
      <c r="W44" s="894"/>
      <c r="X44" s="894"/>
      <c r="Y44" s="894"/>
      <c r="Z44" s="894"/>
      <c r="AA44" s="894"/>
      <c r="AB44" s="894"/>
    </row>
    <row r="45" spans="1:28">
      <c r="B45" s="897" t="s">
        <v>607</v>
      </c>
      <c r="E45" s="894"/>
      <c r="F45" s="894"/>
      <c r="G45" s="894"/>
      <c r="H45" s="894"/>
      <c r="I45" s="894"/>
      <c r="J45" s="894"/>
      <c r="K45" s="894"/>
      <c r="L45" s="893"/>
      <c r="M45" s="893"/>
      <c r="N45" s="893"/>
      <c r="O45" s="893"/>
      <c r="P45" s="893"/>
      <c r="Q45" s="893"/>
      <c r="V45" s="901"/>
      <c r="W45" s="901"/>
      <c r="X45" s="901"/>
      <c r="Y45" s="901"/>
      <c r="Z45" s="901"/>
      <c r="AA45" s="901"/>
      <c r="AB45" s="901"/>
    </row>
    <row r="46" spans="1:28">
      <c r="B46" s="906" t="s">
        <v>608</v>
      </c>
      <c r="E46" s="894">
        <f>'BS Historical Updated'!D42</f>
        <v>889.18299999999999</v>
      </c>
      <c r="F46" s="894">
        <f>'BS Historical Updated'!E42</f>
        <v>348.79899999999998</v>
      </c>
      <c r="G46" s="894">
        <f>'BS Historical Updated'!F42</f>
        <v>0</v>
      </c>
      <c r="H46" s="894">
        <f>'BS Historical Updated'!G42</f>
        <v>37.5</v>
      </c>
      <c r="I46" s="894">
        <f>'BS Historical Updated'!H42</f>
        <v>0</v>
      </c>
      <c r="J46" s="894">
        <f>'BS Historical Updated'!I42</f>
        <v>0</v>
      </c>
      <c r="K46" s="894">
        <f>'BS Historical Updated'!J42</f>
        <v>0</v>
      </c>
      <c r="L46" s="894">
        <v>0</v>
      </c>
      <c r="M46" s="894">
        <v>0</v>
      </c>
      <c r="N46" s="894">
        <v>0</v>
      </c>
      <c r="O46" s="894">
        <v>0</v>
      </c>
      <c r="P46" s="894">
        <v>0</v>
      </c>
      <c r="Q46" s="894">
        <v>0</v>
      </c>
      <c r="V46" s="894"/>
      <c r="W46" s="894"/>
      <c r="X46" s="894"/>
      <c r="Y46" s="894"/>
      <c r="Z46" s="894"/>
      <c r="AA46" s="894"/>
      <c r="AB46" s="894"/>
    </row>
    <row r="47" spans="1:28">
      <c r="B47" s="906" t="s">
        <v>609</v>
      </c>
      <c r="E47" s="894">
        <f>'BS Historical Updated'!D43</f>
        <v>202.57</v>
      </c>
      <c r="F47" s="894">
        <f>'BS Historical Updated'!E43</f>
        <v>266.49700000000001</v>
      </c>
      <c r="G47" s="894">
        <f>'BS Historical Updated'!F43</f>
        <v>404.90800000000002</v>
      </c>
      <c r="H47" s="894">
        <f>'BS Historical Updated'!G43</f>
        <v>159.29300000000001</v>
      </c>
      <c r="I47" s="894">
        <f>'BS Historical Updated'!H43</f>
        <v>177.54499999999999</v>
      </c>
      <c r="J47" s="894">
        <f>'BS Historical Updated'!I43</f>
        <v>222.09200000000001</v>
      </c>
      <c r="K47" s="894">
        <f>'BS Historical Updated'!J43</f>
        <v>262.60899999999998</v>
      </c>
      <c r="L47" s="893">
        <f>'BS Assumptions'!E139*'IS Intergrated'!L10</f>
        <v>304.22046320266753</v>
      </c>
      <c r="M47" s="893">
        <f>'BS Assumptions'!F139*'IS Intergrated'!M10</f>
        <v>368.4353997588243</v>
      </c>
      <c r="N47" s="893">
        <f>'BS Assumptions'!G139*'IS Intergrated'!N10</f>
        <v>444.42812145158075</v>
      </c>
      <c r="O47" s="893">
        <f>'BS Assumptions'!H139*'IS Intergrated'!O10</f>
        <v>523.55912388206025</v>
      </c>
      <c r="P47" s="893">
        <f>'BS Assumptions'!I139*'IS Intergrated'!P10</f>
        <v>591.78627169859942</v>
      </c>
      <c r="Q47" s="893">
        <f>'BS Assumptions'!J139*'IS Intergrated'!Q10</f>
        <v>651.82749091533231</v>
      </c>
      <c r="V47" s="894"/>
      <c r="W47" s="894"/>
      <c r="X47" s="894"/>
      <c r="Y47" s="894"/>
      <c r="Z47" s="894"/>
      <c r="AA47" s="894"/>
      <c r="AB47" s="894"/>
    </row>
    <row r="48" spans="1:28">
      <c r="B48" s="906" t="s">
        <v>610</v>
      </c>
      <c r="E48" s="894">
        <f>'BS Historical Updated'!D44</f>
        <v>19.582999999999998</v>
      </c>
      <c r="F48" s="894">
        <f>'BS Historical Updated'!E44</f>
        <v>42.051000000000002</v>
      </c>
      <c r="G48" s="894">
        <f>'BS Historical Updated'!F44</f>
        <v>26.367000000000001</v>
      </c>
      <c r="H48" s="894">
        <f>'BS Historical Updated'!G44</f>
        <v>0</v>
      </c>
      <c r="I48" s="894">
        <f>'BS Historical Updated'!H44</f>
        <v>0</v>
      </c>
      <c r="J48" s="894">
        <f>'BS Historical Updated'!I44</f>
        <v>0</v>
      </c>
      <c r="K48" s="894">
        <f>'BS Historical Updated'!J44</f>
        <v>0</v>
      </c>
      <c r="L48" s="894">
        <v>0</v>
      </c>
      <c r="M48" s="894">
        <v>0</v>
      </c>
      <c r="N48" s="894">
        <v>0</v>
      </c>
      <c r="O48" s="894">
        <v>0</v>
      </c>
      <c r="P48" s="894">
        <v>0</v>
      </c>
      <c r="Q48" s="894">
        <v>0</v>
      </c>
      <c r="V48" s="894"/>
      <c r="W48" s="894"/>
      <c r="X48" s="894"/>
      <c r="Y48" s="894"/>
      <c r="Z48" s="894"/>
      <c r="AA48" s="894"/>
      <c r="AB48" s="894"/>
    </row>
    <row r="49" spans="1:28">
      <c r="B49" s="906" t="s">
        <v>611</v>
      </c>
      <c r="E49" s="894">
        <f>'BS Historical Updated'!D45</f>
        <v>14.291</v>
      </c>
      <c r="F49" s="894">
        <f>'BS Historical Updated'!E45</f>
        <v>25.148</v>
      </c>
      <c r="G49" s="894">
        <f>'BS Historical Updated'!F45</f>
        <v>32.795999999999999</v>
      </c>
      <c r="H49" s="894">
        <f>'BS Historical Updated'!G45</f>
        <v>0</v>
      </c>
      <c r="I49" s="894">
        <f>'BS Historical Updated'!H45</f>
        <v>0</v>
      </c>
      <c r="J49" s="894">
        <f>'BS Historical Updated'!I45</f>
        <v>0</v>
      </c>
      <c r="K49" s="894">
        <f>'BS Historical Updated'!J45</f>
        <v>0</v>
      </c>
      <c r="L49" s="894">
        <v>0</v>
      </c>
      <c r="M49" s="894">
        <v>0</v>
      </c>
      <c r="N49" s="894">
        <v>0</v>
      </c>
      <c r="O49" s="894">
        <v>0</v>
      </c>
      <c r="P49" s="894">
        <v>0</v>
      </c>
      <c r="Q49" s="894">
        <v>0</v>
      </c>
      <c r="V49" s="896"/>
      <c r="W49" s="896"/>
      <c r="X49" s="896"/>
      <c r="Y49" s="896"/>
      <c r="Z49" s="896"/>
      <c r="AA49" s="896"/>
      <c r="AB49" s="896"/>
    </row>
    <row r="50" spans="1:28">
      <c r="B50" s="906" t="s">
        <v>612</v>
      </c>
      <c r="E50" s="894">
        <f>'BS Historical Updated'!D46</f>
        <v>573.81299999999999</v>
      </c>
      <c r="F50" s="894">
        <f>'BS Historical Updated'!E46</f>
        <v>812.94299999999998</v>
      </c>
      <c r="G50" s="894">
        <f>'BS Historical Updated'!F46</f>
        <v>1066.059</v>
      </c>
      <c r="H50" s="894">
        <f>'BS Historical Updated'!G46</f>
        <v>1362.7360000000001</v>
      </c>
      <c r="I50" s="894">
        <f>'BS Historical Updated'!H46</f>
        <v>1806.269</v>
      </c>
      <c r="J50" s="894">
        <f>'BS Historical Updated'!I46</f>
        <v>2227.002</v>
      </c>
      <c r="K50" s="894">
        <f>'BS Historical Updated'!J46</f>
        <v>2495.431</v>
      </c>
      <c r="L50" s="895">
        <f>'BS Assumptions'!E149*'IS Intergrated'!L10</f>
        <v>2680.4774085071022</v>
      </c>
      <c r="M50" s="895">
        <f>'BS Assumptions'!F149*'IS Intergrated'!M10</f>
        <v>3246.2732951987437</v>
      </c>
      <c r="N50" s="895">
        <f>'BS Assumptions'!G149*'IS Intergrated'!N10</f>
        <v>3915.8428947056022</v>
      </c>
      <c r="O50" s="895">
        <f>'BS Assumptions'!H149*'IS Intergrated'!O10</f>
        <v>4613.0637919932278</v>
      </c>
      <c r="P50" s="895">
        <f>'BS Assumptions'!I149*'IS Intergrated'!P10</f>
        <v>5214.2111521800898</v>
      </c>
      <c r="Q50" s="895">
        <f>'BS Assumptions'!J149*'IS Intergrated'!Q10</f>
        <v>5743.2325401412918</v>
      </c>
      <c r="V50" s="896"/>
      <c r="W50" s="896"/>
      <c r="X50" s="896"/>
      <c r="Y50" s="896"/>
      <c r="Z50" s="896"/>
      <c r="AA50" s="896"/>
      <c r="AB50" s="896"/>
    </row>
    <row r="51" spans="1:28">
      <c r="B51" s="906" t="s">
        <v>613</v>
      </c>
      <c r="E51" s="894">
        <f>'BS Historical Updated'!D47</f>
        <v>34.743000000000002</v>
      </c>
      <c r="F51" s="894">
        <f>'BS Historical Updated'!E47</f>
        <v>42.445999999999998</v>
      </c>
      <c r="G51" s="894">
        <f>'BS Historical Updated'!F47</f>
        <v>40.637999999999998</v>
      </c>
      <c r="H51" s="894">
        <f>'BS Historical Updated'!G47</f>
        <v>44.93</v>
      </c>
      <c r="I51" s="894">
        <f>'BS Historical Updated'!H47</f>
        <v>48.953000000000003</v>
      </c>
      <c r="J51" s="894">
        <f>'BS Historical Updated'!I47</f>
        <v>50.164000000000001</v>
      </c>
      <c r="K51" s="894">
        <f>'BS Historical Updated'!J47</f>
        <v>48.509</v>
      </c>
      <c r="L51" s="896">
        <v>48.509</v>
      </c>
      <c r="M51" s="896">
        <v>48.509</v>
      </c>
      <c r="N51" s="896">
        <v>48.509</v>
      </c>
      <c r="O51" s="896">
        <v>48.509</v>
      </c>
      <c r="P51" s="896">
        <v>48.509</v>
      </c>
      <c r="Q51" s="896">
        <v>48.509</v>
      </c>
      <c r="V51" s="896"/>
      <c r="W51" s="896"/>
      <c r="X51" s="896"/>
      <c r="Y51" s="896"/>
      <c r="Z51" s="896"/>
      <c r="AA51" s="896"/>
      <c r="AB51" s="896"/>
    </row>
    <row r="52" spans="1:28">
      <c r="B52" s="906" t="s">
        <v>614</v>
      </c>
      <c r="E52" s="894">
        <f>'BS Historical Updated'!D48</f>
        <v>1284.596</v>
      </c>
      <c r="F52" s="894">
        <f>'BS Historical Updated'!E48</f>
        <v>772.12699999999995</v>
      </c>
      <c r="G52" s="894">
        <f>'BS Historical Updated'!F48</f>
        <v>23.288</v>
      </c>
      <c r="H52" s="894">
        <f>'BS Historical Updated'!G48</f>
        <v>423.13099999999997</v>
      </c>
      <c r="I52" s="894">
        <f>'BS Historical Updated'!H48</f>
        <v>577.35900000000004</v>
      </c>
      <c r="J52" s="894">
        <f>'BS Historical Updated'!I48</f>
        <v>681.60400000000004</v>
      </c>
      <c r="K52" s="894">
        <f>'BS Historical Updated'!J48</f>
        <v>764.58199999999999</v>
      </c>
      <c r="L52" s="895">
        <f>'BS Assumptions'!E159*'IS Intergrated'!L24</f>
        <v>723.61390603442908</v>
      </c>
      <c r="M52" s="895">
        <f>'BS Assumptions'!F159*'IS Intergrated'!M24</f>
        <v>854.88948600539197</v>
      </c>
      <c r="N52" s="895">
        <f>'BS Assumptions'!G159*'IS Intergrated'!N24</f>
        <v>1005.3248486579101</v>
      </c>
      <c r="O52" s="895">
        <f>'BS Assumptions'!H159*'IS Intergrated'!O24</f>
        <v>1123.3191587981221</v>
      </c>
      <c r="P52" s="895">
        <f>'BS Assumptions'!I159*'IS Intergrated'!P24</f>
        <v>1200.7486049496392</v>
      </c>
      <c r="Q52" s="895">
        <f>'BS Assumptions'!J159*'IS Intergrated'!Q24</f>
        <v>1246.6227815420323</v>
      </c>
      <c r="U52" s="307"/>
      <c r="V52" s="307"/>
      <c r="W52" s="307"/>
      <c r="X52" s="307"/>
      <c r="Y52" s="307"/>
      <c r="Z52" s="307"/>
      <c r="AA52" s="307"/>
      <c r="AB52" s="896"/>
    </row>
    <row r="53" spans="1:28">
      <c r="E53" s="894"/>
      <c r="F53" s="894"/>
      <c r="G53" s="894"/>
      <c r="H53" s="894"/>
      <c r="I53" s="894"/>
      <c r="J53" s="894"/>
      <c r="K53" s="894"/>
      <c r="L53" s="895"/>
      <c r="M53" s="895"/>
      <c r="N53" s="895"/>
      <c r="O53" s="895"/>
      <c r="P53" s="895"/>
      <c r="Q53" s="895"/>
      <c r="AA53" s="896"/>
      <c r="AB53" s="896"/>
    </row>
    <row r="54" spans="1:28">
      <c r="B54" s="907" t="s">
        <v>615</v>
      </c>
      <c r="C54" s="880"/>
      <c r="D54" s="880"/>
      <c r="E54" s="899">
        <f t="shared" ref="E54:Q54" si="14">SUM(E46:E52)</f>
        <v>3018.779</v>
      </c>
      <c r="F54" s="899">
        <f t="shared" si="14"/>
        <v>2310.011</v>
      </c>
      <c r="G54" s="899">
        <f t="shared" si="14"/>
        <v>1594.056</v>
      </c>
      <c r="H54" s="899">
        <f t="shared" si="14"/>
        <v>2027.5900000000001</v>
      </c>
      <c r="I54" s="899">
        <f t="shared" si="14"/>
        <v>2610.1260000000002</v>
      </c>
      <c r="J54" s="899">
        <f t="shared" si="14"/>
        <v>3180.8620000000001</v>
      </c>
      <c r="K54" s="899">
        <f t="shared" si="14"/>
        <v>3571.1309999999999</v>
      </c>
      <c r="L54" s="899">
        <f t="shared" si="14"/>
        <v>3756.8207777441985</v>
      </c>
      <c r="M54" s="899">
        <f t="shared" si="14"/>
        <v>4518.1071809629593</v>
      </c>
      <c r="N54" s="899">
        <f t="shared" si="14"/>
        <v>5414.1048648150936</v>
      </c>
      <c r="O54" s="899">
        <f t="shared" si="14"/>
        <v>6308.4510746734104</v>
      </c>
      <c r="P54" s="899">
        <f t="shared" si="14"/>
        <v>7055.2550288283282</v>
      </c>
      <c r="Q54" s="899">
        <f t="shared" si="14"/>
        <v>7690.1918125986567</v>
      </c>
      <c r="AA54" s="896"/>
      <c r="AB54" s="896"/>
    </row>
    <row r="55" spans="1:28">
      <c r="A55" s="871"/>
      <c r="B55" s="908"/>
      <c r="C55" s="871"/>
      <c r="D55" s="871"/>
      <c r="E55" s="894"/>
      <c r="F55" s="894"/>
      <c r="G55" s="894"/>
      <c r="H55" s="894"/>
      <c r="I55" s="894"/>
      <c r="J55" s="894"/>
      <c r="K55" s="894"/>
      <c r="L55" s="909"/>
      <c r="M55" s="909"/>
      <c r="N55" s="909"/>
      <c r="O55" s="909"/>
      <c r="P55" s="909"/>
      <c r="Q55" s="909"/>
      <c r="V55" s="894"/>
      <c r="W55" s="894"/>
      <c r="X55" s="894"/>
      <c r="Y55" s="894"/>
      <c r="Z55" s="894"/>
      <c r="AA55" s="894"/>
      <c r="AB55" s="894"/>
    </row>
    <row r="56" spans="1:28">
      <c r="B56" s="881" t="s">
        <v>616</v>
      </c>
      <c r="E56" s="894">
        <f>'BS Historical Updated'!D52</f>
        <v>27.192</v>
      </c>
      <c r="F56" s="894">
        <f>'BS Historical Updated'!E52</f>
        <v>84.652000000000001</v>
      </c>
      <c r="G56" s="894">
        <f>'BS Historical Updated'!F52</f>
        <v>116.621</v>
      </c>
      <c r="H56" s="894">
        <f>'BS Historical Updated'!G52</f>
        <v>182.74299999999999</v>
      </c>
      <c r="I56" s="894">
        <f>'BS Historical Updated'!H52</f>
        <v>308.46699999999998</v>
      </c>
      <c r="J56" s="894">
        <f>'BS Historical Updated'!I52</f>
        <v>254.25200000000001</v>
      </c>
      <c r="K56" s="894">
        <f>'BS Historical Updated'!J52</f>
        <v>166.26</v>
      </c>
      <c r="L56" s="893">
        <f>'BS Assumptions'!E169*'IS Intergrated'!L10</f>
        <v>318.30444531684117</v>
      </c>
      <c r="M56" s="893">
        <f>'BS Assumptions'!F169*'IS Intergrated'!M10</f>
        <v>385.49223257606587</v>
      </c>
      <c r="N56" s="893">
        <f>'BS Assumptions'!G169*'IS Intergrated'!N10</f>
        <v>465.00306124249801</v>
      </c>
      <c r="O56" s="893">
        <f>'BS Assumptions'!H169*'IS Intergrated'!O10</f>
        <v>547.79745834135338</v>
      </c>
      <c r="P56" s="893">
        <f>'BS Assumptions'!I169*'IS Intergrated'!P10</f>
        <v>619.18320344432516</v>
      </c>
      <c r="Q56" s="893">
        <f>'BS Assumptions'!J169*'IS Intergrated'!Q10</f>
        <v>682.00404980598921</v>
      </c>
      <c r="V56" s="901"/>
      <c r="W56" s="901"/>
      <c r="X56" s="901"/>
      <c r="Y56" s="901"/>
      <c r="Z56" s="901"/>
      <c r="AA56" s="901"/>
      <c r="AB56" s="901"/>
    </row>
    <row r="57" spans="1:28">
      <c r="B57" s="881" t="s">
        <v>617</v>
      </c>
      <c r="E57" s="894">
        <f>'BS Historical Updated'!D53</f>
        <v>31.303999999999998</v>
      </c>
      <c r="F57" s="894">
        <f>'BS Historical Updated'!E53</f>
        <v>26.625</v>
      </c>
      <c r="G57" s="894">
        <f>'BS Historical Updated'!F53</f>
        <v>26.457000000000001</v>
      </c>
      <c r="H57" s="894">
        <f>'BS Historical Updated'!G53</f>
        <v>10.669</v>
      </c>
      <c r="I57" s="894">
        <f>'BS Historical Updated'!H53</f>
        <v>20.387</v>
      </c>
      <c r="J57" s="894">
        <f>'BS Historical Updated'!I53</f>
        <v>23.881</v>
      </c>
      <c r="K57" s="894">
        <f>'BS Historical Updated'!J53</f>
        <v>27.853000000000002</v>
      </c>
      <c r="L57" s="893">
        <f>'BS Assumptions'!E189</f>
        <v>27.853000000000002</v>
      </c>
      <c r="M57" s="893">
        <f>'BS Assumptions'!F189</f>
        <v>27.853000000000002</v>
      </c>
      <c r="N57" s="893">
        <f>'BS Assumptions'!G189</f>
        <v>27.853000000000002</v>
      </c>
      <c r="O57" s="893">
        <f>'BS Assumptions'!H189</f>
        <v>27.853000000000002</v>
      </c>
      <c r="P57" s="893">
        <f>'BS Assumptions'!I189</f>
        <v>27.853000000000002</v>
      </c>
      <c r="Q57" s="893">
        <f>'BS Assumptions'!J189</f>
        <v>27.853000000000002</v>
      </c>
      <c r="V57" s="894"/>
      <c r="W57" s="894"/>
      <c r="X57" s="894"/>
      <c r="Y57" s="894"/>
      <c r="Z57" s="894"/>
      <c r="AA57" s="894"/>
      <c r="AB57" s="894"/>
    </row>
    <row r="58" spans="1:28">
      <c r="B58" s="881" t="s">
        <v>618</v>
      </c>
      <c r="E58" s="894">
        <f>'BS Historical Updated'!D54</f>
        <v>0</v>
      </c>
      <c r="F58" s="894">
        <f>'BS Historical Updated'!E54</f>
        <v>0</v>
      </c>
      <c r="G58" s="894">
        <f>'BS Historical Updated'!F54</f>
        <v>999.41899999999998</v>
      </c>
      <c r="H58" s="894">
        <f>'BS Historical Updated'!G54</f>
        <v>962.09299999999996</v>
      </c>
      <c r="I58" s="894">
        <f>'BS Historical Updated'!H54</f>
        <v>985.91099999999994</v>
      </c>
      <c r="J58" s="894">
        <f>'BS Historical Updated'!I54</f>
        <v>987.68399999999997</v>
      </c>
      <c r="K58" s="894">
        <f>'BS Historical Updated'!J54</f>
        <v>989.56</v>
      </c>
      <c r="L58" s="894">
        <v>989.56</v>
      </c>
      <c r="M58" s="894">
        <v>989.56</v>
      </c>
      <c r="N58" s="894">
        <v>989.56</v>
      </c>
      <c r="O58" s="894">
        <v>989.56</v>
      </c>
      <c r="P58" s="894">
        <v>989.56</v>
      </c>
      <c r="Q58" s="894">
        <v>989.56</v>
      </c>
      <c r="V58" s="894"/>
      <c r="W58" s="894"/>
      <c r="X58" s="894"/>
      <c r="Y58" s="894"/>
      <c r="Z58" s="894"/>
      <c r="AA58" s="894"/>
      <c r="AB58" s="894"/>
    </row>
    <row r="59" spans="1:28">
      <c r="B59" s="881" t="s">
        <v>619</v>
      </c>
      <c r="E59" s="894">
        <f>'BS Historical Updated'!D55</f>
        <v>229.82499999999999</v>
      </c>
      <c r="F59" s="894">
        <f>'BS Historical Updated'!E55</f>
        <v>214.10300000000001</v>
      </c>
      <c r="G59" s="894">
        <f>'BS Historical Updated'!F55</f>
        <v>274.43400000000003</v>
      </c>
      <c r="H59" s="894">
        <f>'BS Historical Updated'!G55</f>
        <v>237.83500000000001</v>
      </c>
      <c r="I59" s="894">
        <f>'BS Historical Updated'!H55</f>
        <v>214.47399999999999</v>
      </c>
      <c r="J59" s="894">
        <f>'BS Historical Updated'!I55</f>
        <v>201.483</v>
      </c>
      <c r="K59" s="894">
        <f>'BS Historical Updated'!J55</f>
        <v>194.84100000000001</v>
      </c>
      <c r="L59" s="894">
        <v>194.84100000000001</v>
      </c>
      <c r="M59" s="894">
        <v>194.84100000000001</v>
      </c>
      <c r="N59" s="894">
        <v>194.84100000000001</v>
      </c>
      <c r="O59" s="894">
        <v>194.84100000000001</v>
      </c>
      <c r="P59" s="894">
        <v>194.84100000000001</v>
      </c>
      <c r="Q59" s="894">
        <v>194.84100000000001</v>
      </c>
      <c r="V59" s="894"/>
      <c r="W59" s="894"/>
      <c r="X59" s="894"/>
      <c r="Y59" s="894"/>
      <c r="Z59" s="894"/>
      <c r="AA59" s="894"/>
      <c r="AB59" s="894"/>
    </row>
    <row r="60" spans="1:28">
      <c r="B60" s="881" t="s">
        <v>611</v>
      </c>
      <c r="E60" s="894">
        <f>'BS Historical Updated'!D56</f>
        <v>9.4930000000000003</v>
      </c>
      <c r="F60" s="894">
        <f>'BS Historical Updated'!E56</f>
        <v>12.435</v>
      </c>
      <c r="G60" s="894">
        <f>'BS Historical Updated'!F56</f>
        <v>13.804</v>
      </c>
      <c r="H60" s="894">
        <f>'BS Historical Updated'!G56</f>
        <v>0</v>
      </c>
      <c r="I60" s="894">
        <f>'BS Historical Updated'!H56</f>
        <v>0</v>
      </c>
      <c r="J60" s="894">
        <f>'BS Historical Updated'!I56</f>
        <v>0</v>
      </c>
      <c r="K60" s="894">
        <f>'BS Historical Updated'!J56</f>
        <v>0</v>
      </c>
      <c r="L60" s="894">
        <v>0</v>
      </c>
      <c r="M60" s="894">
        <v>0</v>
      </c>
      <c r="N60" s="894">
        <v>0</v>
      </c>
      <c r="O60" s="894">
        <v>0</v>
      </c>
      <c r="P60" s="894">
        <v>0</v>
      </c>
      <c r="Q60" s="894">
        <v>0</v>
      </c>
      <c r="V60" s="896"/>
      <c r="W60" s="896"/>
      <c r="X60" s="896"/>
      <c r="Y60" s="896"/>
      <c r="Z60" s="896"/>
      <c r="AA60" s="896"/>
      <c r="AB60" s="896"/>
    </row>
    <row r="61" spans="1:28">
      <c r="B61" s="881" t="s">
        <v>620</v>
      </c>
      <c r="E61" s="894">
        <f>'BS Historical Updated'!D57</f>
        <v>2.173</v>
      </c>
      <c r="F61" s="894">
        <f>'BS Historical Updated'!E57</f>
        <v>2.6040000000000001</v>
      </c>
      <c r="G61" s="894">
        <f>'BS Historical Updated'!F57</f>
        <v>0.81200000000000006</v>
      </c>
      <c r="H61" s="894">
        <f>'BS Historical Updated'!G57</f>
        <v>31.177</v>
      </c>
      <c r="I61" s="894">
        <f>'BS Historical Updated'!H57</f>
        <v>39.917000000000002</v>
      </c>
      <c r="J61" s="894">
        <f>'BS Historical Updated'!I57</f>
        <v>48.156999999999996</v>
      </c>
      <c r="K61" s="894">
        <f>'BS Historical Updated'!J57</f>
        <v>95.444999999999993</v>
      </c>
      <c r="L61" s="895">
        <f>'BS Assumptions'!E179*'IS Intergrated'!L10</f>
        <v>105.64287262252378</v>
      </c>
      <c r="M61" s="895">
        <f>'BS Assumptions'!F179*'IS Intergrated'!M10</f>
        <v>127.94199836721839</v>
      </c>
      <c r="N61" s="895">
        <f>'BS Assumptions'!G179*'IS Intergrated'!N10</f>
        <v>154.33104969371828</v>
      </c>
      <c r="O61" s="895">
        <f>'BS Assumptions'!H179*'IS Intergrated'!O10</f>
        <v>181.80989290580916</v>
      </c>
      <c r="P61" s="895">
        <f>'BS Assumptions'!I179*'IS Intergrated'!P10</f>
        <v>205.50228956546144</v>
      </c>
      <c r="Q61" s="895">
        <f>'BS Assumptions'!J179*'IS Intergrated'!Q10</f>
        <v>226.35206017930989</v>
      </c>
      <c r="V61" s="896"/>
      <c r="W61" s="896"/>
      <c r="X61" s="896"/>
      <c r="Y61" s="896"/>
      <c r="Z61" s="896"/>
      <c r="AA61" s="896"/>
      <c r="AB61" s="896"/>
    </row>
    <row r="62" spans="1:28">
      <c r="B62" s="897"/>
      <c r="E62" s="894"/>
      <c r="F62" s="894"/>
      <c r="G62" s="894"/>
      <c r="H62" s="894"/>
      <c r="I62" s="894"/>
      <c r="J62" s="894"/>
      <c r="K62" s="894"/>
      <c r="L62" s="895"/>
      <c r="M62" s="895"/>
      <c r="N62" s="895"/>
      <c r="O62" s="895"/>
      <c r="P62" s="895"/>
      <c r="Q62" s="895"/>
      <c r="V62" s="896"/>
      <c r="W62" s="896"/>
      <c r="X62" s="896"/>
      <c r="Y62" s="896"/>
      <c r="Z62" s="896"/>
      <c r="AA62" s="896"/>
      <c r="AB62" s="896"/>
    </row>
    <row r="63" spans="1:28">
      <c r="B63" s="907" t="s">
        <v>621</v>
      </c>
      <c r="C63" s="880"/>
      <c r="D63" s="880"/>
      <c r="E63" s="899">
        <f t="shared" ref="E63:Q63" si="15">SUM(E56:E61)</f>
        <v>299.98699999999997</v>
      </c>
      <c r="F63" s="899">
        <f t="shared" si="15"/>
        <v>340.41899999999998</v>
      </c>
      <c r="G63" s="899">
        <f t="shared" si="15"/>
        <v>1431.547</v>
      </c>
      <c r="H63" s="899">
        <f t="shared" si="15"/>
        <v>1424.5169999999998</v>
      </c>
      <c r="I63" s="899">
        <f t="shared" si="15"/>
        <v>1569.1559999999997</v>
      </c>
      <c r="J63" s="899">
        <f t="shared" si="15"/>
        <v>1515.4569999999999</v>
      </c>
      <c r="K63" s="899">
        <f t="shared" si="15"/>
        <v>1473.9590000000001</v>
      </c>
      <c r="L63" s="899">
        <f t="shared" si="15"/>
        <v>1636.201317939365</v>
      </c>
      <c r="M63" s="899">
        <f t="shared" si="15"/>
        <v>1725.688230943284</v>
      </c>
      <c r="N63" s="899">
        <f t="shared" si="15"/>
        <v>1831.5881109362163</v>
      </c>
      <c r="O63" s="899">
        <f t="shared" si="15"/>
        <v>1941.8613512471625</v>
      </c>
      <c r="P63" s="899">
        <f t="shared" si="15"/>
        <v>2036.9394930097865</v>
      </c>
      <c r="Q63" s="899">
        <f t="shared" si="15"/>
        <v>2120.610109985299</v>
      </c>
      <c r="V63" s="896"/>
      <c r="W63" s="896"/>
      <c r="X63" s="896"/>
      <c r="Y63" s="896"/>
      <c r="Z63" s="896"/>
      <c r="AA63" s="896"/>
      <c r="AB63" s="896"/>
    </row>
    <row r="64" spans="1:28">
      <c r="E64" s="894"/>
      <c r="F64" s="894"/>
      <c r="G64" s="894"/>
      <c r="H64" s="894"/>
      <c r="I64" s="894"/>
      <c r="J64" s="894"/>
      <c r="K64" s="894"/>
      <c r="L64" s="895"/>
      <c r="M64" s="895"/>
      <c r="N64" s="895"/>
      <c r="O64" s="895"/>
      <c r="P64" s="895"/>
      <c r="Q64" s="895"/>
      <c r="V64" s="896"/>
      <c r="W64" s="896"/>
      <c r="X64" s="896"/>
      <c r="Y64" s="896"/>
      <c r="Z64" s="896"/>
      <c r="AA64" s="896"/>
      <c r="AB64" s="896"/>
    </row>
    <row r="65" spans="1:28">
      <c r="B65" s="907" t="s">
        <v>622</v>
      </c>
      <c r="C65" s="880"/>
      <c r="D65" s="880"/>
      <c r="E65" s="899">
        <f t="shared" ref="E65:K65" si="16">E63+E54</f>
        <v>3318.7660000000001</v>
      </c>
      <c r="F65" s="899">
        <f t="shared" si="16"/>
        <v>2650.43</v>
      </c>
      <c r="G65" s="899">
        <f t="shared" si="16"/>
        <v>3025.6030000000001</v>
      </c>
      <c r="H65" s="899">
        <f t="shared" si="16"/>
        <v>3452.107</v>
      </c>
      <c r="I65" s="899">
        <f t="shared" si="16"/>
        <v>4179.2820000000002</v>
      </c>
      <c r="J65" s="899">
        <f t="shared" si="16"/>
        <v>4696.3189999999995</v>
      </c>
      <c r="K65" s="899">
        <f t="shared" si="16"/>
        <v>5045.09</v>
      </c>
      <c r="L65" s="899">
        <f t="shared" ref="L65:Q65" si="17">L63+L54</f>
        <v>5393.0220956835637</v>
      </c>
      <c r="M65" s="899">
        <f t="shared" si="17"/>
        <v>6243.7954119062433</v>
      </c>
      <c r="N65" s="899">
        <f t="shared" si="17"/>
        <v>7245.6929757513099</v>
      </c>
      <c r="O65" s="899">
        <f t="shared" si="17"/>
        <v>8250.3124259205724</v>
      </c>
      <c r="P65" s="899">
        <f t="shared" si="17"/>
        <v>9092.1945218381152</v>
      </c>
      <c r="Q65" s="899">
        <f t="shared" si="17"/>
        <v>9810.8019225839562</v>
      </c>
      <c r="V65" s="896"/>
      <c r="W65" s="896"/>
      <c r="X65" s="896"/>
      <c r="Y65" s="896"/>
      <c r="Z65" s="896"/>
      <c r="AA65" s="896"/>
      <c r="AB65" s="896"/>
    </row>
    <row r="66" spans="1:28">
      <c r="E66" s="894"/>
      <c r="F66" s="894"/>
      <c r="G66" s="894"/>
      <c r="H66" s="894"/>
      <c r="I66" s="894"/>
      <c r="J66" s="894"/>
      <c r="K66" s="894"/>
      <c r="L66" s="893"/>
      <c r="M66" s="893"/>
      <c r="N66" s="893"/>
      <c r="O66" s="893"/>
      <c r="P66" s="893"/>
      <c r="Q66" s="893"/>
      <c r="V66" s="896"/>
      <c r="W66" s="896"/>
      <c r="X66" s="896"/>
      <c r="Y66" s="896"/>
      <c r="Z66" s="896"/>
      <c r="AA66" s="896"/>
      <c r="AB66" s="896"/>
    </row>
    <row r="67" spans="1:28">
      <c r="A67" s="871"/>
      <c r="B67" s="872" t="s">
        <v>623</v>
      </c>
      <c r="E67" s="894"/>
      <c r="F67" s="894"/>
      <c r="G67" s="894"/>
      <c r="H67" s="894"/>
      <c r="I67" s="894"/>
      <c r="J67" s="894"/>
      <c r="K67" s="894"/>
      <c r="L67" s="910"/>
      <c r="M67" s="910"/>
      <c r="N67" s="910"/>
      <c r="O67" s="910"/>
      <c r="P67" s="910"/>
      <c r="Q67" s="910"/>
      <c r="V67" s="894"/>
      <c r="W67" s="894"/>
      <c r="X67" s="894"/>
      <c r="Y67" s="894"/>
      <c r="Z67" s="894"/>
      <c r="AA67" s="894"/>
      <c r="AB67" s="894"/>
    </row>
    <row r="68" spans="1:28">
      <c r="B68" s="881" t="s">
        <v>624</v>
      </c>
      <c r="E68" s="894">
        <f>'BS Historical Updated'!D64</f>
        <v>1691.6979999999999</v>
      </c>
      <c r="F68" s="894">
        <f>'BS Historical Updated'!E64</f>
        <v>2107.6210000000001</v>
      </c>
      <c r="G68" s="894">
        <f>'BS Historical Updated'!F64</f>
        <v>2764.1780000000003</v>
      </c>
      <c r="H68" s="894">
        <f>'BS Historical Updated'!G64</f>
        <v>3130.6309999999999</v>
      </c>
      <c r="I68" s="894">
        <f>'BS Historical Updated'!H64</f>
        <v>4212.0640000000003</v>
      </c>
      <c r="J68" s="894">
        <f>'BS Historical Updated'!I64</f>
        <v>5574.29</v>
      </c>
      <c r="K68" s="894">
        <f>'BS Historical Updated'!J64</f>
        <v>7180.8509999999997</v>
      </c>
      <c r="L68" s="893">
        <f>K68+'CF Assumptions'!F38</f>
        <v>8961.4988305064035</v>
      </c>
      <c r="M68" s="893">
        <f>L68+'CF Assumptions'!G38</f>
        <v>11072.346398866721</v>
      </c>
      <c r="N68" s="893">
        <f>M68+'CF Assumptions'!H38</f>
        <v>13563.495416488347</v>
      </c>
      <c r="O68" s="893">
        <f>N68+'CF Assumptions'!I38</f>
        <v>16433.312511261945</v>
      </c>
      <c r="P68" s="893">
        <f>O68+'CF Assumptions'!J38</f>
        <v>19603.767740186653</v>
      </c>
      <c r="Q68" s="893">
        <f>P68+'CF Assumptions'!K38</f>
        <v>23015.109352122759</v>
      </c>
      <c r="V68" s="901"/>
      <c r="W68" s="901"/>
      <c r="X68" s="901"/>
      <c r="Y68" s="901"/>
      <c r="Z68" s="901"/>
      <c r="AA68" s="901"/>
      <c r="AB68" s="901"/>
    </row>
    <row r="69" spans="1:28">
      <c r="A69" s="871"/>
      <c r="B69" s="881" t="s">
        <v>625</v>
      </c>
      <c r="E69" s="894" t="str">
        <f>'BS Historical Updated'!D65</f>
        <v>-</v>
      </c>
      <c r="F69" s="894" t="str">
        <f>'BS Historical Updated'!E65</f>
        <v>-</v>
      </c>
      <c r="G69" s="894" t="str">
        <f>'BS Historical Updated'!F65</f>
        <v>-</v>
      </c>
      <c r="H69" s="894">
        <f>'BS Historical Updated'!G65</f>
        <v>34.015000000000001</v>
      </c>
      <c r="I69" s="894">
        <f>'BS Historical Updated'!H65</f>
        <v>25.303000000000001</v>
      </c>
      <c r="J69" s="894">
        <f>'BS Historical Updated'!I65</f>
        <v>13.226000000000001</v>
      </c>
      <c r="K69" s="894">
        <f>'BS Historical Updated'!J65</f>
        <v>-17.033999999999999</v>
      </c>
      <c r="L69" s="894">
        <v>-17.033999999999999</v>
      </c>
      <c r="M69" s="894">
        <v>-17.033999999999999</v>
      </c>
      <c r="N69" s="894">
        <v>-17.033999999999999</v>
      </c>
      <c r="O69" s="894">
        <v>-17.033999999999999</v>
      </c>
      <c r="P69" s="894">
        <v>-17.033999999999999</v>
      </c>
      <c r="Q69" s="894">
        <v>-17.033999999999999</v>
      </c>
      <c r="V69" s="894"/>
      <c r="W69" s="894"/>
      <c r="X69" s="894"/>
      <c r="Y69" s="894"/>
      <c r="Z69" s="894"/>
      <c r="AA69" s="894"/>
      <c r="AB69" s="894"/>
    </row>
    <row r="70" spans="1:28">
      <c r="B70" s="881" t="s">
        <v>626</v>
      </c>
      <c r="E70" s="894">
        <f>'BS Historical Updated'!D66</f>
        <v>-1116.3920000000001</v>
      </c>
      <c r="F70" s="894">
        <f>'BS Historical Updated'!E66</f>
        <v>-1812.7070000000001</v>
      </c>
      <c r="G70" s="894">
        <f>'BS Historical Updated'!F66</f>
        <v>-2428.5749999999998</v>
      </c>
      <c r="H70" s="894">
        <f>'BS Historical Updated'!G66</f>
        <v>-2509.9639999999999</v>
      </c>
      <c r="I70" s="894">
        <f>'BS Historical Updated'!H66</f>
        <v>-3204.5160000000001</v>
      </c>
      <c r="J70" s="894">
        <f>'BS Historical Updated'!I66</f>
        <v>-4241.8649999999998</v>
      </c>
      <c r="K70" s="894">
        <f>'BS Historical Updated'!J66</f>
        <v>-6105.3779999999997</v>
      </c>
      <c r="L70" s="894">
        <f>K70+'IS Intergrated'!L41+'CF Intergrated'!L37</f>
        <v>-7839.0120311038281</v>
      </c>
      <c r="M70" s="894">
        <f>L70+'IS Intergrated'!M41+'CF Intergrated'!M37</f>
        <v>-9766.2422812539571</v>
      </c>
      <c r="N70" s="894">
        <f>M70+'IS Intergrated'!N41+'CF Intergrated'!N37</f>
        <v>-11888.269112453112</v>
      </c>
      <c r="O70" s="894">
        <f>N70+'IS Intergrated'!O41+'CF Intergrated'!O37</f>
        <v>-13952.556709095667</v>
      </c>
      <c r="P70" s="894">
        <f>O70+'IS Intergrated'!P41+'CF Intergrated'!P37</f>
        <v>-15737.017714913951</v>
      </c>
      <c r="Q70" s="894">
        <f>P70+'IS Intergrated'!Q41+'CF Intergrated'!Q37</f>
        <v>-17143.481907588666</v>
      </c>
      <c r="V70" s="901"/>
      <c r="W70" s="901"/>
      <c r="X70" s="901"/>
      <c r="Y70" s="901"/>
      <c r="Z70" s="901"/>
      <c r="AA70" s="901"/>
      <c r="AB70" s="901"/>
    </row>
    <row r="71" spans="1:28">
      <c r="B71" s="897"/>
      <c r="E71" s="894"/>
      <c r="F71" s="894"/>
      <c r="G71" s="894"/>
      <c r="H71" s="894"/>
      <c r="I71" s="894"/>
      <c r="J71" s="894"/>
      <c r="K71" s="894"/>
      <c r="L71" s="893"/>
      <c r="M71" s="893"/>
      <c r="N71" s="893"/>
      <c r="O71" s="893"/>
      <c r="P71" s="893"/>
      <c r="Q71" s="893"/>
      <c r="V71" s="894"/>
      <c r="W71" s="894"/>
      <c r="X71" s="894"/>
      <c r="Y71" s="894"/>
      <c r="Z71" s="894"/>
      <c r="AA71" s="894"/>
      <c r="AB71" s="894"/>
    </row>
    <row r="72" spans="1:28">
      <c r="B72" s="880" t="s">
        <v>393</v>
      </c>
      <c r="C72" s="880"/>
      <c r="D72" s="880"/>
      <c r="E72" s="899">
        <f t="shared" ref="E72:K72" si="18">SUM(E68:E70)</f>
        <v>575.30599999999981</v>
      </c>
      <c r="F72" s="899">
        <f t="shared" si="18"/>
        <v>294.91399999999999</v>
      </c>
      <c r="G72" s="899">
        <f t="shared" si="18"/>
        <v>335.60300000000052</v>
      </c>
      <c r="H72" s="899">
        <f t="shared" si="18"/>
        <v>654.68199999999979</v>
      </c>
      <c r="I72" s="899">
        <f t="shared" si="18"/>
        <v>1032.8510000000001</v>
      </c>
      <c r="J72" s="899">
        <f t="shared" si="18"/>
        <v>1345.6509999999998</v>
      </c>
      <c r="K72" s="899">
        <f t="shared" si="18"/>
        <v>1058.4390000000003</v>
      </c>
      <c r="L72" s="899">
        <f t="shared" ref="L72:Q72" si="19">SUM(L68:L70)</f>
        <v>1105.4527994025757</v>
      </c>
      <c r="M72" s="899">
        <f t="shared" si="19"/>
        <v>1289.0701176127641</v>
      </c>
      <c r="N72" s="899">
        <f t="shared" si="19"/>
        <v>1658.1923040352358</v>
      </c>
      <c r="O72" s="899">
        <f t="shared" si="19"/>
        <v>2463.7218021662793</v>
      </c>
      <c r="P72" s="899">
        <f t="shared" si="19"/>
        <v>3849.7160252727026</v>
      </c>
      <c r="Q72" s="899">
        <f t="shared" si="19"/>
        <v>5854.5934445340936</v>
      </c>
      <c r="V72" s="894"/>
      <c r="W72" s="894"/>
      <c r="X72" s="894"/>
      <c r="Y72" s="894"/>
      <c r="Z72" s="894"/>
      <c r="AA72" s="894"/>
      <c r="AB72" s="894"/>
    </row>
    <row r="73" spans="1:28">
      <c r="E73" s="894"/>
      <c r="F73" s="894"/>
      <c r="G73" s="894"/>
      <c r="H73" s="894"/>
      <c r="I73" s="894"/>
      <c r="J73" s="894"/>
      <c r="K73" s="894"/>
      <c r="L73" s="895"/>
      <c r="M73" s="895"/>
      <c r="N73" s="895"/>
      <c r="O73" s="895"/>
      <c r="P73" s="895"/>
      <c r="Q73" s="895"/>
      <c r="V73" s="896"/>
      <c r="W73" s="896"/>
      <c r="X73" s="896"/>
      <c r="Y73" s="896"/>
      <c r="Z73" s="896"/>
      <c r="AA73" s="896"/>
      <c r="AB73" s="896"/>
    </row>
    <row r="74" spans="1:28">
      <c r="B74" s="880" t="s">
        <v>627</v>
      </c>
      <c r="C74" s="911"/>
      <c r="D74" s="911"/>
      <c r="E74" s="899">
        <f t="shared" ref="E74:K74" si="20">E72+E65</f>
        <v>3894.0720000000001</v>
      </c>
      <c r="F74" s="899">
        <f t="shared" si="20"/>
        <v>2945.3440000000001</v>
      </c>
      <c r="G74" s="899">
        <f t="shared" si="20"/>
        <v>3361.2060000000006</v>
      </c>
      <c r="H74" s="899">
        <f t="shared" si="20"/>
        <v>4106.7889999999998</v>
      </c>
      <c r="I74" s="899">
        <f t="shared" si="20"/>
        <v>5212.1329999999998</v>
      </c>
      <c r="J74" s="899">
        <f t="shared" si="20"/>
        <v>6041.9699999999993</v>
      </c>
      <c r="K74" s="899">
        <f t="shared" si="20"/>
        <v>6103.5290000000005</v>
      </c>
      <c r="L74" s="899">
        <f t="shared" ref="L74:Q74" si="21">L72+L65</f>
        <v>6498.4748950861394</v>
      </c>
      <c r="M74" s="899">
        <f t="shared" si="21"/>
        <v>7532.8655295190074</v>
      </c>
      <c r="N74" s="899">
        <f t="shared" si="21"/>
        <v>8903.8852797865457</v>
      </c>
      <c r="O74" s="899">
        <f t="shared" si="21"/>
        <v>10714.034228086852</v>
      </c>
      <c r="P74" s="899">
        <f t="shared" si="21"/>
        <v>12941.910547110818</v>
      </c>
      <c r="Q74" s="899">
        <f t="shared" si="21"/>
        <v>15665.39536711805</v>
      </c>
      <c r="V74" s="896"/>
      <c r="W74" s="896"/>
      <c r="X74" s="896"/>
      <c r="Y74" s="896"/>
      <c r="Z74" s="896"/>
      <c r="AA74" s="896"/>
      <c r="AB74" s="896"/>
    </row>
    <row r="75" spans="1:28" ht="14.5">
      <c r="B75" s="912"/>
      <c r="C75" s="912"/>
      <c r="D75" s="912"/>
      <c r="E75" s="913">
        <f t="shared" ref="E75:K75" si="22">E74-E42</f>
        <v>0</v>
      </c>
      <c r="F75" s="913">
        <f t="shared" si="22"/>
        <v>0</v>
      </c>
      <c r="G75" s="913">
        <f t="shared" si="22"/>
        <v>0</v>
      </c>
      <c r="H75" s="913">
        <f t="shared" si="22"/>
        <v>0</v>
      </c>
      <c r="I75" s="913">
        <f t="shared" si="22"/>
        <v>0</v>
      </c>
      <c r="J75" s="913">
        <f t="shared" si="22"/>
        <v>0</v>
      </c>
      <c r="K75" s="913">
        <f t="shared" si="22"/>
        <v>0</v>
      </c>
      <c r="L75" s="913">
        <f t="shared" ref="L75:Q75" si="23">L74-L42</f>
        <v>0</v>
      </c>
      <c r="M75" s="913">
        <f>M74-M42</f>
        <v>0</v>
      </c>
      <c r="N75" s="913">
        <f t="shared" si="23"/>
        <v>0</v>
      </c>
      <c r="O75" s="913">
        <f t="shared" si="23"/>
        <v>0</v>
      </c>
      <c r="P75" s="913">
        <f t="shared" si="23"/>
        <v>0</v>
      </c>
      <c r="Q75" s="913">
        <f t="shared" si="23"/>
        <v>0</v>
      </c>
      <c r="V75" s="896"/>
      <c r="W75" s="896"/>
      <c r="X75" s="896"/>
      <c r="Y75" s="896"/>
      <c r="Z75" s="896"/>
      <c r="AA75" s="896"/>
      <c r="AB75" s="896"/>
    </row>
    <row r="76" spans="1:28">
      <c r="B76" s="914"/>
      <c r="C76" s="915"/>
      <c r="D76" s="915"/>
      <c r="E76" s="893"/>
      <c r="F76" s="893"/>
      <c r="G76" s="893"/>
      <c r="H76" s="893"/>
      <c r="I76" s="893"/>
      <c r="J76" s="893"/>
      <c r="K76" s="893"/>
      <c r="L76" s="895"/>
      <c r="M76" s="895"/>
      <c r="N76" s="895"/>
      <c r="O76" s="895"/>
      <c r="P76" s="895"/>
      <c r="Q76" s="895"/>
      <c r="V76" s="896"/>
      <c r="W76" s="896"/>
      <c r="X76" s="896"/>
      <c r="Y76" s="896"/>
      <c r="Z76" s="896"/>
      <c r="AA76" s="896"/>
      <c r="AB76" s="896"/>
    </row>
    <row r="77" spans="1:28">
      <c r="B77" s="914"/>
      <c r="C77" s="915"/>
      <c r="D77" s="915"/>
      <c r="E77" s="893"/>
      <c r="F77" s="893"/>
      <c r="G77" s="893"/>
      <c r="H77" s="893"/>
      <c r="I77" s="893"/>
      <c r="J77" s="893"/>
      <c r="K77" s="893"/>
      <c r="L77" s="893"/>
      <c r="M77" s="893"/>
      <c r="N77" s="893"/>
      <c r="O77" s="893"/>
      <c r="P77" s="893"/>
      <c r="Q77" s="893"/>
      <c r="V77" s="896"/>
      <c r="W77" s="896"/>
      <c r="X77" s="896"/>
      <c r="Y77" s="896"/>
      <c r="Z77" s="896"/>
      <c r="AA77" s="896"/>
      <c r="AB77" s="896"/>
    </row>
    <row r="78" spans="1:28">
      <c r="B78" s="914"/>
      <c r="C78" s="915"/>
      <c r="D78" s="915"/>
      <c r="E78" s="893"/>
      <c r="F78" s="893"/>
      <c r="G78" s="893"/>
      <c r="H78" s="893"/>
      <c r="I78" s="893"/>
      <c r="J78" s="893"/>
      <c r="K78" s="893"/>
      <c r="L78" s="893"/>
      <c r="M78" s="893"/>
      <c r="N78" s="893"/>
      <c r="O78" s="893"/>
      <c r="P78" s="893"/>
      <c r="Q78" s="893"/>
      <c r="V78" s="894"/>
      <c r="W78" s="894"/>
      <c r="X78" s="894"/>
      <c r="Y78" s="894"/>
      <c r="Z78" s="894"/>
      <c r="AA78" s="894"/>
      <c r="AB78" s="894"/>
    </row>
    <row r="79" spans="1:28">
      <c r="B79" s="915"/>
      <c r="C79" s="915"/>
      <c r="D79" s="915"/>
      <c r="E79" s="893"/>
      <c r="F79" s="893"/>
      <c r="G79" s="893"/>
      <c r="H79" s="893"/>
      <c r="I79" s="893"/>
      <c r="J79" s="893"/>
      <c r="K79" s="893"/>
      <c r="L79" s="893"/>
      <c r="M79" s="893"/>
      <c r="N79" s="893"/>
      <c r="O79" s="893"/>
      <c r="P79" s="893"/>
      <c r="Q79" s="893"/>
      <c r="V79" s="896"/>
      <c r="W79" s="896"/>
      <c r="X79" s="896"/>
      <c r="Y79" s="896"/>
      <c r="Z79" s="896"/>
      <c r="AA79" s="896"/>
      <c r="AB79" s="896"/>
    </row>
    <row r="80" spans="1:28">
      <c r="A80" s="871"/>
      <c r="B80" s="916"/>
      <c r="C80" s="890"/>
      <c r="D80" s="890"/>
      <c r="E80" s="905"/>
      <c r="F80" s="905"/>
      <c r="G80" s="905"/>
      <c r="H80" s="905"/>
      <c r="I80" s="905"/>
      <c r="J80" s="905"/>
      <c r="K80" s="905"/>
      <c r="L80" s="905"/>
      <c r="M80" s="905"/>
      <c r="N80" s="905"/>
      <c r="O80" s="905"/>
      <c r="P80" s="905"/>
      <c r="Q80" s="905"/>
      <c r="V80" s="894"/>
      <c r="W80" s="894"/>
      <c r="X80" s="894"/>
      <c r="Y80" s="894"/>
      <c r="Z80" s="894"/>
      <c r="AA80" s="894"/>
      <c r="AB80" s="894"/>
    </row>
    <row r="81" spans="1:28">
      <c r="B81" s="915"/>
      <c r="C81" s="915"/>
      <c r="D81" s="915"/>
      <c r="E81" s="893"/>
      <c r="F81" s="893"/>
      <c r="G81" s="893"/>
      <c r="H81" s="893"/>
      <c r="I81" s="893"/>
      <c r="J81" s="893"/>
      <c r="K81" s="893"/>
      <c r="L81" s="893"/>
      <c r="M81" s="893"/>
      <c r="N81" s="893"/>
      <c r="O81" s="893"/>
      <c r="P81" s="893"/>
      <c r="Q81" s="893"/>
      <c r="V81" s="901"/>
      <c r="W81" s="901"/>
      <c r="X81" s="901"/>
      <c r="Y81" s="901"/>
      <c r="Z81" s="901"/>
      <c r="AA81" s="901"/>
      <c r="AB81" s="901"/>
    </row>
    <row r="82" spans="1:28">
      <c r="A82" s="871"/>
      <c r="B82" s="890"/>
      <c r="C82" s="890"/>
      <c r="D82" s="890"/>
      <c r="E82" s="905"/>
      <c r="F82" s="905"/>
      <c r="G82" s="905"/>
      <c r="H82" s="905"/>
      <c r="I82" s="905"/>
      <c r="J82" s="905"/>
      <c r="K82" s="905"/>
      <c r="L82" s="905"/>
      <c r="M82" s="905"/>
      <c r="N82" s="905"/>
      <c r="O82" s="905"/>
      <c r="P82" s="905"/>
      <c r="Q82" s="905"/>
      <c r="V82" s="894"/>
      <c r="W82" s="894"/>
      <c r="X82" s="894"/>
      <c r="Y82" s="894"/>
      <c r="Z82" s="894"/>
      <c r="AA82" s="894"/>
      <c r="AB82" s="894"/>
    </row>
    <row r="83" spans="1:28">
      <c r="B83" s="915"/>
      <c r="C83" s="915"/>
      <c r="D83" s="915"/>
      <c r="E83" s="893"/>
      <c r="F83" s="893"/>
      <c r="G83" s="893"/>
      <c r="H83" s="893"/>
      <c r="I83" s="893"/>
      <c r="J83" s="893"/>
      <c r="K83" s="893"/>
      <c r="L83" s="893"/>
      <c r="M83" s="893"/>
      <c r="N83" s="893"/>
      <c r="O83" s="893"/>
      <c r="P83" s="893"/>
      <c r="Q83" s="893"/>
      <c r="V83" s="901"/>
      <c r="W83" s="901"/>
      <c r="X83" s="901"/>
      <c r="Y83" s="901"/>
      <c r="Z83" s="901"/>
      <c r="AA83" s="901"/>
      <c r="AB83" s="901"/>
    </row>
    <row r="84" spans="1:28">
      <c r="A84" s="871"/>
      <c r="B84" s="890"/>
      <c r="C84" s="890"/>
      <c r="D84" s="890"/>
      <c r="E84" s="905"/>
      <c r="F84" s="905"/>
      <c r="G84" s="905"/>
      <c r="H84" s="905"/>
      <c r="I84" s="905"/>
      <c r="J84" s="905"/>
      <c r="K84" s="905"/>
      <c r="L84" s="905"/>
      <c r="M84" s="905"/>
      <c r="N84" s="905"/>
      <c r="O84" s="905"/>
      <c r="P84" s="905"/>
      <c r="Q84" s="905"/>
      <c r="V84" s="894"/>
      <c r="W84" s="894"/>
      <c r="X84" s="894"/>
      <c r="Y84" s="894"/>
      <c r="Z84" s="894"/>
      <c r="AA84" s="894"/>
      <c r="AB84" s="894"/>
    </row>
    <row r="85" spans="1:28">
      <c r="B85" s="890"/>
      <c r="C85" s="915"/>
      <c r="D85" s="915"/>
      <c r="E85" s="893"/>
      <c r="F85" s="893"/>
      <c r="G85" s="893"/>
      <c r="H85" s="893"/>
      <c r="I85" s="893"/>
      <c r="J85" s="893"/>
      <c r="K85" s="893"/>
      <c r="L85" s="893"/>
      <c r="M85" s="893"/>
      <c r="N85" s="893"/>
      <c r="O85" s="893"/>
      <c r="P85" s="893"/>
      <c r="Q85" s="893"/>
      <c r="V85" s="901"/>
      <c r="W85" s="901"/>
      <c r="X85" s="901"/>
      <c r="Y85" s="901"/>
      <c r="Z85" s="901"/>
      <c r="AA85" s="901"/>
      <c r="AB85" s="901"/>
    </row>
    <row r="86" spans="1:28">
      <c r="V86" s="894"/>
      <c r="W86" s="894"/>
      <c r="X86" s="894"/>
      <c r="Y86" s="894"/>
      <c r="Z86" s="894"/>
      <c r="AA86" s="894"/>
      <c r="AB86" s="894"/>
    </row>
    <row r="87" spans="1:28">
      <c r="K87" s="917"/>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D8729-3D94-4747-9F21-5338A5ADFD48}">
  <sheetPr codeName="Sheet16">
    <tabColor rgb="FFFFFF00"/>
  </sheetPr>
  <dimension ref="A1:R53"/>
  <sheetViews>
    <sheetView showGridLines="0" zoomScale="88" zoomScaleNormal="88" workbookViewId="0">
      <selection activeCell="I31" sqref="I31"/>
    </sheetView>
  </sheetViews>
  <sheetFormatPr defaultColWidth="8.7265625" defaultRowHeight="12"/>
  <cols>
    <col min="1" max="2" width="8.7265625" style="872"/>
    <col min="3" max="3" width="13.81640625" style="872" customWidth="1"/>
    <col min="4" max="4" width="8.7265625" style="872"/>
    <col min="5" max="11" width="9.26953125" style="872" bestFit="1" customWidth="1"/>
    <col min="12" max="17" width="12.453125" style="872" bestFit="1" customWidth="1"/>
    <col min="18" max="16384" width="8.7265625" style="872"/>
  </cols>
  <sheetData>
    <row r="1" spans="1:18">
      <c r="A1" s="1118" t="s">
        <v>628</v>
      </c>
      <c r="B1" s="1118"/>
      <c r="C1" s="1118"/>
      <c r="D1" s="1118"/>
      <c r="E1" s="1118"/>
      <c r="F1" s="1118"/>
      <c r="G1" s="1118"/>
      <c r="H1" s="1118"/>
      <c r="I1" s="1118"/>
      <c r="J1" s="1118"/>
      <c r="K1" s="1118"/>
      <c r="L1" s="1118"/>
      <c r="M1" s="1118"/>
      <c r="N1" s="1118"/>
    </row>
    <row r="2" spans="1:18">
      <c r="A2" s="1118" t="s">
        <v>89</v>
      </c>
      <c r="B2" s="1118"/>
    </row>
    <row r="5" spans="1:18">
      <c r="E5" s="959">
        <v>43983</v>
      </c>
      <c r="F5" s="960">
        <v>44377</v>
      </c>
      <c r="G5" s="960">
        <f>EDATE(F5,12)</f>
        <v>44742</v>
      </c>
      <c r="H5" s="960">
        <f t="shared" ref="H5:Q5" si="0">EDATE(G5,12)</f>
        <v>45107</v>
      </c>
      <c r="I5" s="960">
        <f t="shared" si="0"/>
        <v>45473</v>
      </c>
      <c r="J5" s="960">
        <f t="shared" si="0"/>
        <v>45838</v>
      </c>
      <c r="K5" s="960">
        <v>46203</v>
      </c>
      <c r="L5" s="960">
        <f t="shared" si="0"/>
        <v>46568</v>
      </c>
      <c r="M5" s="960">
        <f t="shared" si="0"/>
        <v>46934</v>
      </c>
      <c r="N5" s="960">
        <f t="shared" si="0"/>
        <v>47299</v>
      </c>
      <c r="O5" s="960">
        <f t="shared" si="0"/>
        <v>47664</v>
      </c>
      <c r="P5" s="960">
        <f t="shared" si="0"/>
        <v>48029</v>
      </c>
      <c r="Q5" s="960">
        <f t="shared" si="0"/>
        <v>48395</v>
      </c>
    </row>
    <row r="6" spans="1:18">
      <c r="D6" s="872" t="s">
        <v>212</v>
      </c>
      <c r="E6" s="873" t="s">
        <v>16</v>
      </c>
      <c r="F6" s="874" t="s">
        <v>16</v>
      </c>
      <c r="G6" s="874" t="s">
        <v>16</v>
      </c>
      <c r="H6" s="874" t="s">
        <v>16</v>
      </c>
      <c r="I6" s="874" t="s">
        <v>16</v>
      </c>
      <c r="J6" s="874" t="s">
        <v>16</v>
      </c>
      <c r="K6" s="874" t="s">
        <v>17</v>
      </c>
      <c r="L6" s="875" t="s">
        <v>17</v>
      </c>
      <c r="M6" s="875" t="s">
        <v>17</v>
      </c>
      <c r="N6" s="875" t="s">
        <v>17</v>
      </c>
      <c r="O6" s="875" t="s">
        <v>17</v>
      </c>
      <c r="P6" s="875" t="s">
        <v>17</v>
      </c>
      <c r="Q6" s="875" t="s">
        <v>17</v>
      </c>
    </row>
    <row r="7" spans="1:18">
      <c r="F7" s="876"/>
      <c r="G7" s="876"/>
      <c r="H7" s="876"/>
      <c r="I7" s="876"/>
      <c r="J7" s="876"/>
      <c r="K7" s="876"/>
      <c r="L7" s="876"/>
      <c r="M7" s="876"/>
      <c r="N7" s="876"/>
      <c r="O7" s="876"/>
    </row>
    <row r="8" spans="1:18">
      <c r="B8" s="877"/>
      <c r="C8" s="877"/>
      <c r="D8" s="877"/>
      <c r="E8" s="877"/>
      <c r="F8" s="877"/>
      <c r="G8" s="877"/>
      <c r="H8" s="877"/>
      <c r="I8" s="877"/>
      <c r="J8" s="877"/>
      <c r="K8" s="877"/>
      <c r="L8" s="877"/>
      <c r="M8" s="877"/>
      <c r="N8" s="877"/>
      <c r="O8" s="877"/>
      <c r="P8" s="877"/>
      <c r="Q8" s="877"/>
    </row>
    <row r="10" spans="1:18">
      <c r="B10" s="871" t="s">
        <v>629</v>
      </c>
    </row>
    <row r="11" spans="1:18">
      <c r="B11" s="878" t="s">
        <v>44</v>
      </c>
      <c r="E11" s="879">
        <f>'CF Historical'!D11</f>
        <v>-350.65400000000022</v>
      </c>
      <c r="F11" s="879">
        <f>'CF Historical'!E11</f>
        <v>-696.31499999999994</v>
      </c>
      <c r="G11" s="879">
        <f>'CF Historical'!F11</f>
        <v>-614.12400000000036</v>
      </c>
      <c r="H11" s="879">
        <f>'CF Historical'!G11</f>
        <v>-486.76100000000019</v>
      </c>
      <c r="I11" s="879">
        <f>'CF Historical'!H11</f>
        <v>-300.51899999999932</v>
      </c>
      <c r="J11" s="879">
        <f>'CF Historical'!I11</f>
        <v>-256.68699999999984</v>
      </c>
      <c r="K11" s="879">
        <f>'CF Historical'!J11</f>
        <v>-53.830000000000851</v>
      </c>
      <c r="L11" s="879">
        <f>'IS Intergrated'!L41</f>
        <v>47.013799402574691</v>
      </c>
      <c r="M11" s="879">
        <f>'IS Intergrated'!M41</f>
        <v>183.61731821018725</v>
      </c>
      <c r="N11" s="879">
        <f>'IS Intergrated'!N41</f>
        <v>369.12218642247188</v>
      </c>
      <c r="O11" s="879">
        <f>'IS Intergrated'!O41</f>
        <v>805.5294981310451</v>
      </c>
      <c r="P11" s="879">
        <f>'IS Intergrated'!P41</f>
        <v>1385.994223106421</v>
      </c>
      <c r="Q11" s="879">
        <f>'IS Intergrated'!Q41</f>
        <v>2004.8774192613892</v>
      </c>
    </row>
    <row r="12" spans="1:18">
      <c r="B12" s="878" t="s">
        <v>630</v>
      </c>
      <c r="E12" s="879">
        <f>'CF Historical'!D12</f>
        <v>97.397999999999996</v>
      </c>
      <c r="F12" s="879">
        <f>'CF Historical'!E12</f>
        <v>92.847999999999999</v>
      </c>
      <c r="G12" s="879">
        <f>'CF Historical'!F12</f>
        <v>51.738999999999997</v>
      </c>
      <c r="H12" s="879">
        <f>'CF Historical'!G12</f>
        <v>60.923000000000002</v>
      </c>
      <c r="I12" s="879">
        <f>'CF Historical'!H12</f>
        <v>78.738</v>
      </c>
      <c r="J12" s="879">
        <f>'CF Historical'!I12</f>
        <v>92.375</v>
      </c>
      <c r="K12" s="879">
        <f>'CF Historical'!J12</f>
        <v>140.66800000000001</v>
      </c>
      <c r="L12" s="879">
        <f>'IS Intergrated'!L18</f>
        <v>139.14995208890153</v>
      </c>
      <c r="M12" s="879">
        <f>'IS Intergrated'!M18</f>
        <v>147.09922482564593</v>
      </c>
      <c r="N12" s="879">
        <f>'IS Intergrated'!N18</f>
        <v>156.5064889785109</v>
      </c>
      <c r="O12" s="879">
        <f>'IS Intergrated'!O18</f>
        <v>166.30224607159414</v>
      </c>
      <c r="P12" s="879">
        <f>'IS Intergrated'!P18</f>
        <v>99.556197047027197</v>
      </c>
      <c r="Q12" s="879">
        <f>'IS Intergrated'!Q18</f>
        <v>80.69079844161206</v>
      </c>
    </row>
    <row r="13" spans="1:18">
      <c r="B13" s="878" t="s">
        <v>631</v>
      </c>
      <c r="E13" s="879">
        <f>'CF Historical'!D13</f>
        <v>0</v>
      </c>
      <c r="F13" s="879">
        <f>'CF Historical'!E13</f>
        <v>0</v>
      </c>
      <c r="G13" s="879">
        <f>'CF Historical'!F13</f>
        <v>0</v>
      </c>
      <c r="H13" s="879">
        <f>'CF Historical'!G13</f>
        <v>0</v>
      </c>
      <c r="I13" s="879">
        <f>'CF Historical'!H13</f>
        <v>0.11899999999999999</v>
      </c>
      <c r="J13" s="879">
        <f>'CF Historical'!I13</f>
        <v>4.05</v>
      </c>
      <c r="K13" s="879">
        <f>'CF Historical'!J13</f>
        <v>-23.08</v>
      </c>
      <c r="L13" s="879">
        <f>-('BS Intergrated'!L34-'BS Intergrated'!K34)+('BS Intergrated'!L57-'BS Intergrated'!K57)</f>
        <v>0</v>
      </c>
      <c r="M13" s="879">
        <f>-('BS Intergrated'!M34-'BS Intergrated'!L34)+('BS Intergrated'!M57-'BS Intergrated'!L57)</f>
        <v>0</v>
      </c>
      <c r="N13" s="879">
        <f>-('BS Intergrated'!N34-'BS Intergrated'!M34)+('BS Intergrated'!N57-'BS Intergrated'!M57)</f>
        <v>0</v>
      </c>
      <c r="O13" s="879">
        <f>-('BS Intergrated'!O34-'BS Intergrated'!N34)+('BS Intergrated'!O57-'BS Intergrated'!N57)</f>
        <v>0</v>
      </c>
      <c r="P13" s="879">
        <f>-('BS Intergrated'!P34-'BS Intergrated'!O34)+('BS Intergrated'!P57-'BS Intergrated'!O57)</f>
        <v>0</v>
      </c>
      <c r="Q13" s="879">
        <f>-('BS Intergrated'!Q34-'BS Intergrated'!P34)+('BS Intergrated'!Q57-'BS Intergrated'!P57)</f>
        <v>0</v>
      </c>
    </row>
    <row r="14" spans="1:18">
      <c r="B14" s="878" t="s">
        <v>632</v>
      </c>
      <c r="E14" s="879">
        <f>'CF Historical'!D14</f>
        <v>673.75199999999995</v>
      </c>
      <c r="F14" s="879">
        <f>'CF Historical'!E14</f>
        <v>1091.6880000000001</v>
      </c>
      <c r="G14" s="879">
        <f>'CF Historical'!F14</f>
        <v>1035.578</v>
      </c>
      <c r="H14" s="879">
        <f>'CF Historical'!G14</f>
        <v>985.39300000000003</v>
      </c>
      <c r="I14" s="879">
        <f>'CF Historical'!H14</f>
        <v>1092.8320000000001</v>
      </c>
      <c r="J14" s="879">
        <f>'CF Historical'!I14</f>
        <v>1355.846</v>
      </c>
      <c r="K14" s="879">
        <f>'CF Historical'!J14</f>
        <v>1665.37</v>
      </c>
      <c r="L14" s="879">
        <f>'CF Assumptions'!F38</f>
        <v>1780.6478305064029</v>
      </c>
      <c r="M14" s="879">
        <f>'CF Assumptions'!G38</f>
        <v>2110.8475683603165</v>
      </c>
      <c r="N14" s="879">
        <f>'CF Assumptions'!H38</f>
        <v>2491.1490176216262</v>
      </c>
      <c r="O14" s="879">
        <f>'CF Assumptions'!I38</f>
        <v>2869.8170947735998</v>
      </c>
      <c r="P14" s="879">
        <f>'CF Assumptions'!J38</f>
        <v>3170.4552289247058</v>
      </c>
      <c r="Q14" s="879">
        <f>'CF Assumptions'!K38</f>
        <v>3411.3416119361054</v>
      </c>
      <c r="R14" s="872" t="s">
        <v>633</v>
      </c>
    </row>
    <row r="15" spans="1:18">
      <c r="E15" s="879"/>
      <c r="F15" s="879"/>
      <c r="G15" s="879"/>
      <c r="H15" s="879"/>
      <c r="I15" s="879"/>
      <c r="J15" s="879"/>
      <c r="K15" s="879"/>
    </row>
    <row r="16" spans="1:18">
      <c r="B16" s="880" t="s">
        <v>634</v>
      </c>
      <c r="C16" s="880"/>
      <c r="D16" s="880"/>
      <c r="E16" s="880">
        <f t="shared" ref="E16:Q16" si="1">SUM(E11:E14)</f>
        <v>420.49599999999975</v>
      </c>
      <c r="F16" s="880">
        <f t="shared" si="1"/>
        <v>488.22100000000012</v>
      </c>
      <c r="G16" s="880">
        <f t="shared" si="1"/>
        <v>473.19299999999964</v>
      </c>
      <c r="H16" s="880">
        <f t="shared" si="1"/>
        <v>559.55499999999984</v>
      </c>
      <c r="I16" s="880">
        <f t="shared" si="1"/>
        <v>871.17000000000075</v>
      </c>
      <c r="J16" s="880">
        <f t="shared" si="1"/>
        <v>1195.5840000000003</v>
      </c>
      <c r="K16" s="880">
        <f t="shared" si="1"/>
        <v>1729.127999999999</v>
      </c>
      <c r="L16" s="880">
        <f t="shared" si="1"/>
        <v>1966.8115819978791</v>
      </c>
      <c r="M16" s="880">
        <f t="shared" si="1"/>
        <v>2441.5641113961497</v>
      </c>
      <c r="N16" s="880">
        <f t="shared" si="1"/>
        <v>3016.7776930226091</v>
      </c>
      <c r="O16" s="880">
        <f t="shared" si="1"/>
        <v>3841.6488389762389</v>
      </c>
      <c r="P16" s="880">
        <f t="shared" si="1"/>
        <v>4656.0056490781535</v>
      </c>
      <c r="Q16" s="880">
        <f t="shared" si="1"/>
        <v>5496.9098296391066</v>
      </c>
    </row>
    <row r="17" spans="2:18">
      <c r="E17" s="879"/>
      <c r="F17" s="879"/>
      <c r="G17" s="879"/>
      <c r="H17" s="879"/>
      <c r="I17" s="879"/>
      <c r="J17" s="879"/>
      <c r="K17" s="879"/>
    </row>
    <row r="18" spans="2:18">
      <c r="B18" s="881" t="s">
        <v>635</v>
      </c>
      <c r="E18" s="872">
        <f>SUM(E19:E25)</f>
        <v>143.01900000000001</v>
      </c>
      <c r="F18" s="872">
        <f t="shared" ref="F18:Q18" si="2">SUM(F19:F25)</f>
        <v>233.50199999999998</v>
      </c>
      <c r="G18" s="872">
        <f t="shared" si="2"/>
        <v>253.23699999999999</v>
      </c>
      <c r="H18" s="872">
        <f t="shared" si="2"/>
        <v>308.55599999999998</v>
      </c>
      <c r="I18" s="872">
        <f t="shared" si="2"/>
        <v>576.98900000000003</v>
      </c>
      <c r="J18" s="872">
        <f t="shared" si="2"/>
        <v>264.80899999999997</v>
      </c>
      <c r="K18" s="872">
        <f t="shared" si="2"/>
        <v>-375.99900000000002</v>
      </c>
      <c r="L18" s="872">
        <f t="shared" si="2"/>
        <v>413.03206361353654</v>
      </c>
      <c r="M18" s="872">
        <f t="shared" si="2"/>
        <v>513.07419702147115</v>
      </c>
      <c r="N18" s="872">
        <f t="shared" si="2"/>
        <v>604.50731221113324</v>
      </c>
      <c r="O18" s="872">
        <f t="shared" si="2"/>
        <v>608.47899356606399</v>
      </c>
      <c r="P18" s="872">
        <f t="shared" si="2"/>
        <v>511.4331674067933</v>
      </c>
      <c r="Q18" s="872">
        <f t="shared" si="2"/>
        <v>437.97891882688862</v>
      </c>
    </row>
    <row r="19" spans="2:18">
      <c r="B19" s="878" t="s">
        <v>636</v>
      </c>
      <c r="E19" s="879">
        <f>'CF Historical'!D19</f>
        <v>-29.44</v>
      </c>
      <c r="F19" s="879">
        <f>'CF Historical'!E19</f>
        <v>-61.256</v>
      </c>
      <c r="G19" s="879">
        <f>'CF Historical'!F19</f>
        <v>-134.76400000000001</v>
      </c>
      <c r="H19" s="879">
        <f>'CF Historical'!G19</f>
        <v>-169.52600000000001</v>
      </c>
      <c r="I19" s="879">
        <f>'CF Historical'!H19</f>
        <v>-148.46899999999999</v>
      </c>
      <c r="J19" s="879">
        <f>'CF Historical'!I19</f>
        <v>-150.035</v>
      </c>
      <c r="K19" s="879">
        <f>'CF Historical'!J19</f>
        <v>-484.46499999999997</v>
      </c>
      <c r="L19" s="879">
        <f>'BS Intergrated'!K13-'BS Intergrated'!L13</f>
        <v>164.04688358650651</v>
      </c>
      <c r="M19" s="879">
        <f>'BS Intergrated'!L13-'BS Intergrated'!M13</f>
        <v>-233.43369168966615</v>
      </c>
      <c r="N19" s="879">
        <f>'BS Intergrated'!M13-'BS Intergrated'!N13</f>
        <v>-276.24821447533918</v>
      </c>
      <c r="O19" s="879">
        <f>'BS Intergrated'!N13-'BS Intergrated'!O13</f>
        <v>-287.65647083209205</v>
      </c>
      <c r="P19" s="879">
        <f>'BS Intergrated'!O13-'BS Intergrated'!P13</f>
        <v>-248.01885421693669</v>
      </c>
      <c r="Q19" s="879">
        <f>'BS Intergrated'!P13-'BS Intergrated'!Q13</f>
        <v>-218.2614233847853</v>
      </c>
    </row>
    <row r="20" spans="2:18">
      <c r="B20" s="878" t="s">
        <v>637</v>
      </c>
      <c r="E20" s="879">
        <f>'CF Historical'!D20</f>
        <v>0</v>
      </c>
      <c r="F20" s="879">
        <f>'CF Historical'!E20</f>
        <v>0</v>
      </c>
      <c r="G20" s="879">
        <f>'CF Historical'!F20</f>
        <v>93.25</v>
      </c>
      <c r="H20" s="879">
        <f>'CF Historical'!G20</f>
        <v>74.611000000000004</v>
      </c>
      <c r="I20" s="879">
        <f>'CF Historical'!H20</f>
        <v>158.12299999999999</v>
      </c>
      <c r="J20" s="879">
        <f>'CF Historical'!I20</f>
        <v>90.988</v>
      </c>
      <c r="K20" s="879">
        <f>'CF Historical'!J20</f>
        <v>69.076999999999998</v>
      </c>
      <c r="L20" s="879">
        <f>'BS Intergrated'!L52-'BS Intergrated'!K52</f>
        <v>-40.968093965570915</v>
      </c>
      <c r="M20" s="879">
        <f>'BS Intergrated'!M52-'BS Intergrated'!L52</f>
        <v>131.27557997096289</v>
      </c>
      <c r="N20" s="879">
        <f>'BS Intergrated'!N52-'BS Intergrated'!M52</f>
        <v>150.43536265251817</v>
      </c>
      <c r="O20" s="879">
        <f>'BS Intergrated'!O52-'BS Intergrated'!N52</f>
        <v>117.99431014021195</v>
      </c>
      <c r="P20" s="879">
        <f>'BS Intergrated'!P52-'BS Intergrated'!O52</f>
        <v>77.429446151517141</v>
      </c>
      <c r="Q20" s="879">
        <f>'BS Intergrated'!Q52-'BS Intergrated'!P52</f>
        <v>45.874176592393042</v>
      </c>
    </row>
    <row r="21" spans="2:18">
      <c r="B21" s="878" t="s">
        <v>609</v>
      </c>
      <c r="E21" s="879">
        <f>'CF Historical'!D21</f>
        <v>51.531999999999996</v>
      </c>
      <c r="F21" s="879">
        <f>'CF Historical'!E21</f>
        <v>10.441000000000001</v>
      </c>
      <c r="G21" s="879">
        <f>'CF Historical'!F21</f>
        <v>31.741</v>
      </c>
      <c r="H21" s="879">
        <f>'CF Historical'!G21</f>
        <v>78.902000000000001</v>
      </c>
      <c r="I21" s="879">
        <f>'CF Historical'!H21</f>
        <v>18.149999999999999</v>
      </c>
      <c r="J21" s="879">
        <f>'CF Historical'!I21</f>
        <v>42.872999999999998</v>
      </c>
      <c r="K21" s="879">
        <f>'CF Historical'!J21</f>
        <v>41.906999999999996</v>
      </c>
      <c r="L21" s="879">
        <f>'BS Intergrated'!L47-'BS Intergrated'!K47</f>
        <v>41.611463202667551</v>
      </c>
      <c r="M21" s="879">
        <f>'BS Intergrated'!M47-'BS Intergrated'!L47</f>
        <v>64.214936556156772</v>
      </c>
      <c r="N21" s="879">
        <f>'BS Intergrated'!N47-'BS Intergrated'!M47</f>
        <v>75.992721692756447</v>
      </c>
      <c r="O21" s="879">
        <f>'BS Intergrated'!O47-'BS Intergrated'!N47</f>
        <v>79.131002430479498</v>
      </c>
      <c r="P21" s="879">
        <f>'BS Intergrated'!P47-'BS Intergrated'!O47</f>
        <v>68.227147816539173</v>
      </c>
      <c r="Q21" s="879">
        <f>'BS Intergrated'!Q47-'BS Intergrated'!P47</f>
        <v>60.041219216732884</v>
      </c>
    </row>
    <row r="22" spans="2:18">
      <c r="B22" s="878" t="s">
        <v>638</v>
      </c>
      <c r="E22" s="879">
        <f>'CF Historical'!D22</f>
        <v>-10.608000000000001</v>
      </c>
      <c r="F22" s="879">
        <f>'CF Historical'!E22</f>
        <v>-10.054</v>
      </c>
      <c r="G22" s="879">
        <f>'CF Historical'!F22</f>
        <v>-21.927</v>
      </c>
      <c r="H22" s="879">
        <f>'CF Historical'!G22</f>
        <v>-38.229999999999997</v>
      </c>
      <c r="I22" s="879">
        <f>'CF Historical'!H22</f>
        <v>-3.1219999999999999</v>
      </c>
      <c r="J22" s="879">
        <f>'CF Historical'!I22</f>
        <v>-85.385000000000005</v>
      </c>
      <c r="K22" s="879">
        <f>'CF Historical'!J22</f>
        <v>-155.83199999999999</v>
      </c>
      <c r="L22" s="872">
        <f>-('BS Intergrated'!L16-'BS Intergrated'!K16)</f>
        <v>-42.956924613919455</v>
      </c>
      <c r="M22" s="872">
        <f>-('BS Intergrated'!M16-'BS Intergrated'!L16)</f>
        <v>-59.979945094619666</v>
      </c>
      <c r="N22" s="872">
        <f>-('BS Intergrated'!N16-'BS Intergrated'!M16)</f>
        <v>-68.734069155764303</v>
      </c>
      <c r="O22" s="872">
        <f>-('BS Intergrated'!O16-'BS Intergrated'!N16)</f>
        <v>-53.911719493091312</v>
      </c>
      <c r="P22" s="872">
        <f>-('BS Intergrated'!P16-'BS Intergrated'!O16)</f>
        <v>-35.377592160720724</v>
      </c>
      <c r="Q22" s="872">
        <f>-('BS Intergrated'!Q16-'BS Intergrated'!P16)</f>
        <v>-20.959957624115987</v>
      </c>
    </row>
    <row r="23" spans="2:18">
      <c r="B23" s="878" t="s">
        <v>639</v>
      </c>
      <c r="E23" s="872">
        <v>131.535</v>
      </c>
      <c r="F23" s="872">
        <v>294.37099999999998</v>
      </c>
      <c r="G23" s="872">
        <v>284.93700000000001</v>
      </c>
      <c r="H23" s="872">
        <v>362.79899999999998</v>
      </c>
      <c r="I23" s="872">
        <v>552.30700000000002</v>
      </c>
      <c r="J23" s="872">
        <v>366.36799999999999</v>
      </c>
      <c r="K23" s="872">
        <v>153.31399999999999</v>
      </c>
      <c r="L23" s="872">
        <f>('BS Intergrated'!L50+'BS Intergrated'!L56)-('BS Intergrated'!K50+'BS Intergrated'!K56)</f>
        <v>337.09085382394369</v>
      </c>
      <c r="M23" s="872">
        <f>('BS Intergrated'!M50+'BS Intergrated'!M56)-('BS Intergrated'!L50+'BS Intergrated'!L56)</f>
        <v>632.98367395086598</v>
      </c>
      <c r="N23" s="872">
        <f>('BS Intergrated'!N50+'BS Intergrated'!N56)-('BS Intergrated'!M50+'BS Intergrated'!M56)</f>
        <v>749.08042817329033</v>
      </c>
      <c r="O23" s="872">
        <f>('BS Intergrated'!O50+'BS Intergrated'!O56)-('BS Intergrated'!N50+'BS Intergrated'!N56)</f>
        <v>780.0152943864814</v>
      </c>
      <c r="P23" s="872">
        <f>('BS Intergrated'!P50+'BS Intergrated'!P56)-('BS Intergrated'!O50+'BS Intergrated'!O56)</f>
        <v>672.53310528983366</v>
      </c>
      <c r="Q23" s="872">
        <f>('BS Intergrated'!Q50+'BS Intergrated'!Q56)-('BS Intergrated'!P50+'BS Intergrated'!P56)</f>
        <v>591.84223432286581</v>
      </c>
    </row>
    <row r="24" spans="2:18">
      <c r="B24" s="878" t="s">
        <v>603</v>
      </c>
      <c r="E24" s="872" t="s">
        <v>269</v>
      </c>
      <c r="F24" s="872" t="s">
        <v>269</v>
      </c>
      <c r="G24" s="872" t="s">
        <v>269</v>
      </c>
      <c r="H24" s="872" t="s">
        <v>269</v>
      </c>
      <c r="I24" s="872" t="s">
        <v>269</v>
      </c>
      <c r="J24" s="872" t="s">
        <v>269</v>
      </c>
      <c r="K24" s="872" t="s">
        <v>269</v>
      </c>
      <c r="L24" s="872">
        <f>-('BS Intergrated'!L38-'BS Intergrated'!K38)</f>
        <v>-55.989991042614633</v>
      </c>
      <c r="M24" s="872">
        <f>-('BS Intergrated'!M38-'BS Intergrated'!L38)</f>
        <v>-44.285482416923287</v>
      </c>
      <c r="N24" s="872">
        <f>-('BS Intergrated'!N38-'BS Intergrated'!M38)</f>
        <v>-52.407968002828198</v>
      </c>
      <c r="O24" s="872">
        <f>-('BS Intergrated'!O38-'BS Intergrated'!N38)</f>
        <v>-54.572266278016286</v>
      </c>
      <c r="P24" s="872">
        <f>-('BS Intergrated'!P38-'BS Intergrated'!O38)</f>
        <v>-47.05248213309153</v>
      </c>
      <c r="Q24" s="872">
        <f>-('BS Intergrated'!Q38-'BS Intergrated'!P38)</f>
        <v>-41.407100910050247</v>
      </c>
    </row>
    <row r="25" spans="2:18">
      <c r="B25" s="878" t="s">
        <v>620</v>
      </c>
      <c r="E25" s="872" t="s">
        <v>269</v>
      </c>
      <c r="F25" s="872" t="s">
        <v>269</v>
      </c>
      <c r="G25" s="872" t="s">
        <v>269</v>
      </c>
      <c r="H25" s="872" t="s">
        <v>269</v>
      </c>
      <c r="I25" s="872" t="s">
        <v>269</v>
      </c>
      <c r="J25" s="872" t="s">
        <v>269</v>
      </c>
      <c r="K25" s="872" t="s">
        <v>269</v>
      </c>
      <c r="L25" s="872">
        <f>('BS Intergrated'!L61-'BS Intergrated'!K61)</f>
        <v>10.197872622523789</v>
      </c>
      <c r="M25" s="872">
        <f>('BS Intergrated'!M61-'BS Intergrated'!L61)</f>
        <v>22.299125744694607</v>
      </c>
      <c r="N25" s="872">
        <f>('BS Intergrated'!N61-'BS Intergrated'!M61)</f>
        <v>26.389051326499896</v>
      </c>
      <c r="O25" s="872">
        <f>('BS Intergrated'!O61-'BS Intergrated'!N61)</f>
        <v>27.478843212090879</v>
      </c>
      <c r="P25" s="872">
        <f>('BS Intergrated'!P61-'BS Intergrated'!O61)</f>
        <v>23.692396659652275</v>
      </c>
      <c r="Q25" s="872">
        <f>('BS Intergrated'!Q61-'BS Intergrated'!P61)</f>
        <v>20.849770613848449</v>
      </c>
      <c r="R25" s="872" t="s">
        <v>640</v>
      </c>
    </row>
    <row r="26" spans="2:18">
      <c r="B26" s="878"/>
    </row>
    <row r="27" spans="2:18">
      <c r="B27" s="880" t="s">
        <v>641</v>
      </c>
      <c r="C27" s="880"/>
      <c r="D27" s="880"/>
      <c r="E27" s="880">
        <f t="shared" ref="E27:Q27" si="3">SUM(E16,E18)</f>
        <v>563.51499999999976</v>
      </c>
      <c r="F27" s="880">
        <f t="shared" si="3"/>
        <v>721.72300000000007</v>
      </c>
      <c r="G27" s="880">
        <f t="shared" si="3"/>
        <v>726.42999999999961</v>
      </c>
      <c r="H27" s="880">
        <f t="shared" si="3"/>
        <v>868.11099999999988</v>
      </c>
      <c r="I27" s="880">
        <f t="shared" si="3"/>
        <v>1448.1590000000008</v>
      </c>
      <c r="J27" s="880">
        <f t="shared" si="3"/>
        <v>1460.3930000000003</v>
      </c>
      <c r="K27" s="880">
        <f t="shared" si="3"/>
        <v>1353.128999999999</v>
      </c>
      <c r="L27" s="880">
        <f t="shared" si="3"/>
        <v>2379.8436456114155</v>
      </c>
      <c r="M27" s="880">
        <f t="shared" si="3"/>
        <v>2954.6383084176209</v>
      </c>
      <c r="N27" s="880">
        <f t="shared" si="3"/>
        <v>3621.2850052337426</v>
      </c>
      <c r="O27" s="880">
        <f t="shared" si="3"/>
        <v>4450.1278325423027</v>
      </c>
      <c r="P27" s="880">
        <f t="shared" si="3"/>
        <v>5167.438816484947</v>
      </c>
      <c r="Q27" s="880">
        <f t="shared" si="3"/>
        <v>5934.8887484659954</v>
      </c>
    </row>
    <row r="28" spans="2:18">
      <c r="E28" s="879"/>
      <c r="F28" s="879"/>
      <c r="G28" s="879"/>
      <c r="H28" s="879"/>
      <c r="I28" s="879"/>
      <c r="J28" s="879"/>
      <c r="K28" s="879"/>
    </row>
    <row r="29" spans="2:18">
      <c r="B29" s="871" t="s">
        <v>642</v>
      </c>
      <c r="E29" s="879"/>
      <c r="F29" s="879"/>
      <c r="G29" s="879"/>
      <c r="H29" s="879"/>
      <c r="I29" s="879"/>
      <c r="J29" s="879"/>
      <c r="K29" s="879"/>
      <c r="L29" s="879"/>
      <c r="M29" s="879"/>
      <c r="N29" s="879"/>
      <c r="O29" s="879"/>
      <c r="P29" s="879"/>
      <c r="Q29" s="879"/>
    </row>
    <row r="30" spans="2:18">
      <c r="B30" s="878" t="s">
        <v>643</v>
      </c>
      <c r="E30" s="879">
        <f>'CF Historical'!D28</f>
        <v>-35.709000000000003</v>
      </c>
      <c r="F30" s="879">
        <f>'CF Historical'!E28</f>
        <v>-33.32</v>
      </c>
      <c r="G30" s="879">
        <f>'CF Historical'!F28</f>
        <v>-74.600999999999999</v>
      </c>
      <c r="H30" s="879">
        <f>'CF Historical'!G28</f>
        <v>-25.812000000000001</v>
      </c>
      <c r="I30" s="879">
        <f>'CF Historical'!H28</f>
        <v>-33.112000000000002</v>
      </c>
      <c r="J30" s="879">
        <f>'CF Historical'!I28</f>
        <v>-44.85</v>
      </c>
      <c r="K30" s="879">
        <f>'CF Historical'!J28</f>
        <v>-34.06</v>
      </c>
      <c r="L30" s="879">
        <f>-('BS Intergrated'!L21-'BS Intergrated'!K21)</f>
        <v>-58.709653334215091</v>
      </c>
      <c r="M30" s="879">
        <f>-('BS Intergrated'!M21-'BS Intergrated'!L21)</f>
        <v>-63.621207898506043</v>
      </c>
      <c r="N30" s="879">
        <f>-('BS Intergrated'!N21-'BS Intergrated'!M21)</f>
        <v>-75.290096118994313</v>
      </c>
      <c r="O30" s="879">
        <f>-('BS Intergrated'!O21-'BS Intergrated'!N21)</f>
        <v>-78.399360442318084</v>
      </c>
      <c r="P30" s="879">
        <f>-('BS Intergrated'!P21-'BS Intergrated'!O21)</f>
        <v>-67.596322418883801</v>
      </c>
      <c r="Q30" s="879">
        <f>-('BS Intergrated'!Q21-'BS Intergrated'!P21)</f>
        <v>-59.486080577639314</v>
      </c>
    </row>
    <row r="31" spans="2:18">
      <c r="B31" s="878" t="s">
        <v>644</v>
      </c>
      <c r="E31" s="879">
        <f>'CF Historical'!D29</f>
        <v>-53.972000000000001</v>
      </c>
      <c r="F31" s="879">
        <f>'CF Historical'!E29</f>
        <v>-91.769000000000005</v>
      </c>
      <c r="G31" s="879">
        <f>'CF Historical'!F29</f>
        <v>-19.411000000000001</v>
      </c>
      <c r="H31" s="879">
        <f>'CF Historical'!G29</f>
        <v>-5.7750000000000004</v>
      </c>
      <c r="I31" s="879">
        <f>'CF Historical'!H29</f>
        <v>-847.76700000000005</v>
      </c>
      <c r="J31" s="879">
        <f>'CF Historical'!I29</f>
        <v>-14.244999999999999</v>
      </c>
      <c r="K31" s="879">
        <f>'CF Historical'!J29</f>
        <v>-1228.875</v>
      </c>
      <c r="L31" s="879">
        <f>-('BS Assumptions'!E199*'IS Intergrated'!L10)</f>
        <v>-489.80612158289568</v>
      </c>
      <c r="M31" s="879">
        <f>-('BS Assumptions'!F199*'IS Intergrated'!M10)</f>
        <v>-684.51429120993896</v>
      </c>
      <c r="N31" s="879">
        <f>-('BS Assumptions'!G199*'IS Intergrated'!N10)</f>
        <v>-935.85597745621567</v>
      </c>
      <c r="O31" s="879">
        <f>-('BS Assumptions'!H199*'IS Intergrated'!O10)</f>
        <v>-1232.2548074131469</v>
      </c>
      <c r="P31" s="879">
        <f>-('BS Assumptions'!I199*'IS Intergrated'!P10)</f>
        <v>-1539.5141360634375</v>
      </c>
      <c r="Q31" s="879">
        <f>-('BS Assumptions'!J199*'IS Intergrated'!Q10)</f>
        <v>-1857.270394608875</v>
      </c>
    </row>
    <row r="32" spans="2:18">
      <c r="B32" s="878" t="s">
        <v>645</v>
      </c>
      <c r="E32" s="879">
        <f>'CF Historical'!D30</f>
        <v>-229.25</v>
      </c>
      <c r="F32" s="879">
        <f>'CF Historical'!E30</f>
        <v>381.733</v>
      </c>
      <c r="G32" s="879">
        <f>'CF Historical'!F30</f>
        <v>130.52799999999999</v>
      </c>
      <c r="H32" s="879">
        <f>'CF Historical'!G30</f>
        <v>30.329000000000001</v>
      </c>
      <c r="I32" s="879">
        <f>'CF Historical'!H30</f>
        <v>-82.867000000000004</v>
      </c>
      <c r="J32" s="879">
        <f>'CF Historical'!I30</f>
        <v>-283.22699999999998</v>
      </c>
      <c r="K32" s="879">
        <f>'CF Historical'!J30</f>
        <v>456.04199999999997</v>
      </c>
      <c r="L32" s="879">
        <f>'Additional Assumptions'!F19</f>
        <v>0</v>
      </c>
      <c r="M32" s="879">
        <f>'Additional Assumptions'!G19</f>
        <v>0</v>
      </c>
      <c r="N32" s="879">
        <f>'Additional Assumptions'!H19</f>
        <v>0</v>
      </c>
      <c r="O32" s="879">
        <f>'Additional Assumptions'!I19</f>
        <v>0</v>
      </c>
      <c r="P32" s="879">
        <f>'Additional Assumptions'!J19</f>
        <v>0</v>
      </c>
      <c r="Q32" s="879">
        <f>'Additional Assumptions'!K19</f>
        <v>0</v>
      </c>
      <c r="R32" s="872" t="s">
        <v>646</v>
      </c>
    </row>
    <row r="33" spans="2:17">
      <c r="E33" s="879"/>
      <c r="F33" s="879"/>
      <c r="G33" s="879"/>
      <c r="H33" s="879"/>
      <c r="I33" s="879"/>
      <c r="J33" s="879"/>
      <c r="K33" s="879"/>
    </row>
    <row r="34" spans="2:17">
      <c r="B34" s="880" t="s">
        <v>647</v>
      </c>
      <c r="C34" s="880"/>
      <c r="D34" s="880"/>
      <c r="E34" s="880">
        <f t="shared" ref="E34:Q34" si="4">SUM(E30:E32)</f>
        <v>-318.93100000000004</v>
      </c>
      <c r="F34" s="880">
        <f t="shared" si="4"/>
        <v>256.64400000000001</v>
      </c>
      <c r="G34" s="880">
        <f t="shared" si="4"/>
        <v>36.515999999999991</v>
      </c>
      <c r="H34" s="880">
        <f t="shared" si="4"/>
        <v>-1.2580000000000027</v>
      </c>
      <c r="I34" s="880">
        <f t="shared" si="4"/>
        <v>-963.74599999999998</v>
      </c>
      <c r="J34" s="880">
        <f t="shared" si="4"/>
        <v>-342.322</v>
      </c>
      <c r="K34" s="880">
        <f t="shared" si="4"/>
        <v>-806.89300000000003</v>
      </c>
      <c r="L34" s="880">
        <f t="shared" si="4"/>
        <v>-548.51577491711078</v>
      </c>
      <c r="M34" s="880">
        <f t="shared" si="4"/>
        <v>-748.13549910844495</v>
      </c>
      <c r="N34" s="880">
        <f t="shared" si="4"/>
        <v>-1011.14607357521</v>
      </c>
      <c r="O34" s="880">
        <f t="shared" si="4"/>
        <v>-1310.6541678554649</v>
      </c>
      <c r="P34" s="880">
        <f t="shared" si="4"/>
        <v>-1607.1104584823213</v>
      </c>
      <c r="Q34" s="880">
        <f t="shared" si="4"/>
        <v>-1916.7564751865143</v>
      </c>
    </row>
    <row r="35" spans="2:17">
      <c r="E35" s="879"/>
      <c r="F35" s="879"/>
      <c r="G35" s="879"/>
      <c r="H35" s="879"/>
      <c r="I35" s="879"/>
      <c r="J35" s="879"/>
      <c r="K35" s="879"/>
    </row>
    <row r="36" spans="2:17">
      <c r="B36" s="871" t="s">
        <v>648</v>
      </c>
      <c r="E36" s="879"/>
      <c r="F36" s="879"/>
      <c r="G36" s="879"/>
      <c r="H36" s="879"/>
      <c r="I36" s="879"/>
      <c r="J36" s="879"/>
      <c r="K36" s="879"/>
    </row>
    <row r="37" spans="2:17">
      <c r="B37" s="878" t="s">
        <v>649</v>
      </c>
      <c r="E37" s="879">
        <f>'CF Historical'!D35</f>
        <v>1.802</v>
      </c>
      <c r="F37" s="879">
        <f>'CF Historical'!E35</f>
        <v>1.163</v>
      </c>
      <c r="G37" s="879">
        <f>'CF Historical'!F35</f>
        <v>0</v>
      </c>
      <c r="H37" s="879">
        <f>'CF Historical'!G35</f>
        <v>-150.006</v>
      </c>
      <c r="I37" s="879">
        <f>'CF Historical'!H35</f>
        <v>-395.25599999999997</v>
      </c>
      <c r="J37" s="879">
        <f>'CF Historical'!I35</f>
        <v>-779.43899999999996</v>
      </c>
      <c r="K37" s="879">
        <f>'CF Historical'!J35</f>
        <v>-1800.4849999999999</v>
      </c>
      <c r="L37" s="879">
        <f>'CF Assumptions'!F18</f>
        <v>-1780.6478305064029</v>
      </c>
      <c r="M37" s="879">
        <f>'CF Assumptions'!G18</f>
        <v>-2110.8475683603165</v>
      </c>
      <c r="N37" s="879">
        <f>'CF Assumptions'!H18</f>
        <v>-2491.1490176216262</v>
      </c>
      <c r="O37" s="879">
        <f>'CF Assumptions'!I18</f>
        <v>-2869.8170947735998</v>
      </c>
      <c r="P37" s="879">
        <f>'CF Assumptions'!J18</f>
        <v>-3170.4552289247058</v>
      </c>
      <c r="Q37" s="879">
        <f>'CF Assumptions'!K18</f>
        <v>-3411.3416119361054</v>
      </c>
    </row>
    <row r="38" spans="2:17">
      <c r="B38" s="878" t="s">
        <v>650</v>
      </c>
      <c r="E38" s="879">
        <f>'CF Historical'!D36</f>
        <v>-2E-3</v>
      </c>
      <c r="F38" s="879">
        <f>'CF Historical'!E36</f>
        <v>-1803.2439999999999</v>
      </c>
      <c r="G38" s="879">
        <f>'CF Historical'!F36</f>
        <v>-548.68600000000004</v>
      </c>
      <c r="H38" s="879">
        <f>'CF Historical'!G36</f>
        <v>0</v>
      </c>
      <c r="I38" s="879">
        <f>'CF Historical'!H36</f>
        <v>-12.961</v>
      </c>
      <c r="J38" s="879">
        <f>'CF Historical'!I36</f>
        <v>0</v>
      </c>
      <c r="K38" s="879">
        <f>'CF Historical'!J36</f>
        <v>0.22199999999997289</v>
      </c>
      <c r="L38" s="872">
        <v>0</v>
      </c>
      <c r="M38" s="872">
        <v>0</v>
      </c>
      <c r="N38" s="872">
        <v>0</v>
      </c>
      <c r="O38" s="872">
        <v>0</v>
      </c>
      <c r="P38" s="872">
        <v>0</v>
      </c>
      <c r="Q38" s="872">
        <v>0</v>
      </c>
    </row>
    <row r="39" spans="2:17">
      <c r="B39" s="882" t="s">
        <v>651</v>
      </c>
      <c r="E39" s="879">
        <f>'CF Historical'!D37</f>
        <v>-2E-3</v>
      </c>
      <c r="F39" s="879">
        <f>'CF Historical'!E37</f>
        <v>-1803.2439999999999</v>
      </c>
      <c r="G39" s="879">
        <f>'CF Historical'!F37</f>
        <v>0</v>
      </c>
      <c r="H39" s="879">
        <f>'CF Historical'!G37</f>
        <v>0</v>
      </c>
      <c r="I39" s="879">
        <f>'CF Historical'!H37</f>
        <v>0</v>
      </c>
      <c r="J39" s="879">
        <f>'CF Historical'!I37</f>
        <v>0</v>
      </c>
      <c r="K39" s="879">
        <f>'CF Historical'!J37</f>
        <v>-1.6540000000000035</v>
      </c>
      <c r="L39" s="872">
        <v>0</v>
      </c>
      <c r="M39" s="872">
        <v>0</v>
      </c>
      <c r="N39" s="872">
        <v>0</v>
      </c>
      <c r="O39" s="872">
        <v>0</v>
      </c>
      <c r="P39" s="872">
        <v>0</v>
      </c>
      <c r="Q39" s="872">
        <v>0</v>
      </c>
    </row>
    <row r="40" spans="2:17">
      <c r="B40" s="882" t="s">
        <v>652</v>
      </c>
      <c r="E40" s="879">
        <f>'CF Historical'!D38</f>
        <v>0</v>
      </c>
      <c r="F40" s="879">
        <f>'CF Historical'!E38</f>
        <v>0</v>
      </c>
      <c r="G40" s="879">
        <f>'CF Historical'!F38</f>
        <v>-548.68600000000004</v>
      </c>
      <c r="H40" s="879">
        <f>'CF Historical'!G38</f>
        <v>0</v>
      </c>
      <c r="I40" s="879">
        <f>'CF Historical'!H38</f>
        <v>-12.961</v>
      </c>
      <c r="J40" s="879">
        <f>'CF Historical'!I38</f>
        <v>0</v>
      </c>
      <c r="K40" s="879">
        <f>'CF Historical'!J38</f>
        <v>1.8759999999999764</v>
      </c>
      <c r="L40" s="872">
        <v>0</v>
      </c>
      <c r="M40" s="872">
        <v>0</v>
      </c>
      <c r="N40" s="872">
        <v>0</v>
      </c>
      <c r="O40" s="872">
        <v>0</v>
      </c>
      <c r="P40" s="872">
        <v>0</v>
      </c>
      <c r="Q40" s="872">
        <v>0</v>
      </c>
    </row>
    <row r="41" spans="2:17">
      <c r="B41" s="883" t="s">
        <v>653</v>
      </c>
      <c r="E41" s="879">
        <f>'CF Historical'!D39</f>
        <v>0</v>
      </c>
      <c r="F41" s="879">
        <f>'CF Historical'!E39</f>
        <v>0</v>
      </c>
      <c r="G41" s="879">
        <f>'CF Historical'!F39</f>
        <v>1000</v>
      </c>
      <c r="H41" s="879">
        <f>'CF Historical'!G39</f>
        <v>0</v>
      </c>
      <c r="I41" s="879">
        <f>'CF Historical'!H39</f>
        <v>987.03899999999999</v>
      </c>
      <c r="J41" s="879">
        <f>'CF Historical'!I39</f>
        <v>0</v>
      </c>
      <c r="K41" s="879">
        <f>'CF Historical'!J39</f>
        <v>1.8759999999999764</v>
      </c>
      <c r="L41" s="872">
        <v>0</v>
      </c>
      <c r="M41" s="872">
        <v>0</v>
      </c>
      <c r="N41" s="872">
        <v>0</v>
      </c>
      <c r="O41" s="872">
        <v>0</v>
      </c>
      <c r="P41" s="872">
        <v>0</v>
      </c>
      <c r="Q41" s="872">
        <v>0</v>
      </c>
    </row>
    <row r="42" spans="2:17">
      <c r="B42" s="883" t="s">
        <v>654</v>
      </c>
      <c r="E42" s="879">
        <f>'CF Historical'!D40</f>
        <v>0</v>
      </c>
      <c r="F42" s="879">
        <f>'CF Historical'!E40</f>
        <v>0</v>
      </c>
      <c r="G42" s="879">
        <f>'CF Historical'!F40</f>
        <v>-1548.6859999999999</v>
      </c>
      <c r="H42" s="879">
        <f>'CF Historical'!G40</f>
        <v>0</v>
      </c>
      <c r="I42" s="879">
        <f>'CF Historical'!H40</f>
        <v>-1000</v>
      </c>
      <c r="J42" s="879">
        <f>'CF Historical'!I40</f>
        <v>0</v>
      </c>
      <c r="K42" s="879">
        <f>'CF Historical'!J40</f>
        <v>0</v>
      </c>
      <c r="L42" s="872">
        <v>0</v>
      </c>
      <c r="M42" s="872">
        <v>0</v>
      </c>
      <c r="N42" s="872">
        <v>0</v>
      </c>
      <c r="O42" s="872">
        <f>'BS Assumptions'!I214-'BS Assumptions'!H214</f>
        <v>0</v>
      </c>
      <c r="P42" s="872">
        <f>'BS Assumptions'!J214-'BS Assumptions'!I214</f>
        <v>0</v>
      </c>
      <c r="Q42" s="872">
        <f>'BS Assumptions'!K214-'BS Assumptions'!J214</f>
        <v>0</v>
      </c>
    </row>
    <row r="43" spans="2:17">
      <c r="B43" s="878" t="s">
        <v>655</v>
      </c>
      <c r="E43" s="872">
        <v>-38.125</v>
      </c>
      <c r="F43" s="872">
        <v>-44.874000000000002</v>
      </c>
      <c r="K43" s="879"/>
      <c r="L43" s="879"/>
      <c r="M43" s="879"/>
      <c r="N43" s="879"/>
      <c r="O43" s="879"/>
      <c r="P43" s="879"/>
      <c r="Q43" s="879"/>
    </row>
    <row r="44" spans="2:17">
      <c r="B44" s="878" t="s">
        <v>632</v>
      </c>
      <c r="E44" s="872">
        <v>0</v>
      </c>
      <c r="F44" s="872">
        <v>203.09299999999999</v>
      </c>
      <c r="G44" s="872">
        <v>149.40600000000001</v>
      </c>
      <c r="H44" s="872">
        <v>1.585</v>
      </c>
      <c r="I44" s="872">
        <v>0</v>
      </c>
      <c r="J44" s="872">
        <v>-3.1429999999999998</v>
      </c>
      <c r="K44" s="872">
        <v>0</v>
      </c>
      <c r="L44" s="879"/>
      <c r="M44" s="879"/>
      <c r="N44" s="879"/>
      <c r="O44" s="879"/>
      <c r="P44" s="879"/>
      <c r="Q44" s="879"/>
    </row>
    <row r="45" spans="2:17">
      <c r="B45" s="878" t="s">
        <v>656</v>
      </c>
      <c r="E45" s="872">
        <v>-1.18</v>
      </c>
      <c r="F45" s="872">
        <v>5.41</v>
      </c>
      <c r="G45" s="872">
        <v>-9.19</v>
      </c>
      <c r="H45" s="872">
        <v>-1.81</v>
      </c>
      <c r="I45" s="872">
        <v>-1.99</v>
      </c>
      <c r="J45" s="872">
        <v>0.15</v>
      </c>
      <c r="K45" s="872">
        <v>-10.233000000000001</v>
      </c>
    </row>
    <row r="46" spans="2:17">
      <c r="B46" s="878"/>
    </row>
    <row r="47" spans="2:17">
      <c r="B47" s="880" t="s">
        <v>657</v>
      </c>
      <c r="C47" s="880"/>
      <c r="D47" s="880"/>
      <c r="E47" s="880">
        <f>E37+E38+E43+E44</f>
        <v>-36.325000000000003</v>
      </c>
      <c r="F47" s="880">
        <f t="shared" ref="F47:K47" si="5">F37+F38+F43+F44</f>
        <v>-1643.8619999999999</v>
      </c>
      <c r="G47" s="880">
        <f t="shared" si="5"/>
        <v>-399.28000000000003</v>
      </c>
      <c r="H47" s="880">
        <f t="shared" si="5"/>
        <v>-148.42099999999999</v>
      </c>
      <c r="I47" s="880">
        <f t="shared" si="5"/>
        <v>-408.21699999999998</v>
      </c>
      <c r="J47" s="880">
        <f t="shared" si="5"/>
        <v>-782.58199999999999</v>
      </c>
      <c r="K47" s="880">
        <f t="shared" si="5"/>
        <v>-1800.2629999999999</v>
      </c>
      <c r="L47" s="880">
        <f t="shared" ref="L47:Q47" si="6">L37+L38+L43</f>
        <v>-1780.6478305064029</v>
      </c>
      <c r="M47" s="880">
        <f t="shared" si="6"/>
        <v>-2110.8475683603165</v>
      </c>
      <c r="N47" s="880">
        <f t="shared" si="6"/>
        <v>-2491.1490176216262</v>
      </c>
      <c r="O47" s="880">
        <f t="shared" si="6"/>
        <v>-2869.8170947735998</v>
      </c>
      <c r="P47" s="880">
        <f t="shared" si="6"/>
        <v>-3170.4552289247058</v>
      </c>
      <c r="Q47" s="880">
        <f t="shared" si="6"/>
        <v>-3411.3416119361054</v>
      </c>
    </row>
    <row r="48" spans="2:17">
      <c r="F48" s="884"/>
      <c r="G48" s="884"/>
      <c r="H48" s="884"/>
      <c r="I48" s="884"/>
      <c r="J48" s="884"/>
    </row>
    <row r="49" spans="2:18">
      <c r="B49" s="880" t="s">
        <v>658</v>
      </c>
      <c r="C49" s="880"/>
      <c r="D49" s="880"/>
      <c r="E49" s="880">
        <f>SUM(E27,E34,E47,E45)</f>
        <v>207.07899999999972</v>
      </c>
      <c r="F49" s="880">
        <f t="shared" ref="F49:K49" si="7">SUM(F27,F34,F47,F45)</f>
        <v>-660.08499999999981</v>
      </c>
      <c r="G49" s="880">
        <f t="shared" si="7"/>
        <v>354.47599999999954</v>
      </c>
      <c r="H49" s="880">
        <f t="shared" si="7"/>
        <v>716.62199999999984</v>
      </c>
      <c r="I49" s="880">
        <f t="shared" si="7"/>
        <v>74.206000000000827</v>
      </c>
      <c r="J49" s="880">
        <f t="shared" si="7"/>
        <v>335.63900000000035</v>
      </c>
      <c r="K49" s="880">
        <f t="shared" si="7"/>
        <v>-1264.2600000000009</v>
      </c>
      <c r="L49" s="880">
        <f t="shared" ref="L49:Q49" si="8">SUM(L27,L34,L47,L44)</f>
        <v>50.680040187901795</v>
      </c>
      <c r="M49" s="880">
        <f t="shared" si="8"/>
        <v>95.6552409488595</v>
      </c>
      <c r="N49" s="880">
        <f t="shared" si="8"/>
        <v>118.98991403690661</v>
      </c>
      <c r="O49" s="880">
        <f t="shared" si="8"/>
        <v>269.65656991323795</v>
      </c>
      <c r="P49" s="880">
        <f t="shared" si="8"/>
        <v>389.87312907791966</v>
      </c>
      <c r="Q49" s="880">
        <f t="shared" si="8"/>
        <v>606.79066134337563</v>
      </c>
      <c r="R49" s="880"/>
    </row>
    <row r="50" spans="2:18">
      <c r="B50" s="885"/>
      <c r="C50" s="886"/>
      <c r="D50" s="886"/>
      <c r="E50" s="871"/>
      <c r="F50" s="871"/>
      <c r="G50" s="871"/>
      <c r="H50" s="871"/>
      <c r="I50" s="871"/>
      <c r="J50" s="871"/>
      <c r="L50" s="879"/>
      <c r="M50" s="879"/>
      <c r="N50" s="879"/>
      <c r="O50" s="879"/>
      <c r="P50" s="879"/>
      <c r="Q50" s="879"/>
    </row>
    <row r="51" spans="2:18">
      <c r="B51" s="887" t="s">
        <v>659</v>
      </c>
      <c r="C51" s="888"/>
      <c r="D51" s="888"/>
      <c r="E51" s="888"/>
      <c r="F51" s="888"/>
      <c r="G51" s="888"/>
      <c r="H51" s="888"/>
      <c r="I51" s="888"/>
      <c r="J51" s="888"/>
      <c r="K51" s="889"/>
      <c r="L51" s="889">
        <f>'BS Intergrated'!K11+'CF Intergrated'!L49</f>
        <v>1290.1920401879017</v>
      </c>
      <c r="M51" s="889">
        <f>'BS Intergrated'!L11+'CF Intergrated'!M49</f>
        <v>1385.8472811367612</v>
      </c>
      <c r="N51" s="889">
        <f>'BS Intergrated'!M11+'CF Intergrated'!N49</f>
        <v>1504.8371951736679</v>
      </c>
      <c r="O51" s="889">
        <f>'BS Intergrated'!N11+'CF Intergrated'!O49</f>
        <v>1774.4937650869058</v>
      </c>
      <c r="P51" s="889">
        <f>'BS Intergrated'!O11+'CF Intergrated'!P49</f>
        <v>2164.3668941648257</v>
      </c>
      <c r="Q51" s="889">
        <f>'BS Intergrated'!P11+'CF Intergrated'!Q49</f>
        <v>2771.1575555082013</v>
      </c>
    </row>
    <row r="52" spans="2:18">
      <c r="E52" s="871"/>
      <c r="F52" s="871"/>
      <c r="G52" s="871"/>
      <c r="H52" s="871"/>
      <c r="I52" s="871"/>
      <c r="J52" s="871"/>
      <c r="K52" s="879"/>
    </row>
    <row r="53" spans="2:18">
      <c r="B53" s="880" t="s">
        <v>660</v>
      </c>
      <c r="C53" s="880"/>
      <c r="D53" s="880"/>
      <c r="E53" s="880">
        <f>E27+E30</f>
        <v>527.80599999999981</v>
      </c>
      <c r="F53" s="880">
        <f>F27+F30</f>
        <v>688.40300000000002</v>
      </c>
      <c r="G53" s="880">
        <f t="shared" ref="G53:Q53" si="9">G27+G30</f>
        <v>651.82899999999961</v>
      </c>
      <c r="H53" s="880">
        <f t="shared" si="9"/>
        <v>842.29899999999986</v>
      </c>
      <c r="I53" s="880">
        <f t="shared" si="9"/>
        <v>1415.0470000000007</v>
      </c>
      <c r="J53" s="880">
        <f>J27+J30</f>
        <v>1415.5430000000003</v>
      </c>
      <c r="K53" s="880">
        <f>K27+K30</f>
        <v>1319.0689999999991</v>
      </c>
      <c r="L53" s="880">
        <f t="shared" si="9"/>
        <v>2321.1339922772004</v>
      </c>
      <c r="M53" s="880">
        <f t="shared" si="9"/>
        <v>2891.017100519115</v>
      </c>
      <c r="N53" s="880">
        <f t="shared" si="9"/>
        <v>3545.9949091147482</v>
      </c>
      <c r="O53" s="880">
        <f t="shared" si="9"/>
        <v>4371.7284720999851</v>
      </c>
      <c r="P53" s="880">
        <f t="shared" si="9"/>
        <v>5099.8424940660634</v>
      </c>
      <c r="Q53" s="880">
        <f t="shared" si="9"/>
        <v>5875.4026678883565</v>
      </c>
    </row>
  </sheetData>
  <mergeCells count="2">
    <mergeCell ref="A1:N1"/>
    <mergeCell ref="A2:B2"/>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064D2-5D0D-4BC4-A9C8-3BBA40035484}">
  <sheetPr codeName="Sheet17">
    <tabColor rgb="FF7030A0"/>
  </sheetPr>
  <dimension ref="A1:V105"/>
  <sheetViews>
    <sheetView showGridLines="0" topLeftCell="A26" zoomScale="102" zoomScaleNormal="134" workbookViewId="0">
      <selection activeCell="D48" sqref="D48"/>
    </sheetView>
  </sheetViews>
  <sheetFormatPr defaultColWidth="8.7265625" defaultRowHeight="12"/>
  <cols>
    <col min="1" max="2" width="13.453125" style="213" bestFit="1" customWidth="1"/>
    <col min="3" max="5" width="8.7265625" style="213"/>
    <col min="6" max="6" width="8.7265625" style="213" customWidth="1"/>
    <col min="7" max="7" width="7.26953125" style="213" bestFit="1" customWidth="1"/>
    <col min="8" max="10" width="8.7265625" style="213"/>
    <col min="11" max="11" width="8.7265625" style="213" customWidth="1"/>
    <col min="12" max="13" width="8.7265625" style="213"/>
    <col min="14" max="14" width="12.7265625" style="213" bestFit="1" customWidth="1"/>
    <col min="15" max="15" width="8.7265625" style="213"/>
    <col min="16" max="16" width="12.453125" style="213" bestFit="1" customWidth="1"/>
    <col min="17" max="16384" width="8.7265625" style="213"/>
  </cols>
  <sheetData>
    <row r="1" spans="1:22">
      <c r="A1" s="217" t="s">
        <v>661</v>
      </c>
    </row>
    <row r="2" spans="1:22">
      <c r="A2" s="217" t="s">
        <v>89</v>
      </c>
    </row>
    <row r="3" spans="1:22">
      <c r="A3" s="926" t="s">
        <v>15</v>
      </c>
      <c r="B3" s="923" t="str">
        <f>Cover!E5</f>
        <v>Base Case</v>
      </c>
    </row>
    <row r="5" spans="1:22">
      <c r="E5" s="214">
        <v>45809</v>
      </c>
      <c r="F5" s="214">
        <v>46174</v>
      </c>
      <c r="G5" s="214">
        <v>46539</v>
      </c>
      <c r="H5" s="214">
        <v>46905</v>
      </c>
      <c r="I5" s="214">
        <v>47270</v>
      </c>
      <c r="J5" s="214">
        <v>47635</v>
      </c>
      <c r="K5" s="214">
        <v>48000</v>
      </c>
      <c r="L5" s="214">
        <v>48366</v>
      </c>
    </row>
    <row r="6" spans="1:22">
      <c r="E6" s="261" t="s">
        <v>523</v>
      </c>
      <c r="F6" s="261" t="s">
        <v>523</v>
      </c>
      <c r="G6" s="227" t="s">
        <v>17</v>
      </c>
      <c r="H6" s="227" t="s">
        <v>17</v>
      </c>
      <c r="I6" s="227" t="s">
        <v>17</v>
      </c>
      <c r="J6" s="227" t="s">
        <v>17</v>
      </c>
      <c r="K6" s="227" t="s">
        <v>17</v>
      </c>
      <c r="L6" s="227" t="s">
        <v>17</v>
      </c>
    </row>
    <row r="7" spans="1:22">
      <c r="F7" s="792"/>
    </row>
    <row r="8" spans="1:22">
      <c r="F8" s="509" t="s">
        <v>662</v>
      </c>
    </row>
    <row r="9" spans="1:22">
      <c r="F9" s="1119" t="s">
        <v>663</v>
      </c>
      <c r="G9" s="1119"/>
      <c r="H9" s="1119"/>
      <c r="I9" s="1119"/>
      <c r="J9" s="1119"/>
      <c r="K9" s="1119"/>
      <c r="L9" s="1119"/>
      <c r="P9" s="924"/>
      <c r="Q9" s="924"/>
      <c r="R9" s="924"/>
      <c r="S9" s="924"/>
      <c r="T9" s="924"/>
      <c r="U9" s="924"/>
      <c r="V9" s="924"/>
    </row>
    <row r="10" spans="1:22">
      <c r="D10" s="360" t="s">
        <v>664</v>
      </c>
      <c r="F10" s="757">
        <f t="shared" ref="F10:L10" si="0">_xlfn.XLOOKUP($B$3,$D$12:$D$16,F12:F16)</f>
        <v>0.15840599982083434</v>
      </c>
      <c r="G10" s="757">
        <f t="shared" si="0"/>
        <v>0.15840599982083434</v>
      </c>
      <c r="H10" s="757">
        <f t="shared" si="0"/>
        <v>0.16340599982083434</v>
      </c>
      <c r="I10" s="757">
        <f t="shared" si="0"/>
        <v>0.16840599982083435</v>
      </c>
      <c r="J10" s="757">
        <f t="shared" si="0"/>
        <v>0.17340599982083435</v>
      </c>
      <c r="K10" s="757">
        <f t="shared" si="0"/>
        <v>0.17840599982083435</v>
      </c>
      <c r="L10" s="757">
        <f t="shared" si="0"/>
        <v>0.18340599982083436</v>
      </c>
    </row>
    <row r="12" spans="1:22">
      <c r="D12" s="373" t="s">
        <v>665</v>
      </c>
      <c r="F12" s="374" cm="1">
        <f t="array" ref="F12">AVERAGE(LARGE('IS Ratio'!$E$12:$K$12,_xlfn.SEQUENCE(2)))</f>
        <v>0.16536771433780351</v>
      </c>
      <c r="G12" s="374">
        <f t="shared" ref="G12:G14" si="1">F12</f>
        <v>0.16536771433780351</v>
      </c>
      <c r="H12" s="374">
        <f t="shared" ref="H12:L13" si="2">G12+0.005</f>
        <v>0.17036771433780351</v>
      </c>
      <c r="I12" s="374">
        <f t="shared" si="2"/>
        <v>0.17536771433780352</v>
      </c>
      <c r="J12" s="374">
        <f t="shared" si="2"/>
        <v>0.18036771433780352</v>
      </c>
      <c r="K12" s="374">
        <f t="shared" si="2"/>
        <v>0.18536771433780352</v>
      </c>
      <c r="L12" s="374">
        <f t="shared" si="2"/>
        <v>0.19036771433780353</v>
      </c>
      <c r="M12" s="375"/>
    </row>
    <row r="13" spans="1:22">
      <c r="D13" s="373" t="s">
        <v>666</v>
      </c>
      <c r="F13" s="374" cm="1">
        <f t="array" ref="F13">AVERAGE(LARGE('IS Ratio'!$E$12:$K$12,_xlfn.SEQUENCE(3)))</f>
        <v>0.16240656371540427</v>
      </c>
      <c r="G13" s="374">
        <f t="shared" si="1"/>
        <v>0.16240656371540427</v>
      </c>
      <c r="H13" s="374">
        <f t="shared" si="2"/>
        <v>0.16740656371540427</v>
      </c>
      <c r="I13" s="374">
        <f t="shared" si="2"/>
        <v>0.17240656371540428</v>
      </c>
      <c r="J13" s="374">
        <f t="shared" si="2"/>
        <v>0.17740656371540428</v>
      </c>
      <c r="K13" s="374">
        <f t="shared" si="2"/>
        <v>0.18240656371540429</v>
      </c>
      <c r="L13" s="374">
        <f t="shared" si="2"/>
        <v>0.18740656371540429</v>
      </c>
    </row>
    <row r="14" spans="1:22">
      <c r="D14" s="373" t="s">
        <v>5</v>
      </c>
      <c r="F14" s="374" cm="1">
        <f t="array" ref="F14">AVERAGE(LARGE('IS Ratio'!$E$12:$K$12,_xlfn.SEQUENCE(4)))</f>
        <v>0.15840599982083434</v>
      </c>
      <c r="G14" s="374">
        <f t="shared" si="1"/>
        <v>0.15840599982083434</v>
      </c>
      <c r="H14" s="374">
        <f t="shared" ref="H14:L14" si="3">G14+0.005</f>
        <v>0.16340599982083434</v>
      </c>
      <c r="I14" s="374">
        <f t="shared" si="3"/>
        <v>0.16840599982083435</v>
      </c>
      <c r="J14" s="374">
        <f t="shared" si="3"/>
        <v>0.17340599982083435</v>
      </c>
      <c r="K14" s="374">
        <f t="shared" si="3"/>
        <v>0.17840599982083435</v>
      </c>
      <c r="L14" s="374">
        <f t="shared" si="3"/>
        <v>0.18340599982083436</v>
      </c>
    </row>
    <row r="15" spans="1:22">
      <c r="D15" s="373" t="s">
        <v>667</v>
      </c>
      <c r="F15" s="374" cm="1">
        <f t="array" ref="F15">AVERAGE(LARGE('IS Ratio'!$E$12:$K$12,_xlfn.SEQUENCE(5)))</f>
        <v>0.1527784175507865</v>
      </c>
      <c r="G15" s="374">
        <f>F15</f>
        <v>0.1527784175507865</v>
      </c>
      <c r="H15" s="374">
        <f t="shared" ref="H15:L16" si="4">G15+0.005</f>
        <v>0.1577784175507865</v>
      </c>
      <c r="I15" s="374">
        <f t="shared" si="4"/>
        <v>0.16277841755078651</v>
      </c>
      <c r="J15" s="374">
        <f t="shared" si="4"/>
        <v>0.16777841755078651</v>
      </c>
      <c r="K15" s="374">
        <f t="shared" si="4"/>
        <v>0.17277841755078652</v>
      </c>
      <c r="L15" s="374">
        <f t="shared" si="4"/>
        <v>0.17777841755078652</v>
      </c>
    </row>
    <row r="16" spans="1:22">
      <c r="D16" s="373" t="s">
        <v>668</v>
      </c>
      <c r="F16" s="374" cm="1">
        <f t="array" ref="F16">AVERAGE(LARGE('IS Ratio'!$E$12:$K$12,_xlfn.SEQUENCE(6)))</f>
        <v>0.14756769837692948</v>
      </c>
      <c r="G16" s="374">
        <f>F16</f>
        <v>0.14756769837692948</v>
      </c>
      <c r="H16" s="374">
        <f t="shared" si="4"/>
        <v>0.15256769837692949</v>
      </c>
      <c r="I16" s="374">
        <f t="shared" si="4"/>
        <v>0.15756769837692949</v>
      </c>
      <c r="J16" s="374">
        <f t="shared" si="4"/>
        <v>0.1625676983769295</v>
      </c>
      <c r="K16" s="374">
        <f t="shared" si="4"/>
        <v>0.1675676983769295</v>
      </c>
      <c r="L16" s="374">
        <f t="shared" si="4"/>
        <v>0.17256769837692951</v>
      </c>
    </row>
    <row r="19" spans="4:12">
      <c r="F19" s="1119" t="s">
        <v>669</v>
      </c>
      <c r="G19" s="1119"/>
      <c r="H19" s="1119"/>
      <c r="I19" s="1119"/>
      <c r="J19" s="1119"/>
      <c r="K19" s="1119"/>
      <c r="L19" s="1119"/>
    </row>
    <row r="20" spans="4:12">
      <c r="D20" s="360" t="s">
        <v>664</v>
      </c>
      <c r="F20" s="757">
        <f t="shared" ref="F20:L20" si="5">_xlfn.XLOOKUP($B$3,$D$12:$D$16,F22:F26)</f>
        <v>0.12494690055909889</v>
      </c>
      <c r="G20" s="757">
        <f t="shared" si="5"/>
        <v>0.12494690055909889</v>
      </c>
      <c r="H20" s="757">
        <f t="shared" si="5"/>
        <v>0.12494690055909889</v>
      </c>
      <c r="I20" s="757">
        <f t="shared" si="5"/>
        <v>0.12494690055909889</v>
      </c>
      <c r="J20" s="757">
        <f t="shared" si="5"/>
        <v>0.12494690055909889</v>
      </c>
      <c r="K20" s="757">
        <f t="shared" si="5"/>
        <v>0.12494690055909889</v>
      </c>
      <c r="L20" s="757">
        <f t="shared" si="5"/>
        <v>0.12494690055909889</v>
      </c>
    </row>
    <row r="22" spans="4:12">
      <c r="D22" s="373" t="s">
        <v>665</v>
      </c>
      <c r="F22" s="374" cm="1">
        <f t="array" ref="F22">AVERAGE(SMALL('IS Ratio'!$E$13:$K$13,_xlfn.SEQUENCE(5)))</f>
        <v>0.12494690055909889</v>
      </c>
      <c r="G22" s="374" cm="1">
        <f t="array" ref="G22">AVERAGE(SMALL('IS Ratio'!$E$13:$K$13,_xlfn.SEQUENCE(5)))</f>
        <v>0.12494690055909889</v>
      </c>
      <c r="H22" s="374" cm="1">
        <f t="array" ref="H22">AVERAGE(SMALL('IS Ratio'!$E$13:$K$13,_xlfn.SEQUENCE(5)))</f>
        <v>0.12494690055909889</v>
      </c>
      <c r="I22" s="374" cm="1">
        <f t="array" ref="I22">AVERAGE(SMALL('IS Ratio'!$E$13:$K$13,_xlfn.SEQUENCE(5)))</f>
        <v>0.12494690055909889</v>
      </c>
      <c r="J22" s="374" cm="1">
        <f t="array" ref="J22">AVERAGE(SMALL('IS Ratio'!$E$13:$K$13,_xlfn.SEQUENCE(5)))</f>
        <v>0.12494690055909889</v>
      </c>
      <c r="K22" s="374" cm="1">
        <f t="array" ref="K22">AVERAGE(SMALL('IS Ratio'!$E$13:$K$13,_xlfn.SEQUENCE(5)))</f>
        <v>0.12494690055909889</v>
      </c>
      <c r="L22" s="374" cm="1">
        <f t="array" ref="L22">AVERAGE(SMALL('IS Ratio'!$E$13:$K$13,_xlfn.SEQUENCE(5)))</f>
        <v>0.12494690055909889</v>
      </c>
    </row>
    <row r="23" spans="4:12">
      <c r="D23" s="373" t="s">
        <v>666</v>
      </c>
      <c r="F23" s="374" cm="1">
        <f t="array" ref="F23">AVERAGE(SMALL('IS Ratio'!$E$13:$K$13,_xlfn.SEQUENCE(5)))</f>
        <v>0.12494690055909889</v>
      </c>
      <c r="G23" s="374" cm="1">
        <f t="array" ref="G23">AVERAGE(SMALL('IS Ratio'!$E$13:$K$13,_xlfn.SEQUENCE(5)))</f>
        <v>0.12494690055909889</v>
      </c>
      <c r="H23" s="374" cm="1">
        <f t="array" ref="H23">AVERAGE(SMALL('IS Ratio'!$E$13:$K$13,_xlfn.SEQUENCE(5)))</f>
        <v>0.12494690055909889</v>
      </c>
      <c r="I23" s="374" cm="1">
        <f t="array" ref="I23">AVERAGE(SMALL('IS Ratio'!$E$13:$K$13,_xlfn.SEQUENCE(5)))</f>
        <v>0.12494690055909889</v>
      </c>
      <c r="J23" s="374" cm="1">
        <f t="array" ref="J23">AVERAGE(SMALL('IS Ratio'!$E$13:$K$13,_xlfn.SEQUENCE(5)))</f>
        <v>0.12494690055909889</v>
      </c>
      <c r="K23" s="374" cm="1">
        <f t="array" ref="K23">AVERAGE(SMALL('IS Ratio'!$E$13:$K$13,_xlfn.SEQUENCE(5)))</f>
        <v>0.12494690055909889</v>
      </c>
      <c r="L23" s="374" cm="1">
        <f t="array" ref="L23">AVERAGE(SMALL('IS Ratio'!$E$13:$K$13,_xlfn.SEQUENCE(5)))</f>
        <v>0.12494690055909889</v>
      </c>
    </row>
    <row r="24" spans="4:12">
      <c r="D24" s="373" t="s">
        <v>5</v>
      </c>
      <c r="F24" s="374" cm="1">
        <f t="array" ref="F24">AVERAGE(SMALL('IS Ratio'!$E$13:$K$13,_xlfn.SEQUENCE(5)))</f>
        <v>0.12494690055909889</v>
      </c>
      <c r="G24" s="374" cm="1">
        <f t="array" ref="G24">AVERAGE(SMALL('IS Ratio'!$E$13:$K$13,_xlfn.SEQUENCE(5)))</f>
        <v>0.12494690055909889</v>
      </c>
      <c r="H24" s="374" cm="1">
        <f t="array" ref="H24">AVERAGE(SMALL('IS Ratio'!$E$13:$K$13,_xlfn.SEQUENCE(5)))</f>
        <v>0.12494690055909889</v>
      </c>
      <c r="I24" s="374" cm="1">
        <f t="array" ref="I24">AVERAGE(SMALL('IS Ratio'!$E$13:$K$13,_xlfn.SEQUENCE(5)))</f>
        <v>0.12494690055909889</v>
      </c>
      <c r="J24" s="374" cm="1">
        <f t="array" ref="J24">AVERAGE(SMALL('IS Ratio'!$E$13:$K$13,_xlfn.SEQUENCE(5)))</f>
        <v>0.12494690055909889</v>
      </c>
      <c r="K24" s="374" cm="1">
        <f t="array" ref="K24">AVERAGE(SMALL('IS Ratio'!$E$13:$K$13,_xlfn.SEQUENCE(5)))</f>
        <v>0.12494690055909889</v>
      </c>
      <c r="L24" s="374" cm="1">
        <f t="array" ref="L24">AVERAGE(SMALL('IS Ratio'!$E$13:$K$13,_xlfn.SEQUENCE(5)))</f>
        <v>0.12494690055909889</v>
      </c>
    </row>
    <row r="25" spans="4:12">
      <c r="D25" s="373" t="s">
        <v>667</v>
      </c>
      <c r="F25" s="374" cm="1">
        <f t="array" ref="F25">AVERAGE(SMALL('IS Ratio'!$E$13:$K$13,_xlfn.SEQUENCE(5)))</f>
        <v>0.12494690055909889</v>
      </c>
      <c r="G25" s="374" cm="1">
        <f t="array" ref="G25">AVERAGE(SMALL('IS Ratio'!$E$13:$K$13,_xlfn.SEQUENCE(5)))</f>
        <v>0.12494690055909889</v>
      </c>
      <c r="H25" s="374" cm="1">
        <f t="array" ref="H25">AVERAGE(SMALL('IS Ratio'!$E$13:$K$13,_xlfn.SEQUENCE(5)))</f>
        <v>0.12494690055909889</v>
      </c>
      <c r="I25" s="374" cm="1">
        <f t="array" ref="I25">AVERAGE(SMALL('IS Ratio'!$E$13:$K$13,_xlfn.SEQUENCE(5)))</f>
        <v>0.12494690055909889</v>
      </c>
      <c r="J25" s="374" cm="1">
        <f t="array" ref="J25">AVERAGE(SMALL('IS Ratio'!$E$13:$K$13,_xlfn.SEQUENCE(5)))</f>
        <v>0.12494690055909889</v>
      </c>
      <c r="K25" s="374" cm="1">
        <f t="array" ref="K25">AVERAGE(SMALL('IS Ratio'!$E$13:$K$13,_xlfn.SEQUENCE(5)))</f>
        <v>0.12494690055909889</v>
      </c>
      <c r="L25" s="374" cm="1">
        <f t="array" ref="L25">AVERAGE(SMALL('IS Ratio'!$E$13:$K$13,_xlfn.SEQUENCE(5)))</f>
        <v>0.12494690055909889</v>
      </c>
    </row>
    <row r="26" spans="4:12">
      <c r="D26" s="373" t="s">
        <v>668</v>
      </c>
      <c r="F26" s="374" cm="1">
        <f t="array" ref="F26">AVERAGE(SMALL('IS Ratio'!$E$13:$K$13,_xlfn.SEQUENCE(5)))</f>
        <v>0.12494690055909889</v>
      </c>
      <c r="G26" s="374" cm="1">
        <f t="array" ref="G26">AVERAGE(SMALL('IS Ratio'!$E$13:$K$13,_xlfn.SEQUENCE(5)))</f>
        <v>0.12494690055909889</v>
      </c>
      <c r="H26" s="374" cm="1">
        <f t="array" ref="H26">AVERAGE(SMALL('IS Ratio'!$E$13:$K$13,_xlfn.SEQUENCE(5)))</f>
        <v>0.12494690055909889</v>
      </c>
      <c r="I26" s="374" cm="1">
        <f t="array" ref="I26">AVERAGE(SMALL('IS Ratio'!$E$13:$K$13,_xlfn.SEQUENCE(5)))</f>
        <v>0.12494690055909889</v>
      </c>
      <c r="J26" s="374" cm="1">
        <f t="array" ref="J26">AVERAGE(SMALL('IS Ratio'!$E$13:$K$13,_xlfn.SEQUENCE(5)))</f>
        <v>0.12494690055909889</v>
      </c>
      <c r="K26" s="374" cm="1">
        <f t="array" ref="K26">AVERAGE(SMALL('IS Ratio'!$E$13:$K$13,_xlfn.SEQUENCE(5)))</f>
        <v>0.12494690055909889</v>
      </c>
      <c r="L26" s="374" cm="1">
        <f t="array" ref="L26">AVERAGE(SMALL('IS Ratio'!$E$13:$K$13,_xlfn.SEQUENCE(5)))</f>
        <v>0.12494690055909889</v>
      </c>
    </row>
    <row r="29" spans="4:12">
      <c r="F29" s="1119" t="s">
        <v>670</v>
      </c>
      <c r="G29" s="1119"/>
      <c r="H29" s="1119"/>
      <c r="I29" s="1119"/>
      <c r="J29" s="1119"/>
      <c r="K29" s="1119"/>
      <c r="L29" s="1119"/>
    </row>
    <row r="30" spans="4:12">
      <c r="D30" s="360" t="s">
        <v>664</v>
      </c>
      <c r="F30" s="376">
        <f t="shared" ref="F30:L30" si="6">_xlfn.XLOOKUP($B$3,$D$12:$D$16,F32:F36)</f>
        <v>4</v>
      </c>
      <c r="G30" s="376">
        <f t="shared" si="6"/>
        <v>4</v>
      </c>
      <c r="H30" s="376">
        <f t="shared" si="6"/>
        <v>4</v>
      </c>
      <c r="I30" s="376">
        <f t="shared" si="6"/>
        <v>4</v>
      </c>
      <c r="J30" s="376">
        <f t="shared" si="6"/>
        <v>4</v>
      </c>
      <c r="K30" s="376">
        <f t="shared" si="6"/>
        <v>4</v>
      </c>
      <c r="L30" s="376">
        <f t="shared" si="6"/>
        <v>4</v>
      </c>
    </row>
    <row r="31" spans="4:12">
      <c r="F31" s="571"/>
      <c r="G31" s="571"/>
      <c r="H31" s="571"/>
      <c r="I31" s="571"/>
      <c r="J31" s="571"/>
      <c r="K31" s="571"/>
      <c r="L31" s="571"/>
    </row>
    <row r="32" spans="4:12">
      <c r="D32" s="373" t="s">
        <v>665</v>
      </c>
      <c r="F32" s="921">
        <v>4</v>
      </c>
      <c r="G32" s="921">
        <v>4</v>
      </c>
      <c r="H32" s="921">
        <v>4</v>
      </c>
      <c r="I32" s="921">
        <v>4</v>
      </c>
      <c r="J32" s="921">
        <v>4</v>
      </c>
      <c r="K32" s="921">
        <v>4</v>
      </c>
      <c r="L32" s="921">
        <v>4</v>
      </c>
    </row>
    <row r="33" spans="4:13">
      <c r="D33" s="373" t="s">
        <v>666</v>
      </c>
      <c r="F33" s="921">
        <v>4</v>
      </c>
      <c r="G33" s="921">
        <v>4</v>
      </c>
      <c r="H33" s="921">
        <v>4</v>
      </c>
      <c r="I33" s="921">
        <v>4</v>
      </c>
      <c r="J33" s="921">
        <v>4</v>
      </c>
      <c r="K33" s="921">
        <v>4</v>
      </c>
      <c r="L33" s="921">
        <v>4</v>
      </c>
    </row>
    <row r="34" spans="4:13">
      <c r="D34" s="373" t="s">
        <v>5</v>
      </c>
      <c r="F34" s="921">
        <v>4</v>
      </c>
      <c r="G34" s="921">
        <v>4</v>
      </c>
      <c r="H34" s="921">
        <v>4</v>
      </c>
      <c r="I34" s="921">
        <v>4</v>
      </c>
      <c r="J34" s="921">
        <v>4</v>
      </c>
      <c r="K34" s="921">
        <v>4</v>
      </c>
      <c r="L34" s="921">
        <v>4</v>
      </c>
    </row>
    <row r="35" spans="4:13">
      <c r="D35" s="373" t="s">
        <v>667</v>
      </c>
      <c r="F35" s="921">
        <v>4</v>
      </c>
      <c r="G35" s="921">
        <v>4</v>
      </c>
      <c r="H35" s="921">
        <v>4</v>
      </c>
      <c r="I35" s="921">
        <v>4</v>
      </c>
      <c r="J35" s="921">
        <v>4</v>
      </c>
      <c r="K35" s="921">
        <v>4</v>
      </c>
      <c r="L35" s="921">
        <v>4</v>
      </c>
    </row>
    <row r="36" spans="4:13">
      <c r="D36" s="373" t="s">
        <v>668</v>
      </c>
      <c r="F36" s="921">
        <v>4</v>
      </c>
      <c r="G36" s="921">
        <v>4</v>
      </c>
      <c r="H36" s="921">
        <v>4</v>
      </c>
      <c r="I36" s="921">
        <v>4</v>
      </c>
      <c r="J36" s="921">
        <v>4</v>
      </c>
      <c r="K36" s="921">
        <v>4</v>
      </c>
      <c r="L36" s="921">
        <v>4</v>
      </c>
    </row>
    <row r="39" spans="4:13">
      <c r="F39" s="1119" t="s">
        <v>671</v>
      </c>
      <c r="G39" s="1119"/>
      <c r="H39" s="1119"/>
      <c r="I39" s="1119"/>
      <c r="J39" s="1119"/>
      <c r="K39" s="1119"/>
      <c r="L39" s="1119"/>
    </row>
    <row r="40" spans="4:13">
      <c r="D40" s="360" t="s">
        <v>664</v>
      </c>
      <c r="F40" s="372">
        <f t="shared" ref="F40:L40" si="7">_xlfn.XLOOKUP($B$3,$D$12:$D$16,F42:F46)</f>
        <v>0.49598655891705939</v>
      </c>
      <c r="G40" s="372">
        <f t="shared" si="7"/>
        <v>0.46260265411325757</v>
      </c>
      <c r="H40" s="372">
        <f t="shared" si="7"/>
        <v>0.43760265411325755</v>
      </c>
      <c r="I40" s="372">
        <f t="shared" si="7"/>
        <v>0.41260265411325753</v>
      </c>
      <c r="J40" s="372">
        <f t="shared" si="7"/>
        <v>0.38760265411325751</v>
      </c>
      <c r="K40" s="372">
        <f t="shared" si="7"/>
        <v>0.36260265411325748</v>
      </c>
      <c r="L40" s="372">
        <f t="shared" si="7"/>
        <v>0.33760265411325746</v>
      </c>
    </row>
    <row r="42" spans="4:13">
      <c r="D42" s="373" t="s">
        <v>665</v>
      </c>
      <c r="F42" s="374" cm="1">
        <f t="array" ref="F42">AVERAGE(LARGE('IS Ratio'!$E$15:$K$15,_xlfn.SEQUENCE(4)))</f>
        <v>0.51013986862381611</v>
      </c>
      <c r="G42" s="374">
        <f>G43</f>
        <v>0.46260265411325757</v>
      </c>
      <c r="H42" s="374">
        <f>G42-0.025</f>
        <v>0.43760265411325755</v>
      </c>
      <c r="I42" s="374">
        <f t="shared" ref="I42:K42" si="8">H42-0.025</f>
        <v>0.41260265411325753</v>
      </c>
      <c r="J42" s="374">
        <f t="shared" si="8"/>
        <v>0.38760265411325751</v>
      </c>
      <c r="K42" s="374">
        <f t="shared" si="8"/>
        <v>0.36260265411325748</v>
      </c>
      <c r="L42" s="374">
        <f>K42-0.025</f>
        <v>0.33760265411325746</v>
      </c>
      <c r="M42" s="308"/>
    </row>
    <row r="43" spans="4:13">
      <c r="D43" s="373" t="s">
        <v>666</v>
      </c>
      <c r="F43" s="374" cm="1">
        <f t="array" ref="F43">AVERAGE(LARGE('IS Ratio'!$E$15:$K$15,_xlfn.SEQUENCE(6)))</f>
        <v>0.50179881266674375</v>
      </c>
      <c r="G43" s="374">
        <f>G44</f>
        <v>0.46260265411325757</v>
      </c>
      <c r="H43" s="374">
        <f t="shared" ref="H43:K46" si="9">G43-0.025</f>
        <v>0.43760265411325755</v>
      </c>
      <c r="I43" s="374">
        <f t="shared" si="9"/>
        <v>0.41260265411325753</v>
      </c>
      <c r="J43" s="374">
        <f t="shared" si="9"/>
        <v>0.38760265411325751</v>
      </c>
      <c r="K43" s="374">
        <f t="shared" si="9"/>
        <v>0.36260265411325748</v>
      </c>
      <c r="L43" s="374">
        <f t="shared" ref="L43" si="10">K43-0.025</f>
        <v>0.33760265411325746</v>
      </c>
      <c r="M43" s="308"/>
    </row>
    <row r="44" spans="4:13">
      <c r="D44" s="373" t="s">
        <v>5</v>
      </c>
      <c r="F44" s="374">
        <f>'IS Ratio'!$C$15</f>
        <v>0.49598655891705939</v>
      </c>
      <c r="G44" s="757">
        <f>'Additional Assumptions'!O25</f>
        <v>0.46260265411325757</v>
      </c>
      <c r="H44" s="374">
        <f t="shared" si="9"/>
        <v>0.43760265411325755</v>
      </c>
      <c r="I44" s="374">
        <f t="shared" si="9"/>
        <v>0.41260265411325753</v>
      </c>
      <c r="J44" s="374">
        <f t="shared" si="9"/>
        <v>0.38760265411325751</v>
      </c>
      <c r="K44" s="374">
        <f t="shared" si="9"/>
        <v>0.36260265411325748</v>
      </c>
      <c r="L44" s="374">
        <f t="shared" ref="L44" si="11">K44-0.025</f>
        <v>0.33760265411325746</v>
      </c>
      <c r="M44" s="308"/>
    </row>
    <row r="45" spans="4:13">
      <c r="D45" s="373" t="s">
        <v>667</v>
      </c>
      <c r="F45" s="374" cm="1">
        <f t="array" ref="F45">AVERAGE(SMALL('IS Ratio'!$E$15:$K$15,_xlfn.SEQUENCE(2)))</f>
        <v>0.46695868823710052</v>
      </c>
      <c r="G45" s="757">
        <f>'Additional Assumptions'!O25-0.02</f>
        <v>0.44260265411325755</v>
      </c>
      <c r="H45" s="374">
        <f t="shared" si="9"/>
        <v>0.41760265411325753</v>
      </c>
      <c r="I45" s="374">
        <f t="shared" si="9"/>
        <v>0.39260265411325751</v>
      </c>
      <c r="J45" s="374">
        <f t="shared" si="9"/>
        <v>0.36760265411325749</v>
      </c>
      <c r="K45" s="374">
        <f t="shared" si="9"/>
        <v>0.34260265411325747</v>
      </c>
      <c r="L45" s="374">
        <f t="shared" ref="L45" si="12">K45-0.025</f>
        <v>0.31760265411325744</v>
      </c>
      <c r="M45" s="308"/>
    </row>
    <row r="46" spans="4:13">
      <c r="D46" s="373" t="s">
        <v>668</v>
      </c>
      <c r="F46" s="374" cm="1">
        <f t="array" ref="F46">AVERAGE(SMALL('IS Ratio'!$E$15:$K$15,_xlfn.SEQUENCE(1)))</f>
        <v>0.46111303641895296</v>
      </c>
      <c r="G46" s="757">
        <f>G45-0.02</f>
        <v>0.42260265411325754</v>
      </c>
      <c r="H46" s="374">
        <f t="shared" si="9"/>
        <v>0.39760265411325751</v>
      </c>
      <c r="I46" s="374">
        <f t="shared" si="9"/>
        <v>0.37260265411325749</v>
      </c>
      <c r="J46" s="374">
        <f t="shared" si="9"/>
        <v>0.34760265411325747</v>
      </c>
      <c r="K46" s="374">
        <f t="shared" si="9"/>
        <v>0.32260265411325745</v>
      </c>
      <c r="L46" s="374">
        <f t="shared" ref="L46" si="13">K46-0.025</f>
        <v>0.29760265411325743</v>
      </c>
      <c r="M46" s="308"/>
    </row>
    <row r="49" spans="4:12">
      <c r="F49" s="1119" t="s">
        <v>31</v>
      </c>
      <c r="G49" s="1119"/>
      <c r="H49" s="1119"/>
      <c r="I49" s="1119"/>
      <c r="J49" s="1119"/>
      <c r="K49" s="1119"/>
      <c r="L49" s="1119"/>
    </row>
    <row r="50" spans="4:12">
      <c r="D50" s="360" t="s">
        <v>664</v>
      </c>
      <c r="F50" s="372">
        <f t="shared" ref="F50:L50" si="14">_xlfn.XLOOKUP($B$3,$D$12:$D$16,F52:F56)</f>
        <v>0.23449570531387148</v>
      </c>
      <c r="G50" s="372">
        <f t="shared" si="14"/>
        <v>0.24449570531387149</v>
      </c>
      <c r="H50" s="372">
        <f t="shared" si="14"/>
        <v>0.2544957053138715</v>
      </c>
      <c r="I50" s="372">
        <f t="shared" si="14"/>
        <v>0.24449570531387149</v>
      </c>
      <c r="J50" s="372">
        <f t="shared" si="14"/>
        <v>0.23449570531387148</v>
      </c>
      <c r="K50" s="372">
        <f t="shared" si="14"/>
        <v>0.22449570531387147</v>
      </c>
      <c r="L50" s="372">
        <f t="shared" si="14"/>
        <v>0.21449570531387147</v>
      </c>
    </row>
    <row r="52" spans="4:12">
      <c r="D52" s="373" t="s">
        <v>665</v>
      </c>
      <c r="F52" s="374">
        <f>F53+0.01</f>
        <v>0.2544957053138715</v>
      </c>
      <c r="G52" s="374">
        <f>G53</f>
        <v>0.2544957053138715</v>
      </c>
      <c r="H52" s="374">
        <f t="shared" ref="H52:H56" si="15">G52+0.01</f>
        <v>0.26449570531387151</v>
      </c>
      <c r="I52" s="374">
        <f>H52-0.01</f>
        <v>0.2544957053138715</v>
      </c>
      <c r="J52" s="374">
        <f t="shared" ref="J52:L52" si="16">I52-0.01</f>
        <v>0.24449570531387149</v>
      </c>
      <c r="K52" s="374">
        <f t="shared" si="16"/>
        <v>0.23449570531387148</v>
      </c>
      <c r="L52" s="374">
        <f t="shared" si="16"/>
        <v>0.22449570531387147</v>
      </c>
    </row>
    <row r="53" spans="4:12">
      <c r="D53" s="373" t="s">
        <v>666</v>
      </c>
      <c r="F53" s="374">
        <f>F54+0.01</f>
        <v>0.24449570531387149</v>
      </c>
      <c r="G53" s="374">
        <f>F53+0.01</f>
        <v>0.2544957053138715</v>
      </c>
      <c r="H53" s="374">
        <f t="shared" si="15"/>
        <v>0.26449570531387151</v>
      </c>
      <c r="I53" s="374">
        <f t="shared" ref="I53:L56" si="17">H53-0.01</f>
        <v>0.2544957053138715</v>
      </c>
      <c r="J53" s="374">
        <f t="shared" si="17"/>
        <v>0.24449570531387149</v>
      </c>
      <c r="K53" s="374">
        <f t="shared" si="17"/>
        <v>0.23449570531387148</v>
      </c>
      <c r="L53" s="374">
        <f t="shared" si="17"/>
        <v>0.22449570531387147</v>
      </c>
    </row>
    <row r="54" spans="4:12">
      <c r="D54" s="373" t="s">
        <v>5</v>
      </c>
      <c r="F54" s="374" cm="1">
        <f t="array" ref="F54">AVERAGE(LARGE('IS Ratio'!$E$16:$K$16,_xlfn.SEQUENCE(1)))</f>
        <v>0.23449570531387148</v>
      </c>
      <c r="G54" s="374" cm="1">
        <f t="array" ref="G54">AVERAGE(LARGE('IS Ratio'!$E$16:$K$16,_xlfn.SEQUENCE(1)))+0.01</f>
        <v>0.24449570531387149</v>
      </c>
      <c r="H54" s="374">
        <f>G54+0.01</f>
        <v>0.2544957053138715</v>
      </c>
      <c r="I54" s="374">
        <f t="shared" si="17"/>
        <v>0.24449570531387149</v>
      </c>
      <c r="J54" s="374">
        <f t="shared" si="17"/>
        <v>0.23449570531387148</v>
      </c>
      <c r="K54" s="374">
        <f t="shared" si="17"/>
        <v>0.22449570531387147</v>
      </c>
      <c r="L54" s="374">
        <f t="shared" si="17"/>
        <v>0.21449570531387147</v>
      </c>
    </row>
    <row r="55" spans="4:12">
      <c r="D55" s="373" t="s">
        <v>667</v>
      </c>
      <c r="F55" s="374">
        <f>'IS Ratio'!$C$16</f>
        <v>0.20540855458032237</v>
      </c>
      <c r="G55" s="374" cm="1">
        <f t="array" ref="G55">AVERAGE(LARGE('IS Ratio'!$E$16:$K$16,_xlfn.SEQUENCE(1)))</f>
        <v>0.23449570531387148</v>
      </c>
      <c r="H55" s="374">
        <f t="shared" si="15"/>
        <v>0.24449570531387149</v>
      </c>
      <c r="I55" s="374">
        <f t="shared" si="17"/>
        <v>0.23449570531387148</v>
      </c>
      <c r="J55" s="374">
        <f t="shared" si="17"/>
        <v>0.22449570531387147</v>
      </c>
      <c r="K55" s="374">
        <f t="shared" si="17"/>
        <v>0.21449570531387147</v>
      </c>
      <c r="L55" s="374">
        <f t="shared" si="17"/>
        <v>0.20449570531387146</v>
      </c>
    </row>
    <row r="56" spans="4:12">
      <c r="D56" s="373" t="s">
        <v>668</v>
      </c>
      <c r="F56" s="374" cm="1">
        <f t="array" ref="F56">AVERAGE(SMALL('IS Ratio'!$E$16:$K$16,_xlfn.SEQUENCE(2)))</f>
        <v>0.18207839554467731</v>
      </c>
      <c r="G56" s="374">
        <f>G55-0.01</f>
        <v>0.22449570531387147</v>
      </c>
      <c r="H56" s="374">
        <f t="shared" si="15"/>
        <v>0.23449570531387148</v>
      </c>
      <c r="I56" s="374">
        <f t="shared" si="17"/>
        <v>0.22449570531387147</v>
      </c>
      <c r="J56" s="374">
        <f t="shared" si="17"/>
        <v>0.21449570531387147</v>
      </c>
      <c r="K56" s="374">
        <f t="shared" si="17"/>
        <v>0.20449570531387146</v>
      </c>
      <c r="L56" s="374">
        <f t="shared" si="17"/>
        <v>0.19449570531387145</v>
      </c>
    </row>
    <row r="59" spans="4:12">
      <c r="F59" s="1119" t="s">
        <v>672</v>
      </c>
      <c r="G59" s="1119"/>
      <c r="H59" s="1119"/>
      <c r="I59" s="1119"/>
      <c r="J59" s="1119"/>
      <c r="K59" s="1119"/>
      <c r="L59" s="1119"/>
    </row>
    <row r="60" spans="4:12">
      <c r="D60" s="360" t="s">
        <v>664</v>
      </c>
      <c r="F60" s="372">
        <f t="shared" ref="F60:L60" si="18">_xlfn.XLOOKUP($B$3,$D$12:$D$16,F62:F66)</f>
        <v>0.11944302017331905</v>
      </c>
      <c r="G60" s="372">
        <f t="shared" si="18"/>
        <v>0.11444302017331905</v>
      </c>
      <c r="H60" s="372">
        <f t="shared" si="18"/>
        <v>0.10944302017331904</v>
      </c>
      <c r="I60" s="372">
        <f t="shared" si="18"/>
        <v>0.10444302017331904</v>
      </c>
      <c r="J60" s="372">
        <f t="shared" si="18"/>
        <v>9.9443020173319033E-2</v>
      </c>
      <c r="K60" s="372">
        <f t="shared" si="18"/>
        <v>9.4443020173319028E-2</v>
      </c>
      <c r="L60" s="372">
        <f t="shared" si="18"/>
        <v>8.9443020173319024E-2</v>
      </c>
    </row>
    <row r="62" spans="4:12">
      <c r="D62" s="373" t="s">
        <v>665</v>
      </c>
      <c r="F62" s="374" cm="1">
        <f t="array" ref="F62">AVERAGE(SMALL('IS Ratio'!$E$17:$K$17,_xlfn.SEQUENCE(3)))</f>
        <v>0.12632384062148491</v>
      </c>
      <c r="G62" s="374">
        <f>F62-0.005</f>
        <v>0.12132384062148491</v>
      </c>
      <c r="H62" s="374">
        <f>G62-0.005</f>
        <v>0.1163238406214849</v>
      </c>
      <c r="I62" s="374">
        <f t="shared" ref="I62:L62" si="19">H62-0.005</f>
        <v>0.1113238406214849</v>
      </c>
      <c r="J62" s="374">
        <f t="shared" si="19"/>
        <v>0.10632384062148489</v>
      </c>
      <c r="K62" s="374">
        <f t="shared" si="19"/>
        <v>0.10132384062148489</v>
      </c>
      <c r="L62" s="374">
        <f t="shared" si="19"/>
        <v>9.6323840621484885E-2</v>
      </c>
    </row>
    <row r="63" spans="4:12">
      <c r="D63" s="373" t="s">
        <v>666</v>
      </c>
      <c r="F63" s="374" cm="1">
        <f t="array" ref="F63">AVERAGE(SMALL('IS Ratio'!$E$17:$K$17,_xlfn.SEQUENCE(3)))</f>
        <v>0.12632384062148491</v>
      </c>
      <c r="G63" s="374">
        <f t="shared" ref="G63:H66" si="20">F63-0.005</f>
        <v>0.12132384062148491</v>
      </c>
      <c r="H63" s="374">
        <f t="shared" si="20"/>
        <v>0.1163238406214849</v>
      </c>
      <c r="I63" s="374">
        <f t="shared" ref="I63:L63" si="21">H63-0.005</f>
        <v>0.1113238406214849</v>
      </c>
      <c r="J63" s="374">
        <f t="shared" si="21"/>
        <v>0.10632384062148489</v>
      </c>
      <c r="K63" s="374">
        <f t="shared" si="21"/>
        <v>0.10132384062148489</v>
      </c>
      <c r="L63" s="374">
        <f t="shared" si="21"/>
        <v>9.6323840621484885E-2</v>
      </c>
    </row>
    <row r="64" spans="4:12">
      <c r="D64" s="373" t="s">
        <v>5</v>
      </c>
      <c r="F64" s="374" cm="1">
        <f t="array" ref="F64">AVERAGE(SMALL('IS Ratio'!$E$17:$K$17,_xlfn.SEQUENCE(2)))</f>
        <v>0.11944302017331905</v>
      </c>
      <c r="G64" s="374">
        <f t="shared" si="20"/>
        <v>0.11444302017331905</v>
      </c>
      <c r="H64" s="374">
        <f t="shared" si="20"/>
        <v>0.10944302017331904</v>
      </c>
      <c r="I64" s="374">
        <f t="shared" ref="I64:L64" si="22">H64-0.005</f>
        <v>0.10444302017331904</v>
      </c>
      <c r="J64" s="374">
        <f t="shared" si="22"/>
        <v>9.9443020173319033E-2</v>
      </c>
      <c r="K64" s="374">
        <f t="shared" si="22"/>
        <v>9.4443020173319028E-2</v>
      </c>
      <c r="L64" s="374">
        <f t="shared" si="22"/>
        <v>8.9443020173319024E-2</v>
      </c>
    </row>
    <row r="65" spans="4:12">
      <c r="D65" s="373" t="s">
        <v>667</v>
      </c>
      <c r="F65" s="374" cm="1">
        <f t="array" ref="F65">AVERAGE(SMALL('IS Ratio'!$E$17:$K$17,_xlfn.SEQUENCE(1)))</f>
        <v>0.11482845904361147</v>
      </c>
      <c r="G65" s="374">
        <f t="shared" si="20"/>
        <v>0.10982845904361146</v>
      </c>
      <c r="H65" s="374">
        <f t="shared" si="20"/>
        <v>0.10482845904361146</v>
      </c>
      <c r="I65" s="374">
        <f t="shared" ref="I65:L65" si="23">H65-0.005</f>
        <v>9.9828459043611456E-2</v>
      </c>
      <c r="J65" s="374">
        <f t="shared" si="23"/>
        <v>9.4828459043611452E-2</v>
      </c>
      <c r="K65" s="374">
        <f t="shared" si="23"/>
        <v>8.9828459043611447E-2</v>
      </c>
      <c r="L65" s="374">
        <f t="shared" si="23"/>
        <v>8.4828459043611443E-2</v>
      </c>
    </row>
    <row r="66" spans="4:12">
      <c r="D66" s="373" t="s">
        <v>668</v>
      </c>
      <c r="F66" s="374">
        <f>F65-0.005</f>
        <v>0.10982845904361146</v>
      </c>
      <c r="G66" s="374">
        <f t="shared" si="20"/>
        <v>0.10482845904361146</v>
      </c>
      <c r="H66" s="374">
        <f t="shared" si="20"/>
        <v>9.9828459043611456E-2</v>
      </c>
      <c r="I66" s="374">
        <f t="shared" ref="I66:L66" si="24">H66-0.005</f>
        <v>9.4828459043611452E-2</v>
      </c>
      <c r="J66" s="374">
        <f t="shared" si="24"/>
        <v>8.9828459043611447E-2</v>
      </c>
      <c r="K66" s="374">
        <f t="shared" si="24"/>
        <v>8.4828459043611443E-2</v>
      </c>
      <c r="L66" s="374">
        <f t="shared" si="24"/>
        <v>7.9828459043611438E-2</v>
      </c>
    </row>
    <row r="69" spans="4:12">
      <c r="F69" s="1119" t="s">
        <v>673</v>
      </c>
      <c r="G69" s="1119"/>
      <c r="H69" s="1119"/>
      <c r="I69" s="1119"/>
      <c r="J69" s="1119"/>
      <c r="K69" s="1119"/>
      <c r="L69" s="1119"/>
    </row>
    <row r="70" spans="4:12">
      <c r="D70" s="360" t="s">
        <v>664</v>
      </c>
      <c r="F70" s="372">
        <f t="shared" ref="F70:L70" si="25">_xlfn.XLOOKUP($B$3,$D$12:$D$16,F72:F76)</f>
        <v>5.6239875047599377E-2</v>
      </c>
      <c r="G70" s="372">
        <f t="shared" si="25"/>
        <v>5.6239875047599377E-2</v>
      </c>
      <c r="H70" s="372">
        <f t="shared" si="25"/>
        <v>5.6239875047599377E-2</v>
      </c>
      <c r="I70" s="372">
        <f t="shared" si="25"/>
        <v>5.6239875047599377E-2</v>
      </c>
      <c r="J70" s="372">
        <f t="shared" si="25"/>
        <v>5.6239875047599377E-2</v>
      </c>
      <c r="K70" s="372">
        <f t="shared" si="25"/>
        <v>5.6239875047599377E-2</v>
      </c>
      <c r="L70" s="372">
        <f t="shared" si="25"/>
        <v>5.6239875047599377E-2</v>
      </c>
    </row>
    <row r="72" spans="4:12">
      <c r="D72" s="373" t="s">
        <v>665</v>
      </c>
      <c r="F72" s="374" cm="1">
        <f t="array" ref="F72">AVERAGE(LARGE('IS Ratio'!$E$19:$K$19,_xlfn.SEQUENCE(4)))</f>
        <v>3.983801510037821E-2</v>
      </c>
      <c r="G72" s="374" cm="1">
        <f t="array" ref="G72">AVERAGE(LARGE('IS Ratio'!$E$19:$K$19,_xlfn.SEQUENCE(4)))</f>
        <v>3.983801510037821E-2</v>
      </c>
      <c r="H72" s="374" cm="1">
        <f t="array" ref="H72">AVERAGE(LARGE('IS Ratio'!$E$19:$K$19,_xlfn.SEQUENCE(4)))</f>
        <v>3.983801510037821E-2</v>
      </c>
      <c r="I72" s="374" cm="1">
        <f t="array" ref="I72">AVERAGE(LARGE('IS Ratio'!$E$19:$K$19,_xlfn.SEQUENCE(4)))</f>
        <v>3.983801510037821E-2</v>
      </c>
      <c r="J72" s="374" cm="1">
        <f t="array" ref="J72">AVERAGE(LARGE('IS Ratio'!$E$19:$K$19,_xlfn.SEQUENCE(4)))</f>
        <v>3.983801510037821E-2</v>
      </c>
      <c r="K72" s="374" cm="1">
        <f t="array" ref="K72">AVERAGE(LARGE('IS Ratio'!$E$19:$K$19,_xlfn.SEQUENCE(4)))</f>
        <v>3.983801510037821E-2</v>
      </c>
      <c r="L72" s="374" cm="1">
        <f t="array" ref="L72">AVERAGE(LARGE('IS Ratio'!$E$19:$K$19,_xlfn.SEQUENCE(4)))</f>
        <v>3.983801510037821E-2</v>
      </c>
    </row>
    <row r="73" spans="4:12">
      <c r="D73" s="373" t="s">
        <v>666</v>
      </c>
      <c r="F73" s="374" cm="1">
        <f t="array" ref="F73">AVERAGE(LARGE('IS Ratio'!$E$19:$K$19,_xlfn.SEQUENCE(3)))</f>
        <v>4.5270280814058206E-2</v>
      </c>
      <c r="G73" s="374" cm="1">
        <f t="array" ref="G73">AVERAGE(LARGE('IS Ratio'!$E$19:$K$19,_xlfn.SEQUENCE(2)))</f>
        <v>4.8784112138993224E-2</v>
      </c>
      <c r="H73" s="374" cm="1">
        <f t="array" ref="H73">AVERAGE(LARGE('IS Ratio'!$E$19:$K$19,_xlfn.SEQUENCE(2)))</f>
        <v>4.8784112138993224E-2</v>
      </c>
      <c r="I73" s="374" cm="1">
        <f t="array" ref="I73">AVERAGE(LARGE('IS Ratio'!$E$19:$K$19,_xlfn.SEQUENCE(2)))</f>
        <v>4.8784112138993224E-2</v>
      </c>
      <c r="J73" s="374" cm="1">
        <f t="array" ref="J73">AVERAGE(LARGE('IS Ratio'!$E$19:$K$19,_xlfn.SEQUENCE(2)))</f>
        <v>4.8784112138993224E-2</v>
      </c>
      <c r="K73" s="374" cm="1">
        <f t="array" ref="K73">AVERAGE(LARGE('IS Ratio'!$E$19:$K$19,_xlfn.SEQUENCE(2)))</f>
        <v>4.8784112138993224E-2</v>
      </c>
      <c r="L73" s="374" cm="1">
        <f t="array" ref="L73">AVERAGE(LARGE('IS Ratio'!$E$19:$K$19,_xlfn.SEQUENCE(2)))</f>
        <v>4.8784112138993224E-2</v>
      </c>
    </row>
    <row r="74" spans="4:12">
      <c r="D74" s="373" t="s">
        <v>5</v>
      </c>
      <c r="F74" s="374" cm="1">
        <f t="array" ref="F74">AVERAGE(LARGE('IS Ratio'!$E$19:$K$19,_xlfn.SEQUENCE(1)))</f>
        <v>5.6239875047599377E-2</v>
      </c>
      <c r="G74" s="374" cm="1">
        <f t="array" ref="G74">AVERAGE(LARGE('IS Ratio'!$E$19:$K$19,_xlfn.SEQUENCE(1)))</f>
        <v>5.6239875047599377E-2</v>
      </c>
      <c r="H74" s="374" cm="1">
        <f t="array" ref="H74">AVERAGE(LARGE('IS Ratio'!$E$19:$K$19,_xlfn.SEQUENCE(1)))</f>
        <v>5.6239875047599377E-2</v>
      </c>
      <c r="I74" s="374" cm="1">
        <f t="array" ref="I74">AVERAGE(LARGE('IS Ratio'!$E$19:$K$19,_xlfn.SEQUENCE(1)))</f>
        <v>5.6239875047599377E-2</v>
      </c>
      <c r="J74" s="374" cm="1">
        <f t="array" ref="J74">AVERAGE(LARGE('IS Ratio'!$E$19:$K$19,_xlfn.SEQUENCE(1)))</f>
        <v>5.6239875047599377E-2</v>
      </c>
      <c r="K74" s="374" cm="1">
        <f t="array" ref="K74">AVERAGE(LARGE('IS Ratio'!$E$19:$K$19,_xlfn.SEQUENCE(1)))</f>
        <v>5.6239875047599377E-2</v>
      </c>
      <c r="L74" s="374" cm="1">
        <f t="array" ref="L74">AVERAGE(LARGE('IS Ratio'!$E$19:$K$19,_xlfn.SEQUENCE(1)))</f>
        <v>5.6239875047599377E-2</v>
      </c>
    </row>
    <row r="75" spans="4:12">
      <c r="D75" s="373" t="s">
        <v>667</v>
      </c>
      <c r="F75" s="374" cm="1">
        <f t="array" ref="F75">AVERAGE(LARGE('IS Ratio'!$E$19:$K$19,_xlfn.SEQUENCE(1)))</f>
        <v>5.6239875047599377E-2</v>
      </c>
      <c r="G75" s="374" cm="1">
        <f t="array" ref="G75">AVERAGE(LARGE('IS Ratio'!$E$19:$K$19,_xlfn.SEQUENCE(1)))</f>
        <v>5.6239875047599377E-2</v>
      </c>
      <c r="H75" s="374" cm="1">
        <f t="array" ref="H75">AVERAGE(LARGE('IS Ratio'!$E$19:$K$19,_xlfn.SEQUENCE(1)))</f>
        <v>5.6239875047599377E-2</v>
      </c>
      <c r="I75" s="374" cm="1">
        <f t="array" ref="I75">AVERAGE(LARGE('IS Ratio'!$E$19:$K$19,_xlfn.SEQUENCE(1)))</f>
        <v>5.6239875047599377E-2</v>
      </c>
      <c r="J75" s="374" cm="1">
        <f t="array" ref="J75">AVERAGE(LARGE('IS Ratio'!$E$19:$K$19,_xlfn.SEQUENCE(1)))</f>
        <v>5.6239875047599377E-2</v>
      </c>
      <c r="K75" s="374" cm="1">
        <f t="array" ref="K75">AVERAGE(LARGE('IS Ratio'!$E$19:$K$19,_xlfn.SEQUENCE(1)))</f>
        <v>5.6239875047599377E-2</v>
      </c>
      <c r="L75" s="374" cm="1">
        <f t="array" ref="L75">AVERAGE(LARGE('IS Ratio'!$E$19:$K$19,_xlfn.SEQUENCE(1)))</f>
        <v>5.6239875047599377E-2</v>
      </c>
    </row>
    <row r="76" spans="4:12">
      <c r="D76" s="373" t="s">
        <v>668</v>
      </c>
      <c r="F76" s="374" cm="1">
        <f t="array" ref="F76">AVERAGE(LARGE('IS Ratio'!$E$19:$K$19,_xlfn.SEQUENCE(1)))</f>
        <v>5.6239875047599377E-2</v>
      </c>
      <c r="G76" s="374" cm="1">
        <f t="array" ref="G76">AVERAGE(LARGE('IS Ratio'!$E$19:$K$19,_xlfn.SEQUENCE(1)))</f>
        <v>5.6239875047599377E-2</v>
      </c>
      <c r="H76" s="374" cm="1">
        <f t="array" ref="H76">AVERAGE(LARGE('IS Ratio'!$E$19:$K$19,_xlfn.SEQUENCE(1)))</f>
        <v>5.6239875047599377E-2</v>
      </c>
      <c r="I76" s="374" cm="1">
        <f t="array" ref="I76">AVERAGE(LARGE('IS Ratio'!$E$19:$K$19,_xlfn.SEQUENCE(1)))</f>
        <v>5.6239875047599377E-2</v>
      </c>
      <c r="J76" s="374" cm="1">
        <f t="array" ref="J76">AVERAGE(LARGE('IS Ratio'!$E$19:$K$19,_xlfn.SEQUENCE(1)))</f>
        <v>5.6239875047599377E-2</v>
      </c>
      <c r="K76" s="374" cm="1">
        <f t="array" ref="K76">AVERAGE(LARGE('IS Ratio'!$E$19:$K$19,_xlfn.SEQUENCE(1)))</f>
        <v>5.6239875047599377E-2</v>
      </c>
      <c r="L76" s="374" cm="1">
        <f t="array" ref="L76">AVERAGE(LARGE('IS Ratio'!$E$19:$K$19,_xlfn.SEQUENCE(1)))</f>
        <v>5.6239875047599377E-2</v>
      </c>
    </row>
    <row r="79" spans="4:12">
      <c r="F79" s="1119" t="s">
        <v>674</v>
      </c>
      <c r="G79" s="1119"/>
      <c r="H79" s="1119"/>
      <c r="I79" s="1119"/>
      <c r="J79" s="1119"/>
      <c r="K79" s="1119"/>
      <c r="L79" s="1119"/>
    </row>
    <row r="80" spans="4:12">
      <c r="D80" s="360" t="s">
        <v>664</v>
      </c>
      <c r="F80" s="372">
        <f t="shared" ref="F80:L80" si="26">_xlfn.XLOOKUP($B$3,$D$12:$D$16,F82:F86)</f>
        <v>-1.8031951637080916E-3</v>
      </c>
      <c r="G80" s="372">
        <f t="shared" si="26"/>
        <v>-1.8031951637080916E-3</v>
      </c>
      <c r="H80" s="372">
        <f t="shared" si="26"/>
        <v>-1.8031951637080916E-3</v>
      </c>
      <c r="I80" s="372">
        <f t="shared" si="26"/>
        <v>-1.8031951637080916E-3</v>
      </c>
      <c r="J80" s="372">
        <f t="shared" si="26"/>
        <v>-1.8031951637080916E-3</v>
      </c>
      <c r="K80" s="372">
        <f t="shared" si="26"/>
        <v>-1.8031951637080916E-3</v>
      </c>
      <c r="L80" s="372">
        <f t="shared" si="26"/>
        <v>-1.8031951637080916E-3</v>
      </c>
    </row>
    <row r="82" spans="4:12">
      <c r="D82" s="373" t="s">
        <v>665</v>
      </c>
      <c r="F82" s="374">
        <f>F83-0.0005</f>
        <v>-2.8031951637080914E-3</v>
      </c>
      <c r="G82" s="374">
        <f t="shared" ref="G82:G84" si="27">G83-0.0005</f>
        <v>-2.8031951637080914E-3</v>
      </c>
      <c r="H82" s="374">
        <f t="shared" ref="H82:H84" si="28">H83-0.0005</f>
        <v>-2.8031951637080914E-3</v>
      </c>
      <c r="I82" s="374">
        <f t="shared" ref="I82:I84" si="29">I83-0.0005</f>
        <v>-2.8031951637080914E-3</v>
      </c>
      <c r="J82" s="374">
        <f t="shared" ref="J82:J84" si="30">J83-0.0005</f>
        <v>-2.8031951637080914E-3</v>
      </c>
      <c r="K82" s="374">
        <f t="shared" ref="K82:K84" si="31">K83-0.0005</f>
        <v>-2.8031951637080914E-3</v>
      </c>
      <c r="L82" s="374">
        <f t="shared" ref="L82:L84" si="32">L83-0.0005</f>
        <v>-2.8031951637080914E-3</v>
      </c>
    </row>
    <row r="83" spans="4:12">
      <c r="D83" s="373" t="s">
        <v>666</v>
      </c>
      <c r="F83" s="374">
        <f>F84-0.0005</f>
        <v>-2.3031951637080914E-3</v>
      </c>
      <c r="G83" s="374">
        <f t="shared" si="27"/>
        <v>-2.3031951637080914E-3</v>
      </c>
      <c r="H83" s="374">
        <f t="shared" si="28"/>
        <v>-2.3031951637080914E-3</v>
      </c>
      <c r="I83" s="374">
        <f t="shared" si="29"/>
        <v>-2.3031951637080914E-3</v>
      </c>
      <c r="J83" s="374">
        <f t="shared" si="30"/>
        <v>-2.3031951637080914E-3</v>
      </c>
      <c r="K83" s="374">
        <f t="shared" si="31"/>
        <v>-2.3031951637080914E-3</v>
      </c>
      <c r="L83" s="374">
        <f t="shared" si="32"/>
        <v>-2.3031951637080914E-3</v>
      </c>
    </row>
    <row r="84" spans="4:12">
      <c r="D84" s="373" t="s">
        <v>5</v>
      </c>
      <c r="F84" s="374">
        <f>F85-0.0005</f>
        <v>-1.8031951637080916E-3</v>
      </c>
      <c r="G84" s="374">
        <f t="shared" si="27"/>
        <v>-1.8031951637080916E-3</v>
      </c>
      <c r="H84" s="374">
        <f t="shared" si="28"/>
        <v>-1.8031951637080916E-3</v>
      </c>
      <c r="I84" s="374">
        <f t="shared" si="29"/>
        <v>-1.8031951637080916E-3</v>
      </c>
      <c r="J84" s="374">
        <f t="shared" si="30"/>
        <v>-1.8031951637080916E-3</v>
      </c>
      <c r="K84" s="374">
        <f t="shared" si="31"/>
        <v>-1.8031951637080916E-3</v>
      </c>
      <c r="L84" s="374">
        <f t="shared" si="32"/>
        <v>-1.8031951637080916E-3</v>
      </c>
    </row>
    <row r="85" spans="4:12">
      <c r="D85" s="373" t="s">
        <v>667</v>
      </c>
      <c r="F85" s="374" cm="1">
        <f t="array" ref="F85">AVERAGE(LARGE('IS Ratio'!$E$20:$K$20,_xlfn.SEQUENCE(1)))</f>
        <v>-1.3031951637080916E-3</v>
      </c>
      <c r="G85" s="374" cm="1">
        <f t="array" ref="G85">AVERAGE(LARGE('IS Ratio'!$E$20:$K$20,_xlfn.SEQUENCE(1)))</f>
        <v>-1.3031951637080916E-3</v>
      </c>
      <c r="H85" s="374" cm="1">
        <f t="array" ref="H85">AVERAGE(LARGE('IS Ratio'!$E$20:$K$20,_xlfn.SEQUENCE(1)))</f>
        <v>-1.3031951637080916E-3</v>
      </c>
      <c r="I85" s="374" cm="1">
        <f t="array" ref="I85">AVERAGE(LARGE('IS Ratio'!$E$20:$K$20,_xlfn.SEQUENCE(1)))</f>
        <v>-1.3031951637080916E-3</v>
      </c>
      <c r="J85" s="374" cm="1">
        <f t="array" ref="J85">AVERAGE(LARGE('IS Ratio'!$E$20:$K$20,_xlfn.SEQUENCE(1)))</f>
        <v>-1.3031951637080916E-3</v>
      </c>
      <c r="K85" s="374" cm="1">
        <f t="array" ref="K85">AVERAGE(LARGE('IS Ratio'!$E$20:$K$20,_xlfn.SEQUENCE(1)))</f>
        <v>-1.3031951637080916E-3</v>
      </c>
      <c r="L85" s="374" cm="1">
        <f t="array" ref="L85">AVERAGE(LARGE('IS Ratio'!$E$20:$K$20,_xlfn.SEQUENCE(1)))</f>
        <v>-1.3031951637080916E-3</v>
      </c>
    </row>
    <row r="86" spans="4:12">
      <c r="D86" s="373" t="s">
        <v>668</v>
      </c>
      <c r="F86" s="374" cm="1">
        <f t="array" ref="F86">AVERAGE(LARGE('IS Ratio'!$E$20:$K$20,_xlfn.SEQUENCE(1)))</f>
        <v>-1.3031951637080916E-3</v>
      </c>
      <c r="G86" s="374" cm="1">
        <f t="array" ref="G86">AVERAGE(LARGE('IS Ratio'!$E$20:$K$20,_xlfn.SEQUENCE(1)))</f>
        <v>-1.3031951637080916E-3</v>
      </c>
      <c r="H86" s="374" cm="1">
        <f t="array" ref="H86">AVERAGE(LARGE('IS Ratio'!$E$20:$K$20,_xlfn.SEQUENCE(1)))</f>
        <v>-1.3031951637080916E-3</v>
      </c>
      <c r="I86" s="374" cm="1">
        <f t="array" ref="I86">AVERAGE(LARGE('IS Ratio'!$E$20:$K$20,_xlfn.SEQUENCE(1)))</f>
        <v>-1.3031951637080916E-3</v>
      </c>
      <c r="J86" s="374" cm="1">
        <f t="array" ref="J86">AVERAGE(LARGE('IS Ratio'!$E$20:$K$20,_xlfn.SEQUENCE(1)))</f>
        <v>-1.3031951637080916E-3</v>
      </c>
      <c r="K86" s="374" cm="1">
        <f t="array" ref="K86">AVERAGE(LARGE('IS Ratio'!$E$20:$K$20,_xlfn.SEQUENCE(1)))</f>
        <v>-1.3031951637080916E-3</v>
      </c>
      <c r="L86" s="374" cm="1">
        <f t="array" ref="L86">AVERAGE(LARGE('IS Ratio'!$E$20:$K$20,_xlfn.SEQUENCE(1)))</f>
        <v>-1.3031951637080916E-3</v>
      </c>
    </row>
    <row r="89" spans="4:12">
      <c r="F89" s="1119" t="s">
        <v>514</v>
      </c>
      <c r="G89" s="1119"/>
      <c r="H89" s="1119"/>
      <c r="I89" s="1119"/>
      <c r="J89" s="1119"/>
      <c r="K89" s="1119"/>
      <c r="L89" s="1119"/>
    </row>
    <row r="90" spans="4:12">
      <c r="D90" s="360" t="s">
        <v>664</v>
      </c>
      <c r="F90" s="376">
        <f t="shared" ref="F90:L90" si="33">_xlfn.XLOOKUP($B$3,$D$12:$D$16,F92:F96)</f>
        <v>260.16000000000003</v>
      </c>
      <c r="G90" s="376">
        <f t="shared" si="33"/>
        <v>260.16000000000003</v>
      </c>
      <c r="H90" s="376">
        <f t="shared" si="33"/>
        <v>260.16000000000003</v>
      </c>
      <c r="I90" s="376">
        <f t="shared" si="33"/>
        <v>260.16000000000003</v>
      </c>
      <c r="J90" s="376">
        <f t="shared" si="33"/>
        <v>260.16000000000003</v>
      </c>
      <c r="K90" s="376">
        <f t="shared" si="33"/>
        <v>260.16000000000003</v>
      </c>
      <c r="L90" s="376">
        <f t="shared" si="33"/>
        <v>260.16000000000003</v>
      </c>
    </row>
    <row r="92" spans="4:12">
      <c r="D92" s="373" t="s">
        <v>665</v>
      </c>
      <c r="F92" s="377">
        <f>'IS Historical'!$K$43</f>
        <v>260.16000000000003</v>
      </c>
      <c r="G92" s="377">
        <f>'IS Historical'!$K$43</f>
        <v>260.16000000000003</v>
      </c>
      <c r="H92" s="377">
        <f>'IS Historical'!$K$43</f>
        <v>260.16000000000003</v>
      </c>
      <c r="I92" s="377">
        <f>'IS Historical'!$K$43</f>
        <v>260.16000000000003</v>
      </c>
      <c r="J92" s="377">
        <f>'IS Historical'!$K$43</f>
        <v>260.16000000000003</v>
      </c>
      <c r="K92" s="377">
        <f>'IS Historical'!$K$43</f>
        <v>260.16000000000003</v>
      </c>
      <c r="L92" s="377">
        <f>'IS Historical'!$K$43</f>
        <v>260.16000000000003</v>
      </c>
    </row>
    <row r="93" spans="4:12">
      <c r="D93" s="373" t="s">
        <v>666</v>
      </c>
      <c r="F93" s="377">
        <f>'IS Historical'!$K$43</f>
        <v>260.16000000000003</v>
      </c>
      <c r="G93" s="377">
        <f>'IS Historical'!$K$43</f>
        <v>260.16000000000003</v>
      </c>
      <c r="H93" s="377">
        <f>'IS Historical'!$K$43</f>
        <v>260.16000000000003</v>
      </c>
      <c r="I93" s="377">
        <f>'IS Historical'!$K$43</f>
        <v>260.16000000000003</v>
      </c>
      <c r="J93" s="377">
        <f>'IS Historical'!$K$43</f>
        <v>260.16000000000003</v>
      </c>
      <c r="K93" s="377">
        <f>'IS Historical'!$K$43</f>
        <v>260.16000000000003</v>
      </c>
      <c r="L93" s="377">
        <f>'IS Historical'!$K$43</f>
        <v>260.16000000000003</v>
      </c>
    </row>
    <row r="94" spans="4:12">
      <c r="D94" s="373" t="s">
        <v>5</v>
      </c>
      <c r="F94" s="377">
        <f>'IS Historical'!$K$43</f>
        <v>260.16000000000003</v>
      </c>
      <c r="G94" s="377">
        <f>'IS Historical'!$K$43</f>
        <v>260.16000000000003</v>
      </c>
      <c r="H94" s="377">
        <f>'IS Historical'!$K$43</f>
        <v>260.16000000000003</v>
      </c>
      <c r="I94" s="377">
        <f>'IS Historical'!$K$43</f>
        <v>260.16000000000003</v>
      </c>
      <c r="J94" s="377">
        <f>'IS Historical'!$K$43</f>
        <v>260.16000000000003</v>
      </c>
      <c r="K94" s="377">
        <f>'IS Historical'!$K$43</f>
        <v>260.16000000000003</v>
      </c>
      <c r="L94" s="377">
        <f>'IS Historical'!$K$43</f>
        <v>260.16000000000003</v>
      </c>
    </row>
    <row r="95" spans="4:12">
      <c r="D95" s="373" t="s">
        <v>667</v>
      </c>
      <c r="F95" s="377">
        <f>'IS Historical'!$K$43</f>
        <v>260.16000000000003</v>
      </c>
      <c r="G95" s="377">
        <f>'IS Historical'!$K$43</f>
        <v>260.16000000000003</v>
      </c>
      <c r="H95" s="377">
        <f>'IS Historical'!$K$43</f>
        <v>260.16000000000003</v>
      </c>
      <c r="I95" s="377">
        <f>'IS Historical'!$K$43</f>
        <v>260.16000000000003</v>
      </c>
      <c r="J95" s="377">
        <f>'IS Historical'!$K$43</f>
        <v>260.16000000000003</v>
      </c>
      <c r="K95" s="377">
        <f>'IS Historical'!$K$43</f>
        <v>260.16000000000003</v>
      </c>
      <c r="L95" s="377">
        <f>'IS Historical'!$K$43</f>
        <v>260.16000000000003</v>
      </c>
    </row>
    <row r="96" spans="4:12">
      <c r="D96" s="373" t="s">
        <v>668</v>
      </c>
      <c r="F96" s="377">
        <f>'IS Historical'!$K$43</f>
        <v>260.16000000000003</v>
      </c>
      <c r="G96" s="377">
        <f>'IS Historical'!$K$43</f>
        <v>260.16000000000003</v>
      </c>
      <c r="H96" s="377">
        <f>'IS Historical'!$K$43</f>
        <v>260.16000000000003</v>
      </c>
      <c r="I96" s="377">
        <f>'IS Historical'!$K$43</f>
        <v>260.16000000000003</v>
      </c>
      <c r="J96" s="377">
        <f>'IS Historical'!$K$43</f>
        <v>260.16000000000003</v>
      </c>
      <c r="K96" s="377">
        <f>'IS Historical'!$K$43</f>
        <v>260.16000000000003</v>
      </c>
      <c r="L96" s="377">
        <f>'IS Historical'!$K$43</f>
        <v>260.16000000000003</v>
      </c>
    </row>
    <row r="98" spans="4:12">
      <c r="F98" s="1119" t="s">
        <v>516</v>
      </c>
      <c r="G98" s="1119"/>
      <c r="H98" s="1119"/>
      <c r="I98" s="1119"/>
      <c r="J98" s="1119"/>
      <c r="K98" s="1119"/>
      <c r="L98" s="1119"/>
    </row>
    <row r="99" spans="4:12">
      <c r="D99" s="360" t="s">
        <v>664</v>
      </c>
      <c r="F99" s="376">
        <f t="shared" ref="F99:L99" si="34">_xlfn.XLOOKUP($B$3,$D$12:$D$16,F101:F105)</f>
        <v>260.16000000000003</v>
      </c>
      <c r="G99" s="376">
        <f t="shared" si="34"/>
        <v>260.16000000000003</v>
      </c>
      <c r="H99" s="376">
        <f t="shared" si="34"/>
        <v>260.16000000000003</v>
      </c>
      <c r="I99" s="376">
        <f t="shared" si="34"/>
        <v>260.16000000000003</v>
      </c>
      <c r="J99" s="376">
        <f t="shared" si="34"/>
        <v>260.16000000000003</v>
      </c>
      <c r="K99" s="376">
        <f t="shared" si="34"/>
        <v>260.16000000000003</v>
      </c>
      <c r="L99" s="376">
        <f t="shared" si="34"/>
        <v>260.16000000000003</v>
      </c>
    </row>
    <row r="101" spans="4:12">
      <c r="D101" s="373" t="s">
        <v>665</v>
      </c>
      <c r="F101" s="377">
        <f>'IS Historical'!$K$45</f>
        <v>260.16000000000003</v>
      </c>
      <c r="G101" s="377">
        <f>'IS Historical'!$K$45</f>
        <v>260.16000000000003</v>
      </c>
      <c r="H101" s="377">
        <f>'IS Historical'!$K$45</f>
        <v>260.16000000000003</v>
      </c>
      <c r="I101" s="377">
        <f>'IS Historical'!$K$45</f>
        <v>260.16000000000003</v>
      </c>
      <c r="J101" s="377">
        <f>'IS Historical'!$K$45</f>
        <v>260.16000000000003</v>
      </c>
      <c r="K101" s="377">
        <f>'IS Historical'!$K$45</f>
        <v>260.16000000000003</v>
      </c>
      <c r="L101" s="377">
        <f>'IS Historical'!$K$45</f>
        <v>260.16000000000003</v>
      </c>
    </row>
    <row r="102" spans="4:12">
      <c r="D102" s="373" t="s">
        <v>666</v>
      </c>
      <c r="F102" s="377">
        <f>'IS Historical'!$K$45</f>
        <v>260.16000000000003</v>
      </c>
      <c r="G102" s="377">
        <f>'IS Historical'!$K$45</f>
        <v>260.16000000000003</v>
      </c>
      <c r="H102" s="377">
        <f>'IS Historical'!$K$45</f>
        <v>260.16000000000003</v>
      </c>
      <c r="I102" s="377">
        <f>'IS Historical'!$K$45</f>
        <v>260.16000000000003</v>
      </c>
      <c r="J102" s="377">
        <f>'IS Historical'!$K$45</f>
        <v>260.16000000000003</v>
      </c>
      <c r="K102" s="377">
        <f>'IS Historical'!$K$45</f>
        <v>260.16000000000003</v>
      </c>
      <c r="L102" s="377">
        <f>'IS Historical'!$K$45</f>
        <v>260.16000000000003</v>
      </c>
    </row>
    <row r="103" spans="4:12">
      <c r="D103" s="373" t="s">
        <v>5</v>
      </c>
      <c r="F103" s="377">
        <f>'IS Historical'!$K$45</f>
        <v>260.16000000000003</v>
      </c>
      <c r="G103" s="377">
        <f>'IS Historical'!$K$45</f>
        <v>260.16000000000003</v>
      </c>
      <c r="H103" s="377">
        <f>'IS Historical'!$K$45</f>
        <v>260.16000000000003</v>
      </c>
      <c r="I103" s="377">
        <f>'IS Historical'!$K$45</f>
        <v>260.16000000000003</v>
      </c>
      <c r="J103" s="377">
        <f>'IS Historical'!$K$45</f>
        <v>260.16000000000003</v>
      </c>
      <c r="K103" s="377">
        <f>'IS Historical'!$K$45</f>
        <v>260.16000000000003</v>
      </c>
      <c r="L103" s="377">
        <f>'IS Historical'!$K$45</f>
        <v>260.16000000000003</v>
      </c>
    </row>
    <row r="104" spans="4:12">
      <c r="D104" s="373" t="s">
        <v>667</v>
      </c>
      <c r="F104" s="377">
        <f>'IS Historical'!$K$45</f>
        <v>260.16000000000003</v>
      </c>
      <c r="G104" s="377">
        <f>'IS Historical'!$K$45</f>
        <v>260.16000000000003</v>
      </c>
      <c r="H104" s="377">
        <f>'IS Historical'!$K$45</f>
        <v>260.16000000000003</v>
      </c>
      <c r="I104" s="377">
        <f>'IS Historical'!$K$45</f>
        <v>260.16000000000003</v>
      </c>
      <c r="J104" s="377">
        <f>'IS Historical'!$K$45</f>
        <v>260.16000000000003</v>
      </c>
      <c r="K104" s="377">
        <f>'IS Historical'!$K$45</f>
        <v>260.16000000000003</v>
      </c>
      <c r="L104" s="377">
        <f>'IS Historical'!$K$45</f>
        <v>260.16000000000003</v>
      </c>
    </row>
    <row r="105" spans="4:12">
      <c r="D105" s="373" t="s">
        <v>668</v>
      </c>
      <c r="F105" s="377">
        <f>'IS Historical'!$K$45</f>
        <v>260.16000000000003</v>
      </c>
      <c r="G105" s="377">
        <f>'IS Historical'!$K$45</f>
        <v>260.16000000000003</v>
      </c>
      <c r="H105" s="377">
        <f>'IS Historical'!$K$45</f>
        <v>260.16000000000003</v>
      </c>
      <c r="I105" s="377">
        <f>'IS Historical'!$K$45</f>
        <v>260.16000000000003</v>
      </c>
      <c r="J105" s="377">
        <f>'IS Historical'!$K$45</f>
        <v>260.16000000000003</v>
      </c>
      <c r="K105" s="377">
        <f>'IS Historical'!$K$45</f>
        <v>260.16000000000003</v>
      </c>
      <c r="L105" s="377">
        <f>'IS Historical'!$K$45</f>
        <v>260.16000000000003</v>
      </c>
    </row>
  </sheetData>
  <mergeCells count="10">
    <mergeCell ref="F89:L89"/>
    <mergeCell ref="F98:L98"/>
    <mergeCell ref="F69:L69"/>
    <mergeCell ref="F79:L79"/>
    <mergeCell ref="F9:L9"/>
    <mergeCell ref="F19:L19"/>
    <mergeCell ref="F29:L29"/>
    <mergeCell ref="F39:L39"/>
    <mergeCell ref="F49:L49"/>
    <mergeCell ref="F59:L59"/>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3C32F-46C5-4B4E-8250-B29D57EB3DD1}">
  <sheetPr codeName="Sheet18">
    <tabColor rgb="FF7030A0"/>
  </sheetPr>
  <dimension ref="A1:M295"/>
  <sheetViews>
    <sheetView showGridLines="0" topLeftCell="A186" zoomScale="102" zoomScaleNormal="118" workbookViewId="0">
      <selection activeCell="G202" sqref="G202"/>
    </sheetView>
  </sheetViews>
  <sheetFormatPr defaultColWidth="8.7265625" defaultRowHeight="12"/>
  <cols>
    <col min="1" max="1" width="13.453125" style="509" bestFit="1" customWidth="1"/>
    <col min="2" max="2" width="13.1796875" style="509" bestFit="1" customWidth="1"/>
    <col min="3" max="4" width="8.7265625" style="509"/>
    <col min="5" max="5" width="11.26953125" style="509" bestFit="1" customWidth="1"/>
    <col min="6" max="6" width="7.7265625" style="509" bestFit="1" customWidth="1"/>
    <col min="7" max="11" width="9.453125" style="509" bestFit="1" customWidth="1"/>
    <col min="12" max="12" width="8.7265625" style="509"/>
    <col min="13" max="13" width="13.453125" style="509" bestFit="1" customWidth="1"/>
    <col min="14" max="14" width="8.7265625" style="509"/>
    <col min="15" max="15" width="13.1796875" style="509" customWidth="1"/>
    <col min="16" max="16384" width="8.7265625" style="509"/>
  </cols>
  <sheetData>
    <row r="1" spans="1:11">
      <c r="A1" s="657" t="s">
        <v>675</v>
      </c>
    </row>
    <row r="2" spans="1:11">
      <c r="A2" s="657" t="s">
        <v>89</v>
      </c>
    </row>
    <row r="3" spans="1:11">
      <c r="A3" s="926" t="s">
        <v>15</v>
      </c>
      <c r="B3" s="923" t="str">
        <f>Cover!E5</f>
        <v>Base Case</v>
      </c>
    </row>
    <row r="4" spans="1:11">
      <c r="C4" s="524"/>
      <c r="D4" s="524">
        <v>46174</v>
      </c>
      <c r="E4" s="524">
        <v>46539</v>
      </c>
      <c r="F4" s="524">
        <v>46905</v>
      </c>
      <c r="G4" s="524">
        <v>47270</v>
      </c>
      <c r="H4" s="524">
        <v>47635</v>
      </c>
      <c r="I4" s="524">
        <v>48000</v>
      </c>
      <c r="J4" s="524">
        <v>48366</v>
      </c>
    </row>
    <row r="5" spans="1:11">
      <c r="C5" s="525"/>
      <c r="D5" s="525" t="s">
        <v>523</v>
      </c>
      <c r="E5" s="526" t="s">
        <v>17</v>
      </c>
      <c r="F5" s="526" t="s">
        <v>17</v>
      </c>
      <c r="G5" s="526" t="s">
        <v>17</v>
      </c>
      <c r="H5" s="526" t="s">
        <v>17</v>
      </c>
      <c r="I5" s="526" t="s">
        <v>17</v>
      </c>
      <c r="J5" s="526" t="s">
        <v>17</v>
      </c>
      <c r="K5" s="509" t="s">
        <v>676</v>
      </c>
    </row>
    <row r="8" spans="1:11">
      <c r="E8" s="1120" t="s">
        <v>677</v>
      </c>
      <c r="F8" s="1120"/>
      <c r="G8" s="1120"/>
      <c r="H8" s="1120"/>
      <c r="I8" s="1120"/>
      <c r="J8" s="1120"/>
      <c r="K8" s="1120"/>
    </row>
    <row r="9" spans="1:11">
      <c r="C9" s="644" t="s">
        <v>664</v>
      </c>
      <c r="E9" s="510" cm="1">
        <f t="array" ref="E9:K9">_xlfn.XLOOKUP($B$3,$C$11:$C$15,E11:K15)</f>
        <v>0.14666417951617061</v>
      </c>
      <c r="F9" s="510">
        <v>0.14666417951617061</v>
      </c>
      <c r="G9" s="510">
        <v>0.14666417951617061</v>
      </c>
      <c r="H9" s="510">
        <v>0.14666417951617061</v>
      </c>
      <c r="I9" s="510">
        <v>0.14666417951617061</v>
      </c>
      <c r="J9" s="510">
        <v>0.14666417951617061</v>
      </c>
      <c r="K9" s="510">
        <v>0.14666417951617061</v>
      </c>
    </row>
    <row r="10" spans="1:11">
      <c r="E10" s="511"/>
      <c r="F10" s="511"/>
      <c r="G10" s="511"/>
      <c r="H10" s="511"/>
      <c r="I10" s="511"/>
      <c r="J10" s="511"/>
      <c r="K10" s="511"/>
    </row>
    <row r="11" spans="1:11">
      <c r="C11" s="527" t="s">
        <v>665</v>
      </c>
      <c r="E11" s="512" cm="1">
        <f t="array" ref="E11">AVERAGE(SMALL('BS Ratios'!$E$6:$K$6,_xlfn.SEQUENCE(4)))</f>
        <v>9.9376728796275876E-2</v>
      </c>
      <c r="F11" s="512" cm="1">
        <f t="array" ref="F11">AVERAGE(SMALL('BS Ratios'!$E$6:$K$6,_xlfn.SEQUENCE(4)))</f>
        <v>9.9376728796275876E-2</v>
      </c>
      <c r="G11" s="512" cm="1">
        <f t="array" ref="G11">AVERAGE(SMALL('BS Ratios'!$E$6:$K$6,_xlfn.SEQUENCE(4)))</f>
        <v>9.9376728796275876E-2</v>
      </c>
      <c r="H11" s="512" cm="1">
        <f t="array" ref="H11">AVERAGE(SMALL('BS Ratios'!$E$6:$K$6,_xlfn.SEQUENCE(4)))</f>
        <v>9.9376728796275876E-2</v>
      </c>
      <c r="I11" s="512" cm="1">
        <f t="array" ref="I11">AVERAGE(SMALL('BS Ratios'!$E$6:$K$6,_xlfn.SEQUENCE(4)))</f>
        <v>9.9376728796275876E-2</v>
      </c>
      <c r="J11" s="512" cm="1">
        <f t="array" ref="J11">AVERAGE(SMALL('BS Ratios'!$E$6:$K$6,_xlfn.SEQUENCE(4)))</f>
        <v>9.9376728796275876E-2</v>
      </c>
      <c r="K11" s="512" cm="1">
        <f t="array" ref="K11">AVERAGE(SMALL('BS Ratios'!$E$6:$K$6,_xlfn.SEQUENCE(4)))</f>
        <v>9.9376728796275876E-2</v>
      </c>
    </row>
    <row r="12" spans="1:11">
      <c r="C12" s="527" t="s">
        <v>666</v>
      </c>
      <c r="E12" s="512">
        <f>'BS Ratios'!$C$6</f>
        <v>0.11513921236957413</v>
      </c>
      <c r="F12" s="512">
        <f>'BS Ratios'!$C$6</f>
        <v>0.11513921236957413</v>
      </c>
      <c r="G12" s="512">
        <f>'BS Ratios'!$C$6</f>
        <v>0.11513921236957413</v>
      </c>
      <c r="H12" s="512">
        <f>'BS Ratios'!$C$6</f>
        <v>0.11513921236957413</v>
      </c>
      <c r="I12" s="512">
        <f>'BS Ratios'!$C$6</f>
        <v>0.11513921236957413</v>
      </c>
      <c r="J12" s="512">
        <f>'BS Ratios'!$C$6</f>
        <v>0.11513921236957413</v>
      </c>
      <c r="K12" s="512">
        <f>'BS Ratios'!$C$6</f>
        <v>0.11513921236957413</v>
      </c>
    </row>
    <row r="13" spans="1:11">
      <c r="C13" s="527" t="s">
        <v>5</v>
      </c>
      <c r="E13" s="512" cm="1">
        <f t="array" ref="E13">AVERAGE(LARGE('BS Ratios'!$E$6:$K$6,_xlfn.SEQUENCE(2)))</f>
        <v>0.14666417951617061</v>
      </c>
      <c r="F13" s="512" cm="1">
        <f t="array" ref="F13">AVERAGE(LARGE('BS Ratios'!$E$6:$K$6,_xlfn.SEQUENCE(2)))</f>
        <v>0.14666417951617061</v>
      </c>
      <c r="G13" s="512" cm="1">
        <f t="array" ref="G13">AVERAGE(LARGE('BS Ratios'!$E$6:$K$6,_xlfn.SEQUENCE(2)))</f>
        <v>0.14666417951617061</v>
      </c>
      <c r="H13" s="512" cm="1">
        <f t="array" ref="H13">AVERAGE(LARGE('BS Ratios'!$E$6:$K$6,_xlfn.SEQUENCE(2)))</f>
        <v>0.14666417951617061</v>
      </c>
      <c r="I13" s="512" cm="1">
        <f t="array" ref="I13">AVERAGE(LARGE('BS Ratios'!$E$6:$K$6,_xlfn.SEQUENCE(2)))</f>
        <v>0.14666417951617061</v>
      </c>
      <c r="J13" s="512" cm="1">
        <f t="array" ref="J13">AVERAGE(LARGE('BS Ratios'!$E$6:$K$6,_xlfn.SEQUENCE(2)))</f>
        <v>0.14666417951617061</v>
      </c>
      <c r="K13" s="512" cm="1">
        <f t="array" ref="K13">AVERAGE(LARGE('BS Ratios'!$E$6:$K$6,_xlfn.SEQUENCE(2)))</f>
        <v>0.14666417951617061</v>
      </c>
    </row>
    <row r="14" spans="1:11">
      <c r="C14" s="527" t="s">
        <v>667</v>
      </c>
      <c r="E14" s="512" cm="1">
        <f t="array" ref="E14">AVERAGE(LARGE('BS Ratios'!$E$6:$K$6,_xlfn.SEQUENCE(1)))</f>
        <v>0.1492342536504104</v>
      </c>
      <c r="F14" s="512" cm="1">
        <f t="array" ref="F14">AVERAGE(LARGE('BS Ratios'!$E$6:$K$6,_xlfn.SEQUENCE(1)))</f>
        <v>0.1492342536504104</v>
      </c>
      <c r="G14" s="512" cm="1">
        <f t="array" ref="G14">AVERAGE(LARGE('BS Ratios'!$E$6:$K$6,_xlfn.SEQUENCE(1)))</f>
        <v>0.1492342536504104</v>
      </c>
      <c r="H14" s="512" cm="1">
        <f t="array" ref="H14">AVERAGE(LARGE('BS Ratios'!$E$6:$K$6,_xlfn.SEQUENCE(1)))</f>
        <v>0.1492342536504104</v>
      </c>
      <c r="I14" s="512" cm="1">
        <f t="array" ref="I14">AVERAGE(LARGE('BS Ratios'!$E$6:$K$6,_xlfn.SEQUENCE(1)))</f>
        <v>0.1492342536504104</v>
      </c>
      <c r="J14" s="512" cm="1">
        <f t="array" ref="J14">AVERAGE(LARGE('BS Ratios'!$E$6:$K$6,_xlfn.SEQUENCE(1)))</f>
        <v>0.1492342536504104</v>
      </c>
      <c r="K14" s="512" cm="1">
        <f t="array" ref="K14">AVERAGE(LARGE('BS Ratios'!$E$6:$K$6,_xlfn.SEQUENCE(1)))</f>
        <v>0.1492342536504104</v>
      </c>
    </row>
    <row r="15" spans="1:11">
      <c r="C15" s="527" t="s">
        <v>668</v>
      </c>
      <c r="E15" s="512">
        <f>E14+0.005</f>
        <v>0.15423425365041041</v>
      </c>
      <c r="F15" s="512">
        <f t="shared" ref="F15:K15" si="0">F14+0.005</f>
        <v>0.15423425365041041</v>
      </c>
      <c r="G15" s="512">
        <f t="shared" si="0"/>
        <v>0.15423425365041041</v>
      </c>
      <c r="H15" s="512">
        <f t="shared" si="0"/>
        <v>0.15423425365041041</v>
      </c>
      <c r="I15" s="512">
        <f t="shared" si="0"/>
        <v>0.15423425365041041</v>
      </c>
      <c r="J15" s="512">
        <f t="shared" si="0"/>
        <v>0.15423425365041041</v>
      </c>
      <c r="K15" s="512">
        <f t="shared" si="0"/>
        <v>0.15423425365041041</v>
      </c>
    </row>
    <row r="16" spans="1:11">
      <c r="E16" s="511"/>
      <c r="F16" s="511"/>
      <c r="G16" s="511"/>
      <c r="H16" s="511"/>
      <c r="I16" s="511"/>
      <c r="J16" s="511"/>
      <c r="K16" s="511"/>
    </row>
    <row r="17" spans="3:11">
      <c r="E17" s="511"/>
      <c r="F17" s="511"/>
      <c r="G17" s="511"/>
      <c r="H17" s="511"/>
      <c r="I17" s="511"/>
      <c r="J17" s="511"/>
      <c r="K17" s="511"/>
    </row>
    <row r="18" spans="3:11">
      <c r="E18" s="1120" t="s">
        <v>678</v>
      </c>
      <c r="F18" s="1120"/>
      <c r="G18" s="1120"/>
      <c r="H18" s="1120"/>
      <c r="I18" s="1120"/>
      <c r="J18" s="1120"/>
      <c r="K18" s="1120"/>
    </row>
    <row r="19" spans="3:11">
      <c r="C19" s="644" t="s">
        <v>664</v>
      </c>
      <c r="E19" s="510" cm="1">
        <f t="array" ref="E19:K19">_xlfn.XLOOKUP($B$3,$C$11:$C$15,E21:K25)</f>
        <v>5.3698107195314163E-2</v>
      </c>
      <c r="F19" s="510">
        <v>5.3698107195314163E-2</v>
      </c>
      <c r="G19" s="510">
        <v>5.3698107195314163E-2</v>
      </c>
      <c r="H19" s="510">
        <v>5.3698107195314163E-2</v>
      </c>
      <c r="I19" s="510">
        <v>5.3698107195314163E-2</v>
      </c>
      <c r="J19" s="510">
        <v>5.3698107195314163E-2</v>
      </c>
      <c r="K19" s="510">
        <v>5.3698107195314163E-2</v>
      </c>
    </row>
    <row r="20" spans="3:11">
      <c r="E20" s="511"/>
      <c r="F20" s="511"/>
      <c r="G20" s="511"/>
      <c r="H20" s="511"/>
      <c r="I20" s="511"/>
      <c r="J20" s="511"/>
      <c r="K20" s="511"/>
    </row>
    <row r="21" spans="3:11">
      <c r="C21" s="527" t="s">
        <v>665</v>
      </c>
      <c r="E21" s="512" cm="1">
        <f t="array" ref="E21">AVERAGE(SMALL('BS Ratios'!$E$7:$K$7,_xlfn.SEQUENCE(2)))</f>
        <v>3.2434559925108734E-2</v>
      </c>
      <c r="F21" s="512" cm="1">
        <f t="array" ref="F21">AVERAGE(SMALL('BS Ratios'!$E$7:$K$7,_xlfn.SEQUENCE(2)))</f>
        <v>3.2434559925108734E-2</v>
      </c>
      <c r="G21" s="512" cm="1">
        <f t="array" ref="G21">AVERAGE(SMALL('BS Ratios'!$E$7:$K$7,_xlfn.SEQUENCE(2)))</f>
        <v>3.2434559925108734E-2</v>
      </c>
      <c r="H21" s="512" cm="1">
        <f t="array" ref="H21">AVERAGE(SMALL('BS Ratios'!$E$7:$K$7,_xlfn.SEQUENCE(2)))</f>
        <v>3.2434559925108734E-2</v>
      </c>
      <c r="I21" s="512" cm="1">
        <f t="array" ref="I21">AVERAGE(SMALL('BS Ratios'!$E$7:$K$7,_xlfn.SEQUENCE(2)))</f>
        <v>3.2434559925108734E-2</v>
      </c>
      <c r="J21" s="512" cm="1">
        <f t="array" ref="J21">AVERAGE(SMALL('BS Ratios'!$E$7:$K$7,_xlfn.SEQUENCE(2)))</f>
        <v>3.2434559925108734E-2</v>
      </c>
      <c r="K21" s="512" cm="1">
        <f t="array" ref="K21">AVERAGE(SMALL('BS Ratios'!$E$7:$K$7,_xlfn.SEQUENCE(2)))</f>
        <v>3.2434559925108734E-2</v>
      </c>
    </row>
    <row r="22" spans="3:11">
      <c r="C22" s="527" t="s">
        <v>666</v>
      </c>
      <c r="E22" s="512">
        <f>'BS Ratios'!$C$7</f>
        <v>4.3601357418514043E-2</v>
      </c>
      <c r="F22" s="512">
        <f>'BS Ratios'!$C$7</f>
        <v>4.3601357418514043E-2</v>
      </c>
      <c r="G22" s="512">
        <f>'BS Ratios'!$C$7</f>
        <v>4.3601357418514043E-2</v>
      </c>
      <c r="H22" s="512">
        <f>'BS Ratios'!$C$7</f>
        <v>4.3601357418514043E-2</v>
      </c>
      <c r="I22" s="512">
        <f>'BS Ratios'!$C$7</f>
        <v>4.3601357418514043E-2</v>
      </c>
      <c r="J22" s="512">
        <f>'BS Ratios'!$C$7</f>
        <v>4.3601357418514043E-2</v>
      </c>
      <c r="K22" s="512">
        <f>'BS Ratios'!$C$7</f>
        <v>4.3601357418514043E-2</v>
      </c>
    </row>
    <row r="23" spans="3:11">
      <c r="C23" s="527" t="s">
        <v>5</v>
      </c>
      <c r="E23" s="512" cm="1">
        <f t="array" ref="E23">AVERAGE(LARGE('BS Ratios'!$E$7:$K$7,_xlfn.SEQUENCE(2)))</f>
        <v>5.3698107195314163E-2</v>
      </c>
      <c r="F23" s="512" cm="1">
        <f t="array" ref="F23">AVERAGE(LARGE('BS Ratios'!$E$7:$K$7,_xlfn.SEQUENCE(2)))</f>
        <v>5.3698107195314163E-2</v>
      </c>
      <c r="G23" s="512" cm="1">
        <f t="array" ref="G23">AVERAGE(LARGE('BS Ratios'!$E$7:$K$7,_xlfn.SEQUENCE(2)))</f>
        <v>5.3698107195314163E-2</v>
      </c>
      <c r="H23" s="512" cm="1">
        <f t="array" ref="H23">AVERAGE(LARGE('BS Ratios'!$E$7:$K$7,_xlfn.SEQUENCE(2)))</f>
        <v>5.3698107195314163E-2</v>
      </c>
      <c r="I23" s="512" cm="1">
        <f t="array" ref="I23">AVERAGE(LARGE('BS Ratios'!$E$7:$K$7,_xlfn.SEQUENCE(2)))</f>
        <v>5.3698107195314163E-2</v>
      </c>
      <c r="J23" s="512" cm="1">
        <f t="array" ref="J23">AVERAGE(LARGE('BS Ratios'!$E$7:$K$7,_xlfn.SEQUENCE(2)))</f>
        <v>5.3698107195314163E-2</v>
      </c>
      <c r="K23" s="512" cm="1">
        <f t="array" ref="K23">AVERAGE(LARGE('BS Ratios'!$E$7:$K$7,_xlfn.SEQUENCE(2)))</f>
        <v>5.3698107195314163E-2</v>
      </c>
    </row>
    <row r="24" spans="3:11">
      <c r="C24" s="527" t="s">
        <v>667</v>
      </c>
      <c r="E24" s="512" cm="1">
        <f t="array" ref="E24">AVERAGE(LARGE('BS Ratios'!$E$7:$K$7,_xlfn.SEQUENCE(1)))</f>
        <v>5.5705892361807036E-2</v>
      </c>
      <c r="F24" s="512" cm="1">
        <f t="array" ref="F24">AVERAGE(LARGE('BS Ratios'!$E$7:$K$7,_xlfn.SEQUENCE(1)))</f>
        <v>5.5705892361807036E-2</v>
      </c>
      <c r="G24" s="512" cm="1">
        <f t="array" ref="G24">AVERAGE(LARGE('BS Ratios'!$E$7:$K$7,_xlfn.SEQUENCE(1)))</f>
        <v>5.5705892361807036E-2</v>
      </c>
      <c r="H24" s="512" cm="1">
        <f t="array" ref="H24">AVERAGE(LARGE('BS Ratios'!$E$7:$K$7,_xlfn.SEQUENCE(1)))</f>
        <v>5.5705892361807036E-2</v>
      </c>
      <c r="I24" s="512" cm="1">
        <f t="array" ref="I24">AVERAGE(LARGE('BS Ratios'!$E$7:$K$7,_xlfn.SEQUENCE(1)))</f>
        <v>5.5705892361807036E-2</v>
      </c>
      <c r="J24" s="512" cm="1">
        <f t="array" ref="J24">AVERAGE(LARGE('BS Ratios'!$E$7:$K$7,_xlfn.SEQUENCE(1)))</f>
        <v>5.5705892361807036E-2</v>
      </c>
      <c r="K24" s="512" cm="1">
        <f t="array" ref="K24">AVERAGE(LARGE('BS Ratios'!$E$7:$K$7,_xlfn.SEQUENCE(1)))</f>
        <v>5.5705892361807036E-2</v>
      </c>
    </row>
    <row r="25" spans="3:11">
      <c r="C25" s="527" t="s">
        <v>668</v>
      </c>
      <c r="E25" s="512">
        <f>E24+0.005</f>
        <v>6.0705892361807033E-2</v>
      </c>
      <c r="F25" s="512">
        <f t="shared" ref="F25:K25" si="1">F24+0.005</f>
        <v>6.0705892361807033E-2</v>
      </c>
      <c r="G25" s="512">
        <f t="shared" si="1"/>
        <v>6.0705892361807033E-2</v>
      </c>
      <c r="H25" s="512">
        <f t="shared" si="1"/>
        <v>6.0705892361807033E-2</v>
      </c>
      <c r="I25" s="512">
        <f t="shared" si="1"/>
        <v>6.0705892361807033E-2</v>
      </c>
      <c r="J25" s="512">
        <f t="shared" si="1"/>
        <v>6.0705892361807033E-2</v>
      </c>
      <c r="K25" s="512">
        <f t="shared" si="1"/>
        <v>6.0705892361807033E-2</v>
      </c>
    </row>
    <row r="26" spans="3:11">
      <c r="C26" s="527"/>
      <c r="E26" s="513"/>
      <c r="F26" s="513"/>
      <c r="G26" s="513"/>
      <c r="H26" s="513"/>
      <c r="I26" s="513"/>
      <c r="J26" s="513"/>
      <c r="K26" s="513"/>
    </row>
    <row r="27" spans="3:11">
      <c r="C27" s="527"/>
      <c r="E27" s="513"/>
      <c r="F27" s="513"/>
      <c r="G27" s="513"/>
      <c r="H27" s="513"/>
      <c r="I27" s="513"/>
      <c r="J27" s="513"/>
      <c r="K27" s="513"/>
    </row>
    <row r="28" spans="3:11">
      <c r="E28" s="1120" t="s">
        <v>592</v>
      </c>
      <c r="F28" s="1120"/>
      <c r="G28" s="1120"/>
      <c r="H28" s="1120"/>
      <c r="I28" s="1120"/>
      <c r="J28" s="1120"/>
      <c r="K28" s="1120"/>
    </row>
    <row r="29" spans="3:11">
      <c r="C29" s="644" t="s">
        <v>664</v>
      </c>
      <c r="E29" s="510" cm="1">
        <f t="array" ref="E29:K29">_xlfn.XLOOKUP($B$3,$C$11:$C$15,E31:K35)</f>
        <v>4.7443219678156246E-3</v>
      </c>
      <c r="F29" s="510">
        <v>4.7443219678156246E-3</v>
      </c>
      <c r="G29" s="510">
        <v>4.7443219678156246E-3</v>
      </c>
      <c r="H29" s="510">
        <v>4.7443219678156246E-3</v>
      </c>
      <c r="I29" s="510">
        <v>4.7443219678156246E-3</v>
      </c>
      <c r="J29" s="510">
        <v>4.7443219678156246E-3</v>
      </c>
      <c r="K29" s="510">
        <v>4.7443219678156246E-3</v>
      </c>
    </row>
    <row r="30" spans="3:11">
      <c r="E30" s="511"/>
      <c r="F30" s="511"/>
      <c r="G30" s="511"/>
      <c r="H30" s="511"/>
      <c r="I30" s="511"/>
      <c r="J30" s="511"/>
      <c r="K30" s="511"/>
    </row>
    <row r="31" spans="3:11">
      <c r="C31" s="527" t="s">
        <v>665</v>
      </c>
      <c r="E31" s="512" cm="1">
        <f t="array" ref="E31">AVERAGE(SMALL('BS Ratios'!$E$9:$K$9,_xlfn.SEQUENCE(6)))</f>
        <v>3.134469721206247E-3</v>
      </c>
      <c r="F31" s="512" cm="1">
        <f t="array" ref="F31">AVERAGE(SMALL('BS Ratios'!$E$9:$K$9,_xlfn.SEQUENCE(6)))</f>
        <v>3.134469721206247E-3</v>
      </c>
      <c r="G31" s="512" cm="1">
        <f t="array" ref="G31">AVERAGE(SMALL('BS Ratios'!$E$9:$K$9,_xlfn.SEQUENCE(6)))</f>
        <v>3.134469721206247E-3</v>
      </c>
      <c r="H31" s="512" cm="1">
        <f t="array" ref="H31">AVERAGE(SMALL('BS Ratios'!$E$9:$K$9,_xlfn.SEQUENCE(6)))</f>
        <v>3.134469721206247E-3</v>
      </c>
      <c r="I31" s="512" cm="1">
        <f t="array" ref="I31">AVERAGE(SMALL('BS Ratios'!$E$9:$K$9,_xlfn.SEQUENCE(6)))</f>
        <v>3.134469721206247E-3</v>
      </c>
      <c r="J31" s="512" cm="1">
        <f t="array" ref="J31">AVERAGE(SMALL('BS Ratios'!$E$9:$K$9,_xlfn.SEQUENCE(6)))</f>
        <v>3.134469721206247E-3</v>
      </c>
      <c r="K31" s="512" cm="1">
        <f t="array" ref="K31">AVERAGE(SMALL('BS Ratios'!$E$9:$K$9,_xlfn.SEQUENCE(6)))</f>
        <v>3.134469721206247E-3</v>
      </c>
    </row>
    <row r="32" spans="3:11">
      <c r="C32" s="527" t="s">
        <v>666</v>
      </c>
      <c r="E32" s="512">
        <f>'BS Ratios'!$C$9</f>
        <v>3.5409072686342349E-3</v>
      </c>
      <c r="F32" s="512">
        <f>'BS Ratios'!$C$9</f>
        <v>3.5409072686342349E-3</v>
      </c>
      <c r="G32" s="512">
        <f>'BS Ratios'!$C$9</f>
        <v>3.5409072686342349E-3</v>
      </c>
      <c r="H32" s="512">
        <f>'BS Ratios'!$C$9</f>
        <v>3.5409072686342349E-3</v>
      </c>
      <c r="I32" s="512">
        <f>'BS Ratios'!$C$9</f>
        <v>3.5409072686342349E-3</v>
      </c>
      <c r="J32" s="512">
        <f>'BS Ratios'!$C$9</f>
        <v>3.5409072686342349E-3</v>
      </c>
      <c r="K32" s="512">
        <f>'BS Ratios'!$C$9</f>
        <v>3.5409072686342349E-3</v>
      </c>
    </row>
    <row r="33" spans="3:11">
      <c r="C33" s="527" t="s">
        <v>5</v>
      </c>
      <c r="E33" s="512" cm="1">
        <f t="array" ref="E33">AVERAGE(LARGE('BS Ratios'!$E$9:$K$9,_xlfn.SEQUENCE(3)))</f>
        <v>4.7443219678156246E-3</v>
      </c>
      <c r="F33" s="512" cm="1">
        <f t="array" ref="F33">AVERAGE(LARGE('BS Ratios'!$E$9:$K$9,_xlfn.SEQUENCE(3)))</f>
        <v>4.7443219678156246E-3</v>
      </c>
      <c r="G33" s="512" cm="1">
        <f t="array" ref="G33">AVERAGE(LARGE('BS Ratios'!$E$9:$K$9,_xlfn.SEQUENCE(3)))</f>
        <v>4.7443219678156246E-3</v>
      </c>
      <c r="H33" s="512" cm="1">
        <f t="array" ref="H33">AVERAGE(LARGE('BS Ratios'!$E$9:$K$9,_xlfn.SEQUENCE(3)))</f>
        <v>4.7443219678156246E-3</v>
      </c>
      <c r="I33" s="512" cm="1">
        <f t="array" ref="I33">AVERAGE(LARGE('BS Ratios'!$E$9:$K$9,_xlfn.SEQUENCE(3)))</f>
        <v>4.7443219678156246E-3</v>
      </c>
      <c r="J33" s="512" cm="1">
        <f t="array" ref="J33">AVERAGE(LARGE('BS Ratios'!$E$9:$K$9,_xlfn.SEQUENCE(3)))</f>
        <v>4.7443219678156246E-3</v>
      </c>
      <c r="K33" s="512" cm="1">
        <f t="array" ref="K33">AVERAGE(LARGE('BS Ratios'!$E$9:$K$9,_xlfn.SEQUENCE(3)))</f>
        <v>4.7443219678156246E-3</v>
      </c>
    </row>
    <row r="34" spans="3:11">
      <c r="C34" s="527" t="s">
        <v>667</v>
      </c>
      <c r="E34" s="512" cm="1">
        <f t="array" ref="E34">AVERAGE(LARGE('BS Ratios'!$E$9:$K$9,_xlfn.SEQUENCE(2)))</f>
        <v>5.4860183085454501E-3</v>
      </c>
      <c r="F34" s="512" cm="1">
        <f t="array" ref="F34">AVERAGE(LARGE('BS Ratios'!$E$9:$K$9,_xlfn.SEQUENCE(2)))</f>
        <v>5.4860183085454501E-3</v>
      </c>
      <c r="G34" s="512" cm="1">
        <f t="array" ref="G34">AVERAGE(LARGE('BS Ratios'!$E$9:$K$9,_xlfn.SEQUENCE(2)))</f>
        <v>5.4860183085454501E-3</v>
      </c>
      <c r="H34" s="512" cm="1">
        <f t="array" ref="H34">AVERAGE(LARGE('BS Ratios'!$E$9:$K$9,_xlfn.SEQUENCE(2)))</f>
        <v>5.4860183085454501E-3</v>
      </c>
      <c r="I34" s="512" cm="1">
        <f t="array" ref="I34">AVERAGE(LARGE('BS Ratios'!$E$9:$K$9,_xlfn.SEQUENCE(2)))</f>
        <v>5.4860183085454501E-3</v>
      </c>
      <c r="J34" s="512" cm="1">
        <f t="array" ref="J34">AVERAGE(LARGE('BS Ratios'!$E$9:$K$9,_xlfn.SEQUENCE(2)))</f>
        <v>5.4860183085454501E-3</v>
      </c>
      <c r="K34" s="512" cm="1">
        <f t="array" ref="K34">AVERAGE(LARGE('BS Ratios'!$E$9:$K$9,_xlfn.SEQUENCE(2)))</f>
        <v>5.4860183085454501E-3</v>
      </c>
    </row>
    <row r="35" spans="3:11">
      <c r="C35" s="527" t="s">
        <v>668</v>
      </c>
      <c r="E35" s="512" cm="1">
        <f t="array" ref="E35">AVERAGE(LARGE('BS Ratios'!$E$9:$K$9,_xlfn.SEQUENCE(1)))</f>
        <v>5.9795325532021656E-3</v>
      </c>
      <c r="F35" s="512" cm="1">
        <f t="array" ref="F35">AVERAGE(LARGE('BS Ratios'!$E$9:$K$9,_xlfn.SEQUENCE(1)))</f>
        <v>5.9795325532021656E-3</v>
      </c>
      <c r="G35" s="512" cm="1">
        <f t="array" ref="G35">AVERAGE(LARGE('BS Ratios'!$E$9:$K$9,_xlfn.SEQUENCE(1)))</f>
        <v>5.9795325532021656E-3</v>
      </c>
      <c r="H35" s="512" cm="1">
        <f t="array" ref="H35">AVERAGE(LARGE('BS Ratios'!$E$9:$K$9,_xlfn.SEQUENCE(1)))</f>
        <v>5.9795325532021656E-3</v>
      </c>
      <c r="I35" s="512" cm="1">
        <f t="array" ref="I35">AVERAGE(LARGE('BS Ratios'!$E$9:$K$9,_xlfn.SEQUENCE(1)))</f>
        <v>5.9795325532021656E-3</v>
      </c>
      <c r="J35" s="512" cm="1">
        <f t="array" ref="J35">AVERAGE(LARGE('BS Ratios'!$E$9:$K$9,_xlfn.SEQUENCE(1)))</f>
        <v>5.9795325532021656E-3</v>
      </c>
      <c r="K35" s="512" cm="1">
        <f t="array" ref="K35">AVERAGE(LARGE('BS Ratios'!$E$9:$K$9,_xlfn.SEQUENCE(1)))</f>
        <v>5.9795325532021656E-3</v>
      </c>
    </row>
    <row r="36" spans="3:11">
      <c r="E36" s="511"/>
      <c r="F36" s="511"/>
      <c r="G36" s="511"/>
      <c r="H36" s="511"/>
      <c r="I36" s="511"/>
      <c r="J36" s="511"/>
      <c r="K36" s="511"/>
    </row>
    <row r="37" spans="3:11">
      <c r="E37" s="511"/>
      <c r="F37" s="511"/>
      <c r="G37" s="511"/>
      <c r="H37" s="511"/>
      <c r="I37" s="511"/>
      <c r="J37" s="511"/>
      <c r="K37" s="511"/>
    </row>
    <row r="38" spans="3:11">
      <c r="E38" s="1120" t="s">
        <v>593</v>
      </c>
      <c r="F38" s="1120"/>
      <c r="G38" s="1120"/>
      <c r="H38" s="1120"/>
      <c r="I38" s="1120"/>
      <c r="J38" s="1120"/>
      <c r="K38" s="1120"/>
    </row>
    <row r="39" spans="3:11">
      <c r="C39" s="644" t="s">
        <v>664</v>
      </c>
      <c r="E39" s="510" cm="1">
        <f t="array" ref="E39:K39">_xlfn.XLOOKUP($B$3,$C$11:$C$15,E41:K45)</f>
        <v>1.1172091186138877E-2</v>
      </c>
      <c r="F39" s="510">
        <v>1.1172091186138877E-2</v>
      </c>
      <c r="G39" s="510">
        <v>1.1172091186138877E-2</v>
      </c>
      <c r="H39" s="510">
        <v>1.1172091186138877E-2</v>
      </c>
      <c r="I39" s="510">
        <v>1.1172091186138877E-2</v>
      </c>
      <c r="J39" s="510">
        <v>1.1172091186138877E-2</v>
      </c>
      <c r="K39" s="510">
        <v>1.1172091186138877E-2</v>
      </c>
    </row>
    <row r="40" spans="3:11">
      <c r="E40" s="511"/>
      <c r="F40" s="511"/>
      <c r="G40" s="511"/>
      <c r="H40" s="511"/>
      <c r="I40" s="511"/>
      <c r="J40" s="511"/>
      <c r="K40" s="511"/>
    </row>
    <row r="41" spans="3:11">
      <c r="C41" s="527" t="s">
        <v>665</v>
      </c>
      <c r="E41" s="512">
        <f>'BS Ratios'!$K$10</f>
        <v>1.1115881970230244E-2</v>
      </c>
      <c r="F41" s="512" cm="1">
        <f t="array" ref="F41">AVERAGE(LARGE('BS Ratios'!$E$10:$K$10,_xlfn.SEQUENCE(2)))</f>
        <v>1.1172091186138877E-2</v>
      </c>
      <c r="G41" s="512" cm="1">
        <f t="array" ref="G41">AVERAGE(LARGE('BS Ratios'!$E$10:$K$10,_xlfn.SEQUENCE(2)))</f>
        <v>1.1172091186138877E-2</v>
      </c>
      <c r="H41" s="512" cm="1">
        <f t="array" ref="H41">AVERAGE(LARGE('BS Ratios'!$E$10:$K$10,_xlfn.SEQUENCE(2)))</f>
        <v>1.1172091186138877E-2</v>
      </c>
      <c r="I41" s="512" cm="1">
        <f t="array" ref="I41">AVERAGE(LARGE('BS Ratios'!$E$10:$K$10,_xlfn.SEQUENCE(2)))</f>
        <v>1.1172091186138877E-2</v>
      </c>
      <c r="J41" s="512" cm="1">
        <f t="array" ref="J41">AVERAGE(LARGE('BS Ratios'!$E$10:$K$10,_xlfn.SEQUENCE(2)))</f>
        <v>1.1172091186138877E-2</v>
      </c>
      <c r="K41" s="512" cm="1">
        <f t="array" ref="K41">AVERAGE(LARGE('BS Ratios'!$E$10:$K$10,_xlfn.SEQUENCE(2)))</f>
        <v>1.1172091186138877E-2</v>
      </c>
    </row>
    <row r="42" spans="3:11">
      <c r="C42" s="527" t="s">
        <v>666</v>
      </c>
      <c r="E42" s="512" cm="1">
        <f t="array" ref="E42">AVERAGE(LARGE('BS Ratios'!$E$10:$K$10,_xlfn.SEQUENCE(2)))</f>
        <v>1.1172091186138877E-2</v>
      </c>
      <c r="F42" s="512" cm="1">
        <f t="array" ref="F42">AVERAGE(LARGE('BS Ratios'!$E$10:$K$10,_xlfn.SEQUENCE(2)))</f>
        <v>1.1172091186138877E-2</v>
      </c>
      <c r="G42" s="512" cm="1">
        <f t="array" ref="G42">AVERAGE(LARGE('BS Ratios'!$E$10:$K$10,_xlfn.SEQUENCE(2)))</f>
        <v>1.1172091186138877E-2</v>
      </c>
      <c r="H42" s="512" cm="1">
        <f t="array" ref="H42">AVERAGE(LARGE('BS Ratios'!$E$10:$K$10,_xlfn.SEQUENCE(2)))</f>
        <v>1.1172091186138877E-2</v>
      </c>
      <c r="I42" s="512" cm="1">
        <f t="array" ref="I42">AVERAGE(LARGE('BS Ratios'!$E$10:$K$10,_xlfn.SEQUENCE(2)))</f>
        <v>1.1172091186138877E-2</v>
      </c>
      <c r="J42" s="512" cm="1">
        <f t="array" ref="J42">AVERAGE(LARGE('BS Ratios'!$E$10:$K$10,_xlfn.SEQUENCE(2)))</f>
        <v>1.1172091186138877E-2</v>
      </c>
      <c r="K42" s="512" cm="1">
        <f t="array" ref="K42">AVERAGE(LARGE('BS Ratios'!$E$10:$K$10,_xlfn.SEQUENCE(2)))</f>
        <v>1.1172091186138877E-2</v>
      </c>
    </row>
    <row r="43" spans="3:11">
      <c r="C43" s="527" t="s">
        <v>5</v>
      </c>
      <c r="E43" s="512" cm="1">
        <f t="array" ref="E43">AVERAGE(LARGE('BS Ratios'!$E$10:$K$10,_xlfn.SEQUENCE(2)))</f>
        <v>1.1172091186138877E-2</v>
      </c>
      <c r="F43" s="512" cm="1">
        <f t="array" ref="F43">AVERAGE(LARGE('BS Ratios'!$E$10:$K$10,_xlfn.SEQUENCE(2)))</f>
        <v>1.1172091186138877E-2</v>
      </c>
      <c r="G43" s="512" cm="1">
        <f t="array" ref="G43">AVERAGE(LARGE('BS Ratios'!$E$10:$K$10,_xlfn.SEQUENCE(2)))</f>
        <v>1.1172091186138877E-2</v>
      </c>
      <c r="H43" s="512" cm="1">
        <f t="array" ref="H43">AVERAGE(LARGE('BS Ratios'!$E$10:$K$10,_xlfn.SEQUENCE(2)))</f>
        <v>1.1172091186138877E-2</v>
      </c>
      <c r="I43" s="512" cm="1">
        <f t="array" ref="I43">AVERAGE(LARGE('BS Ratios'!$E$10:$K$10,_xlfn.SEQUENCE(2)))</f>
        <v>1.1172091186138877E-2</v>
      </c>
      <c r="J43" s="512" cm="1">
        <f t="array" ref="J43">AVERAGE(LARGE('BS Ratios'!$E$10:$K$10,_xlfn.SEQUENCE(2)))</f>
        <v>1.1172091186138877E-2</v>
      </c>
      <c r="K43" s="512" cm="1">
        <f t="array" ref="K43">AVERAGE(LARGE('BS Ratios'!$E$10:$K$10,_xlfn.SEQUENCE(2)))</f>
        <v>1.1172091186138877E-2</v>
      </c>
    </row>
    <row r="44" spans="3:11">
      <c r="C44" s="527" t="s">
        <v>667</v>
      </c>
      <c r="E44" s="512" cm="1">
        <f t="array" ref="E44">AVERAGE(LARGE('BS Ratios'!$E$10:$K$10,_xlfn.SEQUENCE(2)))</f>
        <v>1.1172091186138877E-2</v>
      </c>
      <c r="F44" s="512" cm="1">
        <f t="array" ref="F44">AVERAGE(LARGE('BS Ratios'!$E$10:$K$10,_xlfn.SEQUENCE(2)))</f>
        <v>1.1172091186138877E-2</v>
      </c>
      <c r="G44" s="512" cm="1">
        <f t="array" ref="G44">AVERAGE(LARGE('BS Ratios'!$E$10:$K$10,_xlfn.SEQUENCE(2)))</f>
        <v>1.1172091186138877E-2</v>
      </c>
      <c r="H44" s="512" cm="1">
        <f t="array" ref="H44">AVERAGE(LARGE('BS Ratios'!$E$10:$K$10,_xlfn.SEQUENCE(2)))</f>
        <v>1.1172091186138877E-2</v>
      </c>
      <c r="I44" s="512" cm="1">
        <f t="array" ref="I44">AVERAGE(LARGE('BS Ratios'!$E$10:$K$10,_xlfn.SEQUENCE(2)))</f>
        <v>1.1172091186138877E-2</v>
      </c>
      <c r="J44" s="512" cm="1">
        <f t="array" ref="J44">AVERAGE(LARGE('BS Ratios'!$E$10:$K$10,_xlfn.SEQUENCE(2)))</f>
        <v>1.1172091186138877E-2</v>
      </c>
      <c r="K44" s="512" cm="1">
        <f t="array" ref="K44">AVERAGE(LARGE('BS Ratios'!$E$10:$K$10,_xlfn.SEQUENCE(2)))</f>
        <v>1.1172091186138877E-2</v>
      </c>
    </row>
    <row r="45" spans="3:11">
      <c r="C45" s="527" t="s">
        <v>668</v>
      </c>
      <c r="E45" s="512" cm="1">
        <f t="array" ref="E45">AVERAGE(LARGE('BS Ratios'!$E$10:$K$10,_xlfn.SEQUENCE(2)))</f>
        <v>1.1172091186138877E-2</v>
      </c>
      <c r="F45" s="512" cm="1">
        <f t="array" ref="F45">AVERAGE(LARGE('BS Ratios'!$E$10:$K$10,_xlfn.SEQUENCE(2)))</f>
        <v>1.1172091186138877E-2</v>
      </c>
      <c r="G45" s="512" cm="1">
        <f t="array" ref="G45">AVERAGE(LARGE('BS Ratios'!$E$10:$K$10,_xlfn.SEQUENCE(2)))</f>
        <v>1.1172091186138877E-2</v>
      </c>
      <c r="H45" s="512" cm="1">
        <f t="array" ref="H45">AVERAGE(LARGE('BS Ratios'!$E$10:$K$10,_xlfn.SEQUENCE(2)))</f>
        <v>1.1172091186138877E-2</v>
      </c>
      <c r="I45" s="512" cm="1">
        <f t="array" ref="I45">AVERAGE(LARGE('BS Ratios'!$E$10:$K$10,_xlfn.SEQUENCE(2)))</f>
        <v>1.1172091186138877E-2</v>
      </c>
      <c r="J45" s="512" cm="1">
        <f t="array" ref="J45">AVERAGE(LARGE('BS Ratios'!$E$10:$K$10,_xlfn.SEQUENCE(2)))</f>
        <v>1.1172091186138877E-2</v>
      </c>
      <c r="K45" s="512" cm="1">
        <f t="array" ref="K45">AVERAGE(LARGE('BS Ratios'!$E$10:$K$10,_xlfn.SEQUENCE(2)))</f>
        <v>1.1172091186138877E-2</v>
      </c>
    </row>
    <row r="46" spans="3:11">
      <c r="E46" s="511"/>
      <c r="F46" s="511"/>
      <c r="G46" s="511"/>
      <c r="H46" s="511"/>
      <c r="I46" s="511"/>
      <c r="J46" s="511"/>
      <c r="K46" s="511"/>
    </row>
    <row r="47" spans="3:11">
      <c r="E47" s="511"/>
      <c r="F47" s="511"/>
      <c r="G47" s="511"/>
      <c r="H47" s="511"/>
      <c r="I47" s="511"/>
      <c r="J47" s="511"/>
      <c r="K47" s="511"/>
    </row>
    <row r="48" spans="3:11">
      <c r="E48" s="1120" t="s">
        <v>594</v>
      </c>
      <c r="F48" s="1120"/>
      <c r="G48" s="1120"/>
      <c r="H48" s="1120"/>
      <c r="I48" s="1120"/>
      <c r="J48" s="1120"/>
      <c r="K48" s="1120"/>
    </row>
    <row r="49" spans="3:11">
      <c r="C49" s="644" t="s">
        <v>664</v>
      </c>
      <c r="E49" s="510" cm="1">
        <f t="array" ref="E49:K49">_xlfn.XLOOKUP($B$3,$C$11:$C$15,E51:K55)</f>
        <v>4.9450951131656496E-3</v>
      </c>
      <c r="F49" s="510">
        <v>4.9450951131656496E-3</v>
      </c>
      <c r="G49" s="510">
        <v>4.9450951131656496E-3</v>
      </c>
      <c r="H49" s="510">
        <v>4.9450951131656496E-3</v>
      </c>
      <c r="I49" s="510">
        <v>4.9450951131656496E-3</v>
      </c>
      <c r="J49" s="510">
        <v>4.9450951131656496E-3</v>
      </c>
      <c r="K49" s="510">
        <v>4.9450951131656496E-3</v>
      </c>
    </row>
    <row r="50" spans="3:11">
      <c r="E50" s="511"/>
      <c r="F50" s="511"/>
      <c r="G50" s="511"/>
      <c r="H50" s="511"/>
      <c r="I50" s="511"/>
      <c r="J50" s="511"/>
      <c r="K50" s="511"/>
    </row>
    <row r="51" spans="3:11">
      <c r="C51" s="527" t="s">
        <v>665</v>
      </c>
      <c r="E51" s="512" cm="1">
        <f t="array" ref="E51">AVERAGE(SMALL('BS Ratios'!$E$11:$K$11,_xlfn.SEQUENCE(1)))</f>
        <v>4.2248476486494548E-3</v>
      </c>
      <c r="F51" s="512" cm="1">
        <f t="array" ref="F51">AVERAGE(SMALL('BS Ratios'!$E$11:$K$11,_xlfn.SEQUENCE(1)))</f>
        <v>4.2248476486494548E-3</v>
      </c>
      <c r="G51" s="512" cm="1">
        <f t="array" ref="G51">AVERAGE(SMALL('BS Ratios'!$E$11:$K$11,_xlfn.SEQUENCE(1)))</f>
        <v>4.2248476486494548E-3</v>
      </c>
      <c r="H51" s="512" cm="1">
        <f t="array" ref="H51">AVERAGE(SMALL('BS Ratios'!$E$11:$K$11,_xlfn.SEQUENCE(1)))</f>
        <v>4.2248476486494548E-3</v>
      </c>
      <c r="I51" s="512" cm="1">
        <f t="array" ref="I51">AVERAGE(SMALL('BS Ratios'!$E$11:$K$11,_xlfn.SEQUENCE(1)))</f>
        <v>4.2248476486494548E-3</v>
      </c>
      <c r="J51" s="512" cm="1">
        <f t="array" ref="J51">AVERAGE(SMALL('BS Ratios'!$E$11:$K$11,_xlfn.SEQUENCE(1)))</f>
        <v>4.2248476486494548E-3</v>
      </c>
      <c r="K51" s="512" cm="1">
        <f t="array" ref="K51">AVERAGE(SMALL('BS Ratios'!$E$11:$K$11,_xlfn.SEQUENCE(1)))</f>
        <v>4.2248476486494548E-3</v>
      </c>
    </row>
    <row r="52" spans="3:11">
      <c r="C52" s="527" t="s">
        <v>666</v>
      </c>
      <c r="E52" s="512" cm="1">
        <f t="array" ref="E52">AVERAGE(SMALL('BS Ratios'!$E$11:$K$11,_xlfn.SEQUENCE(2)))</f>
        <v>4.5300201907110399E-3</v>
      </c>
      <c r="F52" s="512" cm="1">
        <f t="array" ref="F52">AVERAGE(SMALL('BS Ratios'!$E$11:$K$11,_xlfn.SEQUENCE(2)))</f>
        <v>4.5300201907110399E-3</v>
      </c>
      <c r="G52" s="512" cm="1">
        <f t="array" ref="G52">AVERAGE(SMALL('BS Ratios'!$E$11:$K$11,_xlfn.SEQUENCE(2)))</f>
        <v>4.5300201907110399E-3</v>
      </c>
      <c r="H52" s="512" cm="1">
        <f t="array" ref="H52">AVERAGE(SMALL('BS Ratios'!$E$11:$K$11,_xlfn.SEQUENCE(2)))</f>
        <v>4.5300201907110399E-3</v>
      </c>
      <c r="I52" s="512" cm="1">
        <f t="array" ref="I52">AVERAGE(SMALL('BS Ratios'!$E$11:$K$11,_xlfn.SEQUENCE(2)))</f>
        <v>4.5300201907110399E-3</v>
      </c>
      <c r="J52" s="512" cm="1">
        <f t="array" ref="J52">AVERAGE(SMALL('BS Ratios'!$E$11:$K$11,_xlfn.SEQUENCE(2)))</f>
        <v>4.5300201907110399E-3</v>
      </c>
      <c r="K52" s="512" cm="1">
        <f t="array" ref="K52">AVERAGE(SMALL('BS Ratios'!$E$11:$K$11,_xlfn.SEQUENCE(2)))</f>
        <v>4.5300201907110399E-3</v>
      </c>
    </row>
    <row r="53" spans="3:11">
      <c r="C53" s="527" t="s">
        <v>5</v>
      </c>
      <c r="E53" s="512" cm="1">
        <f t="array" ref="E53">AVERAGE(SMALL('BS Ratios'!$E$11:$K$11,_xlfn.SEQUENCE(3)))</f>
        <v>4.9450951131656496E-3</v>
      </c>
      <c r="F53" s="512" cm="1">
        <f t="array" ref="F53">AVERAGE(SMALL('BS Ratios'!$E$11:$K$11,_xlfn.SEQUENCE(3)))</f>
        <v>4.9450951131656496E-3</v>
      </c>
      <c r="G53" s="512" cm="1">
        <f t="array" ref="G53">AVERAGE(SMALL('BS Ratios'!$E$11:$K$11,_xlfn.SEQUENCE(3)))</f>
        <v>4.9450951131656496E-3</v>
      </c>
      <c r="H53" s="512" cm="1">
        <f t="array" ref="H53">AVERAGE(SMALL('BS Ratios'!$E$11:$K$11,_xlfn.SEQUENCE(3)))</f>
        <v>4.9450951131656496E-3</v>
      </c>
      <c r="I53" s="512" cm="1">
        <f t="array" ref="I53">AVERAGE(SMALL('BS Ratios'!$E$11:$K$11,_xlfn.SEQUENCE(3)))</f>
        <v>4.9450951131656496E-3</v>
      </c>
      <c r="J53" s="512" cm="1">
        <f t="array" ref="J53">AVERAGE(SMALL('BS Ratios'!$E$11:$K$11,_xlfn.SEQUENCE(3)))</f>
        <v>4.9450951131656496E-3</v>
      </c>
      <c r="K53" s="512" cm="1">
        <f t="array" ref="K53">AVERAGE(SMALL('BS Ratios'!$E$11:$K$11,_xlfn.SEQUENCE(3)))</f>
        <v>4.9450951131656496E-3</v>
      </c>
    </row>
    <row r="54" spans="3:11">
      <c r="C54" s="527" t="s">
        <v>667</v>
      </c>
      <c r="E54" s="512" cm="1">
        <f t="array" ref="E54">AVERAGE(SMALL('BS Ratios'!$E$11:$K$11,_xlfn.SEQUENCE(4)))</f>
        <v>5.4609765005810247E-3</v>
      </c>
      <c r="F54" s="512" cm="1">
        <f t="array" ref="F54">AVERAGE(SMALL('BS Ratios'!$E$11:$K$11,_xlfn.SEQUENCE(4)))</f>
        <v>5.4609765005810247E-3</v>
      </c>
      <c r="G54" s="512" cm="1">
        <f t="array" ref="G54">AVERAGE(SMALL('BS Ratios'!$E$11:$K$11,_xlfn.SEQUENCE(4)))</f>
        <v>5.4609765005810247E-3</v>
      </c>
      <c r="H54" s="512" cm="1">
        <f t="array" ref="H54">AVERAGE(SMALL('BS Ratios'!$E$11:$K$11,_xlfn.SEQUENCE(4)))</f>
        <v>5.4609765005810247E-3</v>
      </c>
      <c r="I54" s="512" cm="1">
        <f t="array" ref="I54">AVERAGE(SMALL('BS Ratios'!$E$11:$K$11,_xlfn.SEQUENCE(4)))</f>
        <v>5.4609765005810247E-3</v>
      </c>
      <c r="J54" s="512" cm="1">
        <f t="array" ref="J54">AVERAGE(SMALL('BS Ratios'!$E$11:$K$11,_xlfn.SEQUENCE(4)))</f>
        <v>5.4609765005810247E-3</v>
      </c>
      <c r="K54" s="512" cm="1">
        <f t="array" ref="K54">AVERAGE(SMALL('BS Ratios'!$E$11:$K$11,_xlfn.SEQUENCE(4)))</f>
        <v>5.4609765005810247E-3</v>
      </c>
    </row>
    <row r="55" spans="3:11">
      <c r="C55" s="527" t="s">
        <v>668</v>
      </c>
      <c r="E55" s="512">
        <f>'BS Ratios'!$C$11</f>
        <v>7.5939514351897486E-3</v>
      </c>
      <c r="F55" s="512">
        <f>'BS Ratios'!$C$11</f>
        <v>7.5939514351897486E-3</v>
      </c>
      <c r="G55" s="512">
        <f>'BS Ratios'!$C$11</f>
        <v>7.5939514351897486E-3</v>
      </c>
      <c r="H55" s="512">
        <f>'BS Ratios'!$C$11</f>
        <v>7.5939514351897486E-3</v>
      </c>
      <c r="I55" s="512">
        <f>'BS Ratios'!$C$11</f>
        <v>7.5939514351897486E-3</v>
      </c>
      <c r="J55" s="512">
        <f>'BS Ratios'!$C$11</f>
        <v>7.5939514351897486E-3</v>
      </c>
      <c r="K55" s="512">
        <f>'BS Ratios'!$C$11</f>
        <v>7.5939514351897486E-3</v>
      </c>
    </row>
    <row r="56" spans="3:11">
      <c r="E56" s="511"/>
      <c r="F56" s="511"/>
      <c r="G56" s="511"/>
      <c r="H56" s="511"/>
      <c r="I56" s="511"/>
      <c r="J56" s="511"/>
      <c r="K56" s="511"/>
    </row>
    <row r="57" spans="3:11">
      <c r="E57" s="511"/>
      <c r="F57" s="511"/>
      <c r="G57" s="511"/>
      <c r="H57" s="511"/>
      <c r="I57" s="511"/>
      <c r="J57" s="511"/>
      <c r="K57" s="511"/>
    </row>
    <row r="58" spans="3:11">
      <c r="E58" s="1120" t="s">
        <v>595</v>
      </c>
      <c r="F58" s="1120"/>
      <c r="G58" s="1120"/>
      <c r="H58" s="1120"/>
      <c r="I58" s="1120"/>
      <c r="J58" s="1120"/>
      <c r="K58" s="1120"/>
    </row>
    <row r="59" spans="3:11">
      <c r="C59" s="644" t="s">
        <v>664</v>
      </c>
      <c r="E59" s="510" cm="1">
        <f t="array" ref="E59:K59">_xlfn.XLOOKUP($B$3,$C$11:$C$15,E61:K65)</f>
        <v>1.9111094610903809E-2</v>
      </c>
      <c r="F59" s="510">
        <v>1.9111094610903809E-2</v>
      </c>
      <c r="G59" s="510">
        <v>1.9111094610903809E-2</v>
      </c>
      <c r="H59" s="510">
        <v>1.9111094610903809E-2</v>
      </c>
      <c r="I59" s="510">
        <v>1.9111094610903809E-2</v>
      </c>
      <c r="J59" s="510">
        <v>1.9111094610903809E-2</v>
      </c>
      <c r="K59" s="510">
        <v>1.9111094610903809E-2</v>
      </c>
    </row>
    <row r="60" spans="3:11">
      <c r="E60" s="511"/>
      <c r="F60" s="511"/>
      <c r="G60" s="511"/>
      <c r="H60" s="511"/>
      <c r="I60" s="511"/>
      <c r="J60" s="511"/>
      <c r="K60" s="511"/>
    </row>
    <row r="61" spans="3:11">
      <c r="C61" s="527" t="s">
        <v>665</v>
      </c>
      <c r="E61" s="512" cm="1">
        <f t="array" ref="E61">AVERAGE(SMALL('BS Ratios'!$E$12:$K$12,_xlfn.SEQUENCE(1)))</f>
        <v>1.9111094610903809E-2</v>
      </c>
      <c r="F61" s="512" cm="1">
        <f t="array" ref="F61">AVERAGE(SMALL('BS Ratios'!$E$12:$K$12,_xlfn.SEQUENCE(1)))</f>
        <v>1.9111094610903809E-2</v>
      </c>
      <c r="G61" s="512" cm="1">
        <f t="array" ref="G61">AVERAGE(SMALL('BS Ratios'!$E$12:$K$12,_xlfn.SEQUENCE(1)))</f>
        <v>1.9111094610903809E-2</v>
      </c>
      <c r="H61" s="512" cm="1">
        <f t="array" ref="H61">AVERAGE(SMALL('BS Ratios'!$E$12:$K$12,_xlfn.SEQUENCE(1)))</f>
        <v>1.9111094610903809E-2</v>
      </c>
      <c r="I61" s="512" cm="1">
        <f t="array" ref="I61">AVERAGE(SMALL('BS Ratios'!$E$12:$K$12,_xlfn.SEQUENCE(1)))</f>
        <v>1.9111094610903809E-2</v>
      </c>
      <c r="J61" s="512" cm="1">
        <f t="array" ref="J61">AVERAGE(SMALL('BS Ratios'!$E$12:$K$12,_xlfn.SEQUENCE(1)))</f>
        <v>1.9111094610903809E-2</v>
      </c>
      <c r="K61" s="512" cm="1">
        <f t="array" ref="K61">AVERAGE(SMALL('BS Ratios'!$E$12:$K$12,_xlfn.SEQUENCE(1)))</f>
        <v>1.9111094610903809E-2</v>
      </c>
    </row>
    <row r="62" spans="3:11">
      <c r="C62" s="527" t="s">
        <v>666</v>
      </c>
      <c r="E62" s="512" cm="1">
        <f t="array" ref="E62">AVERAGE(SMALL('BS Ratios'!$E$12:$K$12,_xlfn.SEQUENCE(1)))</f>
        <v>1.9111094610903809E-2</v>
      </c>
      <c r="F62" s="512" cm="1">
        <f t="array" ref="F62">AVERAGE(SMALL('BS Ratios'!$E$12:$K$12,_xlfn.SEQUENCE(1)))</f>
        <v>1.9111094610903809E-2</v>
      </c>
      <c r="G62" s="512" cm="1">
        <f t="array" ref="G62">AVERAGE(SMALL('BS Ratios'!$E$12:$K$12,_xlfn.SEQUENCE(1)))</f>
        <v>1.9111094610903809E-2</v>
      </c>
      <c r="H62" s="512" cm="1">
        <f t="array" ref="H62">AVERAGE(SMALL('BS Ratios'!$E$12:$K$12,_xlfn.SEQUENCE(1)))</f>
        <v>1.9111094610903809E-2</v>
      </c>
      <c r="I62" s="512" cm="1">
        <f t="array" ref="I62">AVERAGE(SMALL('BS Ratios'!$E$12:$K$12,_xlfn.SEQUENCE(1)))</f>
        <v>1.9111094610903809E-2</v>
      </c>
      <c r="J62" s="512" cm="1">
        <f t="array" ref="J62">AVERAGE(SMALL('BS Ratios'!$E$12:$K$12,_xlfn.SEQUENCE(1)))</f>
        <v>1.9111094610903809E-2</v>
      </c>
      <c r="K62" s="512" cm="1">
        <f t="array" ref="K62">AVERAGE(SMALL('BS Ratios'!$E$12:$K$12,_xlfn.SEQUENCE(1)))</f>
        <v>1.9111094610903809E-2</v>
      </c>
    </row>
    <row r="63" spans="3:11">
      <c r="C63" s="527" t="s">
        <v>5</v>
      </c>
      <c r="E63" s="512" cm="1">
        <f t="array" ref="E63">AVERAGE(SMALL('BS Ratios'!$E$12:$K$12,_xlfn.SEQUENCE(1)))</f>
        <v>1.9111094610903809E-2</v>
      </c>
      <c r="F63" s="512" cm="1">
        <f t="array" ref="F63">AVERAGE(SMALL('BS Ratios'!$E$12:$K$12,_xlfn.SEQUENCE(1)))</f>
        <v>1.9111094610903809E-2</v>
      </c>
      <c r="G63" s="512" cm="1">
        <f t="array" ref="G63">AVERAGE(SMALL('BS Ratios'!$E$12:$K$12,_xlfn.SEQUENCE(1)))</f>
        <v>1.9111094610903809E-2</v>
      </c>
      <c r="H63" s="512" cm="1">
        <f t="array" ref="H63">AVERAGE(SMALL('BS Ratios'!$E$12:$K$12,_xlfn.SEQUENCE(1)))</f>
        <v>1.9111094610903809E-2</v>
      </c>
      <c r="I63" s="512" cm="1">
        <f t="array" ref="I63">AVERAGE(SMALL('BS Ratios'!$E$12:$K$12,_xlfn.SEQUENCE(1)))</f>
        <v>1.9111094610903809E-2</v>
      </c>
      <c r="J63" s="512" cm="1">
        <f t="array" ref="J63">AVERAGE(SMALL('BS Ratios'!$E$12:$K$12,_xlfn.SEQUENCE(1)))</f>
        <v>1.9111094610903809E-2</v>
      </c>
      <c r="K63" s="512" cm="1">
        <f t="array" ref="K63">AVERAGE(SMALL('BS Ratios'!$E$12:$K$12,_xlfn.SEQUENCE(1)))</f>
        <v>1.9111094610903809E-2</v>
      </c>
    </row>
    <row r="64" spans="3:11">
      <c r="C64" s="527" t="s">
        <v>667</v>
      </c>
      <c r="E64" s="512" cm="1">
        <f t="array" ref="E64">AVERAGE(SMALL('BS Ratios'!$E$12:$K$12,_xlfn.SEQUENCE(3)))</f>
        <v>2.6769971463687706E-2</v>
      </c>
      <c r="F64" s="512" cm="1">
        <f t="array" ref="F64">AVERAGE(SMALL('BS Ratios'!$E$12:$K$12,_xlfn.SEQUENCE(3)))</f>
        <v>2.6769971463687706E-2</v>
      </c>
      <c r="G64" s="512" cm="1">
        <f t="array" ref="G64">AVERAGE(SMALL('BS Ratios'!$E$12:$K$12,_xlfn.SEQUENCE(3)))</f>
        <v>2.6769971463687706E-2</v>
      </c>
      <c r="H64" s="512" cm="1">
        <f t="array" ref="H64">AVERAGE(SMALL('BS Ratios'!$E$12:$K$12,_xlfn.SEQUENCE(3)))</f>
        <v>2.6769971463687706E-2</v>
      </c>
      <c r="I64" s="512" cm="1">
        <f t="array" ref="I64">AVERAGE(SMALL('BS Ratios'!$E$12:$K$12,_xlfn.SEQUENCE(3)))</f>
        <v>2.6769971463687706E-2</v>
      </c>
      <c r="J64" s="512" cm="1">
        <f t="array" ref="J64">AVERAGE(SMALL('BS Ratios'!$E$12:$K$12,_xlfn.SEQUENCE(3)))</f>
        <v>2.6769971463687706E-2</v>
      </c>
      <c r="K64" s="512" cm="1">
        <f t="array" ref="K64">AVERAGE(SMALL('BS Ratios'!$E$12:$K$12,_xlfn.SEQUENCE(3)))</f>
        <v>2.6769971463687706E-2</v>
      </c>
    </row>
    <row r="65" spans="3:11">
      <c r="C65" s="527" t="s">
        <v>668</v>
      </c>
      <c r="E65" s="512" cm="1">
        <f t="array" ref="E65">AVERAGE(SMALL('BS Ratios'!$E$12:$K$12,_xlfn.SEQUENCE(4)))</f>
        <v>2.8785915394990511E-2</v>
      </c>
      <c r="F65" s="512" cm="1">
        <f t="array" ref="F65">AVERAGE(SMALL('BS Ratios'!$E$12:$K$12,_xlfn.SEQUENCE(4)))</f>
        <v>2.8785915394990511E-2</v>
      </c>
      <c r="G65" s="512" cm="1">
        <f t="array" ref="G65">AVERAGE(SMALL('BS Ratios'!$E$12:$K$12,_xlfn.SEQUENCE(4)))</f>
        <v>2.8785915394990511E-2</v>
      </c>
      <c r="H65" s="512" cm="1">
        <f t="array" ref="H65">AVERAGE(SMALL('BS Ratios'!$E$12:$K$12,_xlfn.SEQUENCE(4)))</f>
        <v>2.8785915394990511E-2</v>
      </c>
      <c r="I65" s="512" cm="1">
        <f t="array" ref="I65">AVERAGE(SMALL('BS Ratios'!$E$12:$K$12,_xlfn.SEQUENCE(4)))</f>
        <v>2.8785915394990511E-2</v>
      </c>
      <c r="J65" s="512" cm="1">
        <f t="array" ref="J65">AVERAGE(SMALL('BS Ratios'!$E$12:$K$12,_xlfn.SEQUENCE(4)))</f>
        <v>2.8785915394990511E-2</v>
      </c>
      <c r="K65" s="512" cm="1">
        <f t="array" ref="K65">AVERAGE(SMALL('BS Ratios'!$E$12:$K$12,_xlfn.SEQUENCE(4)))</f>
        <v>2.8785915394990511E-2</v>
      </c>
    </row>
    <row r="66" spans="3:11">
      <c r="E66" s="511"/>
      <c r="F66" s="511"/>
      <c r="G66" s="511"/>
      <c r="H66" s="511"/>
      <c r="I66" s="511"/>
      <c r="J66" s="511"/>
      <c r="K66" s="511"/>
    </row>
    <row r="67" spans="3:11">
      <c r="E67" s="511"/>
      <c r="F67" s="511"/>
      <c r="G67" s="511"/>
      <c r="H67" s="511"/>
      <c r="I67" s="511"/>
      <c r="J67" s="511"/>
      <c r="K67" s="511"/>
    </row>
    <row r="68" spans="3:11">
      <c r="E68" s="1120" t="s">
        <v>679</v>
      </c>
      <c r="F68" s="1120"/>
      <c r="G68" s="1120"/>
      <c r="H68" s="1120"/>
      <c r="I68" s="1120"/>
      <c r="J68" s="1120"/>
      <c r="K68" s="1120"/>
    </row>
    <row r="69" spans="3:11">
      <c r="C69" s="644" t="s">
        <v>664</v>
      </c>
      <c r="E69" s="514" cm="1">
        <f t="array" ref="E69:K69">_xlfn.XLOOKUP($B$3,$C$11:$C$15,E71:K75)</f>
        <v>114.059</v>
      </c>
      <c r="F69" s="514">
        <v>114.059</v>
      </c>
      <c r="G69" s="514">
        <v>114.059</v>
      </c>
      <c r="H69" s="514">
        <v>114.059</v>
      </c>
      <c r="I69" s="514">
        <v>114.059</v>
      </c>
      <c r="J69" s="514">
        <v>114.059</v>
      </c>
      <c r="K69" s="514">
        <v>114.059</v>
      </c>
    </row>
    <row r="70" spans="3:11">
      <c r="E70" s="511"/>
      <c r="F70" s="511"/>
      <c r="G70" s="511"/>
      <c r="H70" s="511"/>
      <c r="I70" s="511"/>
      <c r="J70" s="511"/>
      <c r="K70" s="511"/>
    </row>
    <row r="71" spans="3:11">
      <c r="C71" s="527" t="s">
        <v>665</v>
      </c>
      <c r="E71" s="779">
        <f>'BS Intergrated'!$K$33</f>
        <v>114.059</v>
      </c>
      <c r="F71" s="779">
        <f>'BS Intergrated'!$K$33</f>
        <v>114.059</v>
      </c>
      <c r="G71" s="779">
        <f>'BS Intergrated'!$K$33</f>
        <v>114.059</v>
      </c>
      <c r="H71" s="779">
        <f>'BS Intergrated'!$K$33</f>
        <v>114.059</v>
      </c>
      <c r="I71" s="779">
        <f>'BS Intergrated'!$K$33</f>
        <v>114.059</v>
      </c>
      <c r="J71" s="779">
        <f>'BS Intergrated'!$K$33</f>
        <v>114.059</v>
      </c>
      <c r="K71" s="779">
        <f>'BS Intergrated'!$K$33</f>
        <v>114.059</v>
      </c>
    </row>
    <row r="72" spans="3:11">
      <c r="C72" s="527" t="s">
        <v>666</v>
      </c>
      <c r="E72" s="779">
        <f>'BS Intergrated'!$K$33</f>
        <v>114.059</v>
      </c>
      <c r="F72" s="779">
        <f>'BS Intergrated'!$K$33</f>
        <v>114.059</v>
      </c>
      <c r="G72" s="779">
        <f>'BS Intergrated'!$K$33</f>
        <v>114.059</v>
      </c>
      <c r="H72" s="779">
        <f>'BS Intergrated'!$K$33</f>
        <v>114.059</v>
      </c>
      <c r="I72" s="779">
        <f>'BS Intergrated'!$K$33</f>
        <v>114.059</v>
      </c>
      <c r="J72" s="779">
        <f>'BS Intergrated'!$K$33</f>
        <v>114.059</v>
      </c>
      <c r="K72" s="779">
        <f>'BS Intergrated'!$K$33</f>
        <v>114.059</v>
      </c>
    </row>
    <row r="73" spans="3:11">
      <c r="C73" s="527" t="s">
        <v>5</v>
      </c>
      <c r="E73" s="779">
        <f>'BS Intergrated'!$K$33</f>
        <v>114.059</v>
      </c>
      <c r="F73" s="779">
        <f>'BS Intergrated'!$K$33</f>
        <v>114.059</v>
      </c>
      <c r="G73" s="779">
        <f>'BS Intergrated'!$K$33</f>
        <v>114.059</v>
      </c>
      <c r="H73" s="779">
        <f>'BS Intergrated'!$K$33</f>
        <v>114.059</v>
      </c>
      <c r="I73" s="779">
        <f>'BS Intergrated'!$K$33</f>
        <v>114.059</v>
      </c>
      <c r="J73" s="779">
        <f>'BS Intergrated'!$K$33</f>
        <v>114.059</v>
      </c>
      <c r="K73" s="779">
        <f>'BS Intergrated'!$K$33</f>
        <v>114.059</v>
      </c>
    </row>
    <row r="74" spans="3:11">
      <c r="C74" s="527" t="s">
        <v>667</v>
      </c>
      <c r="E74" s="779">
        <f>'BS Intergrated'!$K$33</f>
        <v>114.059</v>
      </c>
      <c r="F74" s="779">
        <f>'BS Intergrated'!$K$33</f>
        <v>114.059</v>
      </c>
      <c r="G74" s="779">
        <f>'BS Intergrated'!$K$33</f>
        <v>114.059</v>
      </c>
      <c r="H74" s="779">
        <f>'BS Intergrated'!$K$33</f>
        <v>114.059</v>
      </c>
      <c r="I74" s="779">
        <f>'BS Intergrated'!$K$33</f>
        <v>114.059</v>
      </c>
      <c r="J74" s="779">
        <f>'BS Intergrated'!$K$33</f>
        <v>114.059</v>
      </c>
      <c r="K74" s="779">
        <f>'BS Intergrated'!$K$33</f>
        <v>114.059</v>
      </c>
    </row>
    <row r="75" spans="3:11">
      <c r="C75" s="527" t="s">
        <v>668</v>
      </c>
      <c r="E75" s="779">
        <f>'BS Intergrated'!$K$33</f>
        <v>114.059</v>
      </c>
      <c r="F75" s="779">
        <f>'BS Intergrated'!$K$33</f>
        <v>114.059</v>
      </c>
      <c r="G75" s="779">
        <f>'BS Intergrated'!$K$33</f>
        <v>114.059</v>
      </c>
      <c r="H75" s="779">
        <f>'BS Intergrated'!$K$33</f>
        <v>114.059</v>
      </c>
      <c r="I75" s="779">
        <f>'BS Intergrated'!$K$33</f>
        <v>114.059</v>
      </c>
      <c r="J75" s="779">
        <f>'BS Intergrated'!$K$33</f>
        <v>114.059</v>
      </c>
      <c r="K75" s="779">
        <f>'BS Intergrated'!$K$33</f>
        <v>114.059</v>
      </c>
    </row>
    <row r="76" spans="3:11">
      <c r="E76" s="511"/>
      <c r="F76" s="511"/>
      <c r="G76" s="511"/>
      <c r="H76" s="511"/>
      <c r="I76" s="511"/>
      <c r="J76" s="511"/>
      <c r="K76" s="511"/>
    </row>
    <row r="77" spans="3:11">
      <c r="E77" s="511"/>
      <c r="F77" s="511"/>
      <c r="G77" s="511"/>
      <c r="H77" s="511"/>
      <c r="I77" s="511"/>
      <c r="J77" s="511"/>
      <c r="K77" s="511"/>
    </row>
    <row r="78" spans="3:11">
      <c r="E78" s="1120" t="s">
        <v>599</v>
      </c>
      <c r="F78" s="1120"/>
      <c r="G78" s="1120"/>
      <c r="H78" s="1120"/>
      <c r="I78" s="1120"/>
      <c r="J78" s="1120"/>
      <c r="K78" s="1120"/>
    </row>
    <row r="79" spans="3:11">
      <c r="C79" s="644" t="s">
        <v>664</v>
      </c>
      <c r="E79" s="514" cm="1">
        <f t="array" ref="E79:K79">_xlfn.XLOOKUP($B$3,$C$11:$C$15,E81:K85)</f>
        <v>4.0880000000000001</v>
      </c>
      <c r="F79" s="925">
        <v>4.0880000000000001</v>
      </c>
      <c r="G79" s="514">
        <v>4.0880000000000001</v>
      </c>
      <c r="H79" s="514">
        <v>4.0880000000000001</v>
      </c>
      <c r="I79" s="514">
        <v>4.0880000000000001</v>
      </c>
      <c r="J79" s="514">
        <v>4.0880000000000001</v>
      </c>
      <c r="K79" s="514">
        <v>4.0880000000000001</v>
      </c>
    </row>
    <row r="80" spans="3:11">
      <c r="E80" s="511"/>
      <c r="F80" s="511"/>
      <c r="G80" s="511"/>
      <c r="H80" s="511"/>
      <c r="I80" s="511"/>
      <c r="J80" s="511"/>
      <c r="K80" s="511"/>
    </row>
    <row r="81" spans="3:11">
      <c r="C81" s="527" t="s">
        <v>665</v>
      </c>
      <c r="E81" s="779">
        <f>'BS Intergrated'!$K$34</f>
        <v>4.0880000000000001</v>
      </c>
      <c r="F81" s="779">
        <f>'BS Intergrated'!$K$34</f>
        <v>4.0880000000000001</v>
      </c>
      <c r="G81" s="779">
        <f>'BS Intergrated'!$K$34</f>
        <v>4.0880000000000001</v>
      </c>
      <c r="H81" s="779">
        <f>'BS Intergrated'!$K$34</f>
        <v>4.0880000000000001</v>
      </c>
      <c r="I81" s="779">
        <f>'BS Intergrated'!$K$34</f>
        <v>4.0880000000000001</v>
      </c>
      <c r="J81" s="779">
        <f>'BS Intergrated'!$K$34</f>
        <v>4.0880000000000001</v>
      </c>
      <c r="K81" s="779">
        <f>'BS Intergrated'!$K$34</f>
        <v>4.0880000000000001</v>
      </c>
    </row>
    <row r="82" spans="3:11">
      <c r="C82" s="527" t="s">
        <v>666</v>
      </c>
      <c r="E82" s="779">
        <f>'BS Intergrated'!$K$34</f>
        <v>4.0880000000000001</v>
      </c>
      <c r="F82" s="779">
        <f>'BS Intergrated'!$K$34</f>
        <v>4.0880000000000001</v>
      </c>
      <c r="G82" s="779">
        <f>'BS Intergrated'!$K$34</f>
        <v>4.0880000000000001</v>
      </c>
      <c r="H82" s="779">
        <f>'BS Intergrated'!$K$34</f>
        <v>4.0880000000000001</v>
      </c>
      <c r="I82" s="779">
        <f>'BS Intergrated'!$K$34</f>
        <v>4.0880000000000001</v>
      </c>
      <c r="J82" s="779">
        <f>'BS Intergrated'!$K$34</f>
        <v>4.0880000000000001</v>
      </c>
      <c r="K82" s="779">
        <f>'BS Intergrated'!$K$34</f>
        <v>4.0880000000000001</v>
      </c>
    </row>
    <row r="83" spans="3:11">
      <c r="C83" s="527" t="s">
        <v>5</v>
      </c>
      <c r="E83" s="779">
        <f>'BS Intergrated'!$K$34</f>
        <v>4.0880000000000001</v>
      </c>
      <c r="F83" s="779">
        <f>'BS Intergrated'!$K$34</f>
        <v>4.0880000000000001</v>
      </c>
      <c r="G83" s="779">
        <f>'BS Intergrated'!$K$34</f>
        <v>4.0880000000000001</v>
      </c>
      <c r="H83" s="779">
        <f>'BS Intergrated'!$K$34</f>
        <v>4.0880000000000001</v>
      </c>
      <c r="I83" s="779">
        <f>'BS Intergrated'!$K$34</f>
        <v>4.0880000000000001</v>
      </c>
      <c r="J83" s="779">
        <f>'BS Intergrated'!$K$34</f>
        <v>4.0880000000000001</v>
      </c>
      <c r="K83" s="779">
        <f>'BS Intergrated'!$K$34</f>
        <v>4.0880000000000001</v>
      </c>
    </row>
    <row r="84" spans="3:11">
      <c r="C84" s="527" t="s">
        <v>667</v>
      </c>
      <c r="E84" s="779">
        <f>'BS Intergrated'!$K$34</f>
        <v>4.0880000000000001</v>
      </c>
      <c r="F84" s="779">
        <f>'BS Intergrated'!$K$34</f>
        <v>4.0880000000000001</v>
      </c>
      <c r="G84" s="779">
        <f>'BS Intergrated'!$K$34</f>
        <v>4.0880000000000001</v>
      </c>
      <c r="H84" s="779">
        <f>'BS Intergrated'!$K$34</f>
        <v>4.0880000000000001</v>
      </c>
      <c r="I84" s="779">
        <f>'BS Intergrated'!$K$34</f>
        <v>4.0880000000000001</v>
      </c>
      <c r="J84" s="779">
        <f>'BS Intergrated'!$K$34</f>
        <v>4.0880000000000001</v>
      </c>
      <c r="K84" s="779">
        <f>'BS Intergrated'!$K$34</f>
        <v>4.0880000000000001</v>
      </c>
    </row>
    <row r="85" spans="3:11">
      <c r="C85" s="527" t="s">
        <v>668</v>
      </c>
      <c r="E85" s="779">
        <f>'BS Intergrated'!$K$34</f>
        <v>4.0880000000000001</v>
      </c>
      <c r="F85" s="779">
        <f>'BS Intergrated'!$K$34</f>
        <v>4.0880000000000001</v>
      </c>
      <c r="G85" s="779">
        <f>'BS Intergrated'!$K$34</f>
        <v>4.0880000000000001</v>
      </c>
      <c r="H85" s="779">
        <f>'BS Intergrated'!$K$34</f>
        <v>4.0880000000000001</v>
      </c>
      <c r="I85" s="779">
        <f>'BS Intergrated'!$K$34</f>
        <v>4.0880000000000001</v>
      </c>
      <c r="J85" s="779">
        <f>'BS Intergrated'!$K$34</f>
        <v>4.0880000000000001</v>
      </c>
      <c r="K85" s="779">
        <f>'BS Intergrated'!$K$34</f>
        <v>4.0880000000000001</v>
      </c>
    </row>
    <row r="86" spans="3:11">
      <c r="E86" s="511"/>
      <c r="F86" s="511"/>
      <c r="G86" s="511"/>
      <c r="H86" s="511"/>
      <c r="I86" s="511"/>
      <c r="J86" s="511"/>
      <c r="K86" s="511"/>
    </row>
    <row r="87" spans="3:11">
      <c r="E87" s="511"/>
      <c r="F87" s="511"/>
      <c r="G87" s="511"/>
      <c r="H87" s="511"/>
      <c r="I87" s="511"/>
      <c r="J87" s="511"/>
      <c r="K87" s="511"/>
    </row>
    <row r="88" spans="3:11">
      <c r="E88" s="1120" t="s">
        <v>603</v>
      </c>
      <c r="F88" s="1120"/>
      <c r="G88" s="1120"/>
      <c r="H88" s="1120"/>
      <c r="I88" s="1120"/>
      <c r="J88" s="1120"/>
      <c r="K88" s="1120"/>
    </row>
    <row r="89" spans="3:11">
      <c r="C89" s="644" t="s">
        <v>664</v>
      </c>
      <c r="E89" s="510" cm="1">
        <f t="array" ref="E89:K89">_xlfn.XLOOKUP($B$3,$C$11:$C$15,E91:K95)</f>
        <v>2.7824149531039549E-2</v>
      </c>
      <c r="F89" s="510">
        <v>2.7824149531039549E-2</v>
      </c>
      <c r="G89" s="510">
        <v>2.7824149531039549E-2</v>
      </c>
      <c r="H89" s="510">
        <v>2.7824149531039549E-2</v>
      </c>
      <c r="I89" s="510">
        <v>2.7824149531039549E-2</v>
      </c>
      <c r="J89" s="510">
        <v>2.7824149531039549E-2</v>
      </c>
      <c r="K89" s="510">
        <v>2.7824149531039549E-2</v>
      </c>
    </row>
    <row r="90" spans="3:11">
      <c r="E90" s="511"/>
      <c r="F90" s="511"/>
      <c r="G90" s="511"/>
      <c r="H90" s="511"/>
      <c r="I90" s="511"/>
      <c r="J90" s="511"/>
      <c r="K90" s="511"/>
    </row>
    <row r="91" spans="3:11">
      <c r="C91" s="527" t="s">
        <v>665</v>
      </c>
      <c r="E91" s="512" cm="1">
        <f t="array" ref="E91">AVERAGE(SMALL('BS Ratios'!$E$13:$K$13,_xlfn.SEQUENCE(1)))</f>
        <v>1.4251814170733146E-2</v>
      </c>
      <c r="F91" s="512" cm="1">
        <f t="array" ref="F91">AVERAGE(SMALL('BS Ratios'!$E$13:$K$13,_xlfn.SEQUENCE(1)))</f>
        <v>1.4251814170733146E-2</v>
      </c>
      <c r="G91" s="512" cm="1">
        <f t="array" ref="G91">AVERAGE(SMALL('BS Ratios'!$E$13:$K$13,_xlfn.SEQUENCE(1)))</f>
        <v>1.4251814170733146E-2</v>
      </c>
      <c r="H91" s="512" cm="1">
        <f t="array" ref="H91">AVERAGE(SMALL('BS Ratios'!$E$13:$K$13,_xlfn.SEQUENCE(1)))</f>
        <v>1.4251814170733146E-2</v>
      </c>
      <c r="I91" s="512" cm="1">
        <f t="array" ref="I91">AVERAGE(SMALL('BS Ratios'!$E$13:$K$13,_xlfn.SEQUENCE(1)))</f>
        <v>1.4251814170733146E-2</v>
      </c>
      <c r="J91" s="512" cm="1">
        <f t="array" ref="J91">AVERAGE(SMALL('BS Ratios'!$E$13:$K$13,_xlfn.SEQUENCE(1)))</f>
        <v>1.4251814170733146E-2</v>
      </c>
      <c r="K91" s="512" cm="1">
        <f t="array" ref="K91">AVERAGE(SMALL('BS Ratios'!$E$13:$K$13,_xlfn.SEQUENCE(1)))</f>
        <v>1.4251814170733146E-2</v>
      </c>
    </row>
    <row r="92" spans="3:11">
      <c r="C92" s="527" t="s">
        <v>666</v>
      </c>
      <c r="E92" s="512" cm="1">
        <f t="array" ref="E92">AVERAGE(SMALL('BS Ratios'!$E$13:$K$13,_xlfn.SEQUENCE(2)))</f>
        <v>1.6133475778967551E-2</v>
      </c>
      <c r="F92" s="512" cm="1">
        <f t="array" ref="F92">AVERAGE(SMALL('BS Ratios'!$E$13:$K$13,_xlfn.SEQUENCE(2)))</f>
        <v>1.6133475778967551E-2</v>
      </c>
      <c r="G92" s="512" cm="1">
        <f t="array" ref="G92">AVERAGE(SMALL('BS Ratios'!$E$13:$K$13,_xlfn.SEQUENCE(2)))</f>
        <v>1.6133475778967551E-2</v>
      </c>
      <c r="H92" s="512" cm="1">
        <f t="array" ref="H92">AVERAGE(SMALL('BS Ratios'!$E$13:$K$13,_xlfn.SEQUENCE(2)))</f>
        <v>1.6133475778967551E-2</v>
      </c>
      <c r="I92" s="512" cm="1">
        <f t="array" ref="I92">AVERAGE(SMALL('BS Ratios'!$E$13:$K$13,_xlfn.SEQUENCE(2)))</f>
        <v>1.6133475778967551E-2</v>
      </c>
      <c r="J92" s="512" cm="1">
        <f t="array" ref="J92">AVERAGE(SMALL('BS Ratios'!$E$13:$K$13,_xlfn.SEQUENCE(2)))</f>
        <v>1.6133475778967551E-2</v>
      </c>
      <c r="K92" s="512" cm="1">
        <f t="array" ref="K92">AVERAGE(SMALL('BS Ratios'!$E$13:$K$13,_xlfn.SEQUENCE(2)))</f>
        <v>1.6133475778967551E-2</v>
      </c>
    </row>
    <row r="93" spans="3:11">
      <c r="C93" s="527" t="s">
        <v>5</v>
      </c>
      <c r="E93" s="512">
        <f>'BS Ratios'!$C$13</f>
        <v>2.7824149531039549E-2</v>
      </c>
      <c r="F93" s="512">
        <f>'BS Ratios'!$C$13</f>
        <v>2.7824149531039549E-2</v>
      </c>
      <c r="G93" s="512">
        <f>'BS Ratios'!$C$13</f>
        <v>2.7824149531039549E-2</v>
      </c>
      <c r="H93" s="512">
        <f>'BS Ratios'!$C$13</f>
        <v>2.7824149531039549E-2</v>
      </c>
      <c r="I93" s="512">
        <f>'BS Ratios'!$C$13</f>
        <v>2.7824149531039549E-2</v>
      </c>
      <c r="J93" s="512">
        <f>'BS Ratios'!$C$13</f>
        <v>2.7824149531039549E-2</v>
      </c>
      <c r="K93" s="512">
        <f>'BS Ratios'!$C$13</f>
        <v>2.7824149531039549E-2</v>
      </c>
    </row>
    <row r="94" spans="3:11">
      <c r="C94" s="527" t="s">
        <v>667</v>
      </c>
      <c r="E94" s="512" cm="1">
        <f t="array" ref="E94">AVERAGE(LARGE('BS Ratios'!$E$13:$K$13,_xlfn.SEQUENCE(2)))</f>
        <v>5.0351185925872663E-2</v>
      </c>
      <c r="F94" s="512" cm="1">
        <f t="array" ref="F94">AVERAGE(LARGE('BS Ratios'!$E$13:$K$13,_xlfn.SEQUENCE(2)))</f>
        <v>5.0351185925872663E-2</v>
      </c>
      <c r="G94" s="512" cm="1">
        <f t="array" ref="G94">AVERAGE(LARGE('BS Ratios'!$E$13:$K$13,_xlfn.SEQUENCE(2)))</f>
        <v>5.0351185925872663E-2</v>
      </c>
      <c r="H94" s="512" cm="1">
        <f t="array" ref="H94">AVERAGE(LARGE('BS Ratios'!$E$13:$K$13,_xlfn.SEQUENCE(2)))</f>
        <v>5.0351185925872663E-2</v>
      </c>
      <c r="I94" s="512" cm="1">
        <f t="array" ref="I94">AVERAGE(LARGE('BS Ratios'!$E$13:$K$13,_xlfn.SEQUENCE(2)))</f>
        <v>5.0351185925872663E-2</v>
      </c>
      <c r="J94" s="512" cm="1">
        <f t="array" ref="J94">AVERAGE(LARGE('BS Ratios'!$E$13:$K$13,_xlfn.SEQUENCE(2)))</f>
        <v>5.0351185925872663E-2</v>
      </c>
      <c r="K94" s="512" cm="1">
        <f t="array" ref="K94">AVERAGE(LARGE('BS Ratios'!$E$13:$K$13,_xlfn.SEQUENCE(2)))</f>
        <v>5.0351185925872663E-2</v>
      </c>
    </row>
    <row r="95" spans="3:11">
      <c r="C95" s="527" t="s">
        <v>668</v>
      </c>
      <c r="E95" s="512" cm="1">
        <f t="array" ref="E95">AVERAGE(LARGE('BS Ratios'!$E$13:$K$13,_xlfn.SEQUENCE(1)))</f>
        <v>7.7299025569130445E-2</v>
      </c>
      <c r="F95" s="512" cm="1">
        <f t="array" ref="F95">AVERAGE(LARGE('BS Ratios'!$E$13:$K$13,_xlfn.SEQUENCE(1)))</f>
        <v>7.7299025569130445E-2</v>
      </c>
      <c r="G95" s="512" cm="1">
        <f t="array" ref="G95">AVERAGE(LARGE('BS Ratios'!$E$13:$K$13,_xlfn.SEQUENCE(1)))</f>
        <v>7.7299025569130445E-2</v>
      </c>
      <c r="H95" s="512" cm="1">
        <f t="array" ref="H95">AVERAGE(LARGE('BS Ratios'!$E$13:$K$13,_xlfn.SEQUENCE(1)))</f>
        <v>7.7299025569130445E-2</v>
      </c>
      <c r="I95" s="512" cm="1">
        <f t="array" ref="I95">AVERAGE(LARGE('BS Ratios'!$E$13:$K$13,_xlfn.SEQUENCE(1)))</f>
        <v>7.7299025569130445E-2</v>
      </c>
      <c r="J95" s="512" cm="1">
        <f t="array" ref="J95">AVERAGE(LARGE('BS Ratios'!$E$13:$K$13,_xlfn.SEQUENCE(1)))</f>
        <v>7.7299025569130445E-2</v>
      </c>
      <c r="K95" s="512" cm="1">
        <f t="array" ref="K95">AVERAGE(LARGE('BS Ratios'!$E$13:$K$13,_xlfn.SEQUENCE(1)))</f>
        <v>7.7299025569130445E-2</v>
      </c>
    </row>
    <row r="96" spans="3:11">
      <c r="E96" s="511"/>
      <c r="F96" s="511"/>
      <c r="G96" s="511"/>
      <c r="H96" s="511"/>
      <c r="I96" s="511"/>
      <c r="J96" s="511"/>
      <c r="K96" s="511"/>
    </row>
    <row r="97" spans="3:11">
      <c r="E97" s="511"/>
      <c r="F97" s="511"/>
      <c r="G97" s="511"/>
      <c r="H97" s="511"/>
      <c r="I97" s="511"/>
      <c r="J97" s="511"/>
      <c r="K97" s="511"/>
    </row>
    <row r="98" spans="3:11">
      <c r="E98" s="1120" t="s">
        <v>602</v>
      </c>
      <c r="F98" s="1120"/>
      <c r="G98" s="1120"/>
      <c r="H98" s="1120"/>
      <c r="I98" s="1120"/>
      <c r="J98" s="1120"/>
      <c r="K98" s="1120"/>
    </row>
    <row r="99" spans="3:11">
      <c r="C99" s="644" t="s">
        <v>664</v>
      </c>
      <c r="E99" s="514" cm="1">
        <f t="array" ref="E99:K99">_xlfn.XLOOKUP($B$3,$C$11:$C$15,E101:K105)</f>
        <v>213.14699999999999</v>
      </c>
      <c r="F99" s="514">
        <v>213.14699999999999</v>
      </c>
      <c r="G99" s="514">
        <v>213.14699999999999</v>
      </c>
      <c r="H99" s="514">
        <v>213.14699999999999</v>
      </c>
      <c r="I99" s="514">
        <v>213.14699999999999</v>
      </c>
      <c r="J99" s="514">
        <v>213.14699999999999</v>
      </c>
      <c r="K99" s="514">
        <v>213.14699999999999</v>
      </c>
    </row>
    <row r="100" spans="3:11">
      <c r="E100" s="511"/>
      <c r="F100" s="511"/>
      <c r="G100" s="511"/>
      <c r="H100" s="511"/>
      <c r="I100" s="511"/>
      <c r="J100" s="511"/>
      <c r="K100" s="511"/>
    </row>
    <row r="101" spans="3:11">
      <c r="C101" s="527" t="s">
        <v>665</v>
      </c>
      <c r="E101" s="514">
        <f>'BS Intergrated'!$K$37</f>
        <v>213.14699999999999</v>
      </c>
      <c r="F101" s="514">
        <f>'BS Intergrated'!$K$37</f>
        <v>213.14699999999999</v>
      </c>
      <c r="G101" s="514">
        <f>'BS Intergrated'!$K$37</f>
        <v>213.14699999999999</v>
      </c>
      <c r="H101" s="514">
        <f>'BS Intergrated'!$K$37</f>
        <v>213.14699999999999</v>
      </c>
      <c r="I101" s="514">
        <f>'BS Intergrated'!$K$37</f>
        <v>213.14699999999999</v>
      </c>
      <c r="J101" s="514">
        <f>'BS Intergrated'!$K$37</f>
        <v>213.14699999999999</v>
      </c>
      <c r="K101" s="514">
        <f>'BS Intergrated'!$K$37</f>
        <v>213.14699999999999</v>
      </c>
    </row>
    <row r="102" spans="3:11">
      <c r="C102" s="527" t="s">
        <v>666</v>
      </c>
      <c r="E102" s="514">
        <f>'BS Intergrated'!$K$37</f>
        <v>213.14699999999999</v>
      </c>
      <c r="F102" s="514">
        <f>'BS Intergrated'!$K$37</f>
        <v>213.14699999999999</v>
      </c>
      <c r="G102" s="514">
        <f>'BS Intergrated'!$K$37</f>
        <v>213.14699999999999</v>
      </c>
      <c r="H102" s="514">
        <f>'BS Intergrated'!$K$37</f>
        <v>213.14699999999999</v>
      </c>
      <c r="I102" s="514">
        <f>'BS Intergrated'!$K$37</f>
        <v>213.14699999999999</v>
      </c>
      <c r="J102" s="514">
        <f>'BS Intergrated'!$K$37</f>
        <v>213.14699999999999</v>
      </c>
      <c r="K102" s="514">
        <f>'BS Intergrated'!$K$37</f>
        <v>213.14699999999999</v>
      </c>
    </row>
    <row r="103" spans="3:11">
      <c r="C103" s="527" t="s">
        <v>5</v>
      </c>
      <c r="E103" s="514">
        <f>'BS Intergrated'!$K$37</f>
        <v>213.14699999999999</v>
      </c>
      <c r="F103" s="514">
        <f>'BS Intergrated'!$K$37</f>
        <v>213.14699999999999</v>
      </c>
      <c r="G103" s="514">
        <f>'BS Intergrated'!$K$37</f>
        <v>213.14699999999999</v>
      </c>
      <c r="H103" s="514">
        <f>'BS Intergrated'!$K$37</f>
        <v>213.14699999999999</v>
      </c>
      <c r="I103" s="514">
        <f>'BS Intergrated'!$K$37</f>
        <v>213.14699999999999</v>
      </c>
      <c r="J103" s="514">
        <f>'BS Intergrated'!$K$37</f>
        <v>213.14699999999999</v>
      </c>
      <c r="K103" s="514">
        <f>'BS Intergrated'!$K$37</f>
        <v>213.14699999999999</v>
      </c>
    </row>
    <row r="104" spans="3:11">
      <c r="C104" s="527" t="s">
        <v>667</v>
      </c>
      <c r="E104" s="514">
        <f>'BS Intergrated'!$K$37</f>
        <v>213.14699999999999</v>
      </c>
      <c r="F104" s="514">
        <f>'BS Intergrated'!$K$37</f>
        <v>213.14699999999999</v>
      </c>
      <c r="G104" s="514">
        <f>'BS Intergrated'!$K$37</f>
        <v>213.14699999999999</v>
      </c>
      <c r="H104" s="514">
        <f>'BS Intergrated'!$K$37</f>
        <v>213.14699999999999</v>
      </c>
      <c r="I104" s="514">
        <f>'BS Intergrated'!$K$37</f>
        <v>213.14699999999999</v>
      </c>
      <c r="J104" s="514">
        <f>'BS Intergrated'!$K$37</f>
        <v>213.14699999999999</v>
      </c>
      <c r="K104" s="514">
        <f>'BS Intergrated'!$K$37</f>
        <v>213.14699999999999</v>
      </c>
    </row>
    <row r="105" spans="3:11">
      <c r="C105" s="527" t="s">
        <v>668</v>
      </c>
      <c r="E105" s="514">
        <f>'BS Intergrated'!$K$37</f>
        <v>213.14699999999999</v>
      </c>
      <c r="F105" s="514">
        <f>'BS Intergrated'!$K$37</f>
        <v>213.14699999999999</v>
      </c>
      <c r="G105" s="514">
        <f>'BS Intergrated'!$K$37</f>
        <v>213.14699999999999</v>
      </c>
      <c r="H105" s="514">
        <f>'BS Intergrated'!$K$37</f>
        <v>213.14699999999999</v>
      </c>
      <c r="I105" s="514">
        <f>'BS Intergrated'!$K$37</f>
        <v>213.14699999999999</v>
      </c>
      <c r="J105" s="514">
        <f>'BS Intergrated'!$K$37</f>
        <v>213.14699999999999</v>
      </c>
      <c r="K105" s="514">
        <f>'BS Intergrated'!$K$37</f>
        <v>213.14699999999999</v>
      </c>
    </row>
    <row r="106" spans="3:11">
      <c r="E106" s="511"/>
      <c r="F106" s="511"/>
      <c r="G106" s="511"/>
      <c r="H106" s="511"/>
      <c r="I106" s="511"/>
      <c r="J106" s="511"/>
      <c r="K106" s="511"/>
    </row>
    <row r="107" spans="3:11">
      <c r="E107" s="511"/>
      <c r="F107" s="511"/>
      <c r="G107" s="511"/>
      <c r="H107" s="511"/>
      <c r="I107" s="511"/>
      <c r="J107" s="511"/>
      <c r="K107" s="511"/>
    </row>
    <row r="108" spans="3:11">
      <c r="E108" s="1120" t="s">
        <v>600</v>
      </c>
      <c r="F108" s="1120"/>
      <c r="G108" s="1120"/>
      <c r="H108" s="1120"/>
      <c r="I108" s="1120"/>
      <c r="J108" s="1120"/>
      <c r="K108" s="1120"/>
    </row>
    <row r="109" spans="3:11">
      <c r="C109" s="644" t="s">
        <v>664</v>
      </c>
      <c r="E109" s="514" cm="1">
        <f t="array" ref="E109:K109">_xlfn.XLOOKUP($B$3,$C$11:$C$15,E111:K115)</f>
        <v>2792.5451215828957</v>
      </c>
      <c r="F109" s="514">
        <v>3477.0594127928348</v>
      </c>
      <c r="G109" s="514">
        <v>4412.9153902490507</v>
      </c>
      <c r="H109" s="514">
        <v>5645.1701976621971</v>
      </c>
      <c r="I109" s="514">
        <v>7184.6843337256341</v>
      </c>
      <c r="J109" s="514">
        <v>9041.9547283345091</v>
      </c>
      <c r="K109" s="514">
        <v>0</v>
      </c>
    </row>
    <row r="110" spans="3:11">
      <c r="E110" s="511"/>
      <c r="F110" s="511"/>
      <c r="G110" s="511"/>
      <c r="H110" s="511"/>
      <c r="I110" s="511"/>
      <c r="J110" s="511"/>
      <c r="K110" s="511"/>
    </row>
    <row r="111" spans="3:11">
      <c r="C111" s="527" t="s">
        <v>665</v>
      </c>
      <c r="E111" s="514">
        <f>'BS Intergrated'!$K$35+(E$199*'IS Intergrated'!L$10)</f>
        <v>2792.5451215828957</v>
      </c>
      <c r="F111" s="514">
        <f>'BS Intergrated'!$L$35+(F$199*'IS Intergrated'!M$10)</f>
        <v>3477.0594127928348</v>
      </c>
      <c r="G111" s="514">
        <f>'BS Intergrated'!$M$35+(G$199*'IS Intergrated'!N$10)</f>
        <v>4412.9153902490507</v>
      </c>
      <c r="H111" s="514">
        <f>'BS Intergrated'!$N$35+(H$199*'IS Intergrated'!O$10)</f>
        <v>5645.1701976621971</v>
      </c>
      <c r="I111" s="514">
        <f>'BS Intergrated'!$O$35+(I$199*'IS Intergrated'!P$10)</f>
        <v>7184.6843337256341</v>
      </c>
      <c r="J111" s="514">
        <f>'BS Intergrated'!$P$35+(J$199*'IS Intergrated'!Q$10)</f>
        <v>9041.9547283345091</v>
      </c>
      <c r="K111" s="514"/>
    </row>
    <row r="112" spans="3:11">
      <c r="C112" s="527" t="s">
        <v>666</v>
      </c>
      <c r="E112" s="514">
        <f>'BS Intergrated'!$K$35+(E$199*'IS Intergrated'!L$10)</f>
        <v>2792.5451215828957</v>
      </c>
      <c r="F112" s="514">
        <f>'BS Intergrated'!$L$35+(F$199*'IS Intergrated'!M$10)</f>
        <v>3477.0594127928348</v>
      </c>
      <c r="G112" s="514">
        <f>'BS Intergrated'!$M$35+(G$199*'IS Intergrated'!N$10)</f>
        <v>4412.9153902490507</v>
      </c>
      <c r="H112" s="514">
        <f>'BS Intergrated'!$N$35+(H$199*'IS Intergrated'!O$10)</f>
        <v>5645.1701976621971</v>
      </c>
      <c r="I112" s="514">
        <f>'BS Intergrated'!$O$35+(I$199*'IS Intergrated'!P$10)</f>
        <v>7184.6843337256341</v>
      </c>
      <c r="J112" s="514">
        <f>'BS Intergrated'!$P$35+(J$199*'IS Intergrated'!Q$10)</f>
        <v>9041.9547283345091</v>
      </c>
      <c r="K112" s="514"/>
    </row>
    <row r="113" spans="3:11">
      <c r="C113" s="527" t="s">
        <v>5</v>
      </c>
      <c r="E113" s="514">
        <f>'BS Intergrated'!$K$35+(E$199*'IS Intergrated'!L$10)</f>
        <v>2792.5451215828957</v>
      </c>
      <c r="F113" s="514">
        <f>'BS Intergrated'!$L$35+(F$199*'IS Intergrated'!M$10)</f>
        <v>3477.0594127928348</v>
      </c>
      <c r="G113" s="514">
        <f>'BS Intergrated'!$M$35+(G$199*'IS Intergrated'!N$10)</f>
        <v>4412.9153902490507</v>
      </c>
      <c r="H113" s="514">
        <f>'BS Intergrated'!$N$35+(H$199*'IS Intergrated'!O$10)</f>
        <v>5645.1701976621971</v>
      </c>
      <c r="I113" s="514">
        <f>'BS Intergrated'!$O$35+(I$199*'IS Intergrated'!P$10)</f>
        <v>7184.6843337256341</v>
      </c>
      <c r="J113" s="514">
        <f>'BS Intergrated'!$P$35+(J$199*'IS Intergrated'!Q$10)</f>
        <v>9041.9547283345091</v>
      </c>
      <c r="K113" s="514"/>
    </row>
    <row r="114" spans="3:11">
      <c r="C114" s="527" t="s">
        <v>667</v>
      </c>
      <c r="E114" s="514">
        <f>'BS Intergrated'!$K$35+(E$199*'IS Intergrated'!L$10)</f>
        <v>2792.5451215828957</v>
      </c>
      <c r="F114" s="514">
        <f>'BS Intergrated'!$L$35+(F$199*'IS Intergrated'!M$10)</f>
        <v>3477.0594127928348</v>
      </c>
      <c r="G114" s="514">
        <f>'BS Intergrated'!$M$35+(G$199*'IS Intergrated'!N$10)</f>
        <v>4412.9153902490507</v>
      </c>
      <c r="H114" s="514">
        <f>'BS Intergrated'!$N$35+(H$199*'IS Intergrated'!O$10)</f>
        <v>5645.1701976621971</v>
      </c>
      <c r="I114" s="514">
        <f>'BS Intergrated'!$O$35+(I$199*'IS Intergrated'!P$10)</f>
        <v>7184.6843337256341</v>
      </c>
      <c r="J114" s="514">
        <f>'BS Intergrated'!$P$35+(J$199*'IS Intergrated'!Q$10)</f>
        <v>9041.9547283345091</v>
      </c>
      <c r="K114" s="514"/>
    </row>
    <row r="115" spans="3:11">
      <c r="C115" s="527" t="s">
        <v>668</v>
      </c>
      <c r="E115" s="514">
        <f>'BS Intergrated'!$K$35+(E$199*'IS Intergrated'!L$10)</f>
        <v>2792.5451215828957</v>
      </c>
      <c r="F115" s="514">
        <f>'BS Intergrated'!$L$35+(F$199*'IS Intergrated'!M$10)</f>
        <v>3477.0594127928348</v>
      </c>
      <c r="G115" s="514">
        <f>'BS Intergrated'!$M$35+(G$199*'IS Intergrated'!N$10)</f>
        <v>4412.9153902490507</v>
      </c>
      <c r="H115" s="514">
        <f>'BS Intergrated'!$N$35+(H$199*'IS Intergrated'!O$10)</f>
        <v>5645.1701976621971</v>
      </c>
      <c r="I115" s="514">
        <f>'BS Intergrated'!$O$35+(I$199*'IS Intergrated'!P$10)</f>
        <v>7184.6843337256341</v>
      </c>
      <c r="J115" s="514">
        <f>'BS Intergrated'!$P$35+(J$199*'IS Intergrated'!Q$10)</f>
        <v>9041.9547283345091</v>
      </c>
      <c r="K115" s="514"/>
    </row>
    <row r="116" spans="3:11">
      <c r="E116" s="511"/>
      <c r="F116" s="511"/>
      <c r="G116" s="511"/>
      <c r="H116" s="511"/>
      <c r="I116" s="511"/>
      <c r="J116" s="511"/>
      <c r="K116" s="511"/>
    </row>
    <row r="117" spans="3:11">
      <c r="E117" s="511"/>
      <c r="F117" s="511"/>
      <c r="G117" s="511"/>
      <c r="H117" s="511"/>
      <c r="I117" s="511"/>
      <c r="J117" s="511"/>
      <c r="K117" s="511"/>
    </row>
    <row r="118" spans="3:11">
      <c r="E118" s="1120" t="s">
        <v>680</v>
      </c>
      <c r="F118" s="1120"/>
      <c r="G118" s="1120"/>
      <c r="H118" s="1120"/>
      <c r="I118" s="1120"/>
      <c r="J118" s="1120"/>
      <c r="K118" s="1120"/>
    </row>
    <row r="119" spans="3:11">
      <c r="C119" s="644" t="s">
        <v>664</v>
      </c>
      <c r="E119" s="514" cm="1">
        <f t="array" ref="E119:K119">_xlfn.XLOOKUP($B$3,$C$11:$C$15,E121:K125)</f>
        <v>101.49</v>
      </c>
      <c r="F119" s="514">
        <v>101.49</v>
      </c>
      <c r="G119" s="514">
        <v>101.49</v>
      </c>
      <c r="H119" s="514">
        <v>101.49</v>
      </c>
      <c r="I119" s="514">
        <v>101.49</v>
      </c>
      <c r="J119" s="514">
        <v>101.49</v>
      </c>
      <c r="K119" s="514">
        <v>101.49</v>
      </c>
    </row>
    <row r="120" spans="3:11">
      <c r="E120" s="511"/>
      <c r="F120" s="511"/>
      <c r="G120" s="511"/>
      <c r="H120" s="511"/>
      <c r="I120" s="511"/>
      <c r="J120" s="511"/>
      <c r="K120" s="511"/>
    </row>
    <row r="121" spans="3:11">
      <c r="C121" s="527" t="s">
        <v>665</v>
      </c>
      <c r="E121" s="514">
        <v>101.49</v>
      </c>
      <c r="F121" s="514">
        <v>101.49</v>
      </c>
      <c r="G121" s="514">
        <v>101.49</v>
      </c>
      <c r="H121" s="514">
        <v>101.49</v>
      </c>
      <c r="I121" s="514">
        <v>101.49</v>
      </c>
      <c r="J121" s="514">
        <v>101.49</v>
      </c>
      <c r="K121" s="514">
        <v>101.49</v>
      </c>
    </row>
    <row r="122" spans="3:11">
      <c r="C122" s="527" t="s">
        <v>666</v>
      </c>
      <c r="E122" s="514">
        <v>101.49</v>
      </c>
      <c r="F122" s="514">
        <v>101.49</v>
      </c>
      <c r="G122" s="514">
        <v>101.49</v>
      </c>
      <c r="H122" s="514">
        <v>101.49</v>
      </c>
      <c r="I122" s="514">
        <v>101.49</v>
      </c>
      <c r="J122" s="514">
        <v>101.49</v>
      </c>
      <c r="K122" s="514">
        <v>101.49</v>
      </c>
    </row>
    <row r="123" spans="3:11">
      <c r="C123" s="527" t="s">
        <v>5</v>
      </c>
      <c r="E123" s="514">
        <v>101.49</v>
      </c>
      <c r="F123" s="514">
        <v>101.49</v>
      </c>
      <c r="G123" s="514">
        <v>101.49</v>
      </c>
      <c r="H123" s="514">
        <v>101.49</v>
      </c>
      <c r="I123" s="514">
        <v>101.49</v>
      </c>
      <c r="J123" s="514">
        <v>101.49</v>
      </c>
      <c r="K123" s="514">
        <v>101.49</v>
      </c>
    </row>
    <row r="124" spans="3:11">
      <c r="C124" s="527" t="s">
        <v>667</v>
      </c>
      <c r="E124" s="514">
        <v>101.49</v>
      </c>
      <c r="F124" s="514">
        <v>101.49</v>
      </c>
      <c r="G124" s="514">
        <v>101.49</v>
      </c>
      <c r="H124" s="514">
        <v>101.49</v>
      </c>
      <c r="I124" s="514">
        <v>101.49</v>
      </c>
      <c r="J124" s="514">
        <v>101.49</v>
      </c>
      <c r="K124" s="514">
        <v>101.49</v>
      </c>
    </row>
    <row r="125" spans="3:11">
      <c r="C125" s="527" t="s">
        <v>668</v>
      </c>
      <c r="E125" s="514">
        <v>101.49</v>
      </c>
      <c r="F125" s="514">
        <v>101.49</v>
      </c>
      <c r="G125" s="514">
        <v>101.49</v>
      </c>
      <c r="H125" s="514">
        <v>101.49</v>
      </c>
      <c r="I125" s="514">
        <v>101.49</v>
      </c>
      <c r="J125" s="514">
        <v>101.49</v>
      </c>
      <c r="K125" s="514">
        <v>101.49</v>
      </c>
    </row>
    <row r="126" spans="3:11">
      <c r="E126" s="511"/>
      <c r="F126" s="511"/>
      <c r="G126" s="511"/>
      <c r="H126" s="511"/>
      <c r="I126" s="511"/>
      <c r="J126" s="511"/>
      <c r="K126" s="511"/>
    </row>
    <row r="127" spans="3:11">
      <c r="E127" s="511"/>
      <c r="F127" s="511"/>
      <c r="G127" s="511"/>
      <c r="H127" s="511"/>
      <c r="I127" s="511"/>
      <c r="J127" s="511"/>
      <c r="K127" s="511"/>
    </row>
    <row r="128" spans="3:11">
      <c r="E128" s="1120" t="s">
        <v>599</v>
      </c>
      <c r="F128" s="1120"/>
      <c r="G128" s="1120"/>
      <c r="H128" s="1120"/>
      <c r="I128" s="1120"/>
      <c r="J128" s="1120"/>
      <c r="K128" s="1120"/>
    </row>
    <row r="129" spans="3:11">
      <c r="E129" s="514" cm="1">
        <f t="array" ref="E129:K129">_xlfn.XLOOKUP($B$3,$C$11:$C$15,E131:K135)</f>
        <v>4.0880000000000001</v>
      </c>
      <c r="F129" s="514">
        <v>4.0880000000000001</v>
      </c>
      <c r="G129" s="514">
        <v>4.0880000000000001</v>
      </c>
      <c r="H129" s="514">
        <v>4.0880000000000001</v>
      </c>
      <c r="I129" s="514">
        <v>4.0880000000000001</v>
      </c>
      <c r="J129" s="514">
        <v>4.0880000000000001</v>
      </c>
      <c r="K129" s="514">
        <v>4.0880000000000001</v>
      </c>
    </row>
    <row r="130" spans="3:11">
      <c r="E130" s="511"/>
      <c r="F130" s="511"/>
      <c r="G130" s="511"/>
      <c r="H130" s="511"/>
      <c r="I130" s="511"/>
      <c r="J130" s="511"/>
      <c r="K130" s="511"/>
    </row>
    <row r="131" spans="3:11">
      <c r="C131" s="527" t="s">
        <v>665</v>
      </c>
      <c r="E131" s="514">
        <f>'BS Intergrated'!$K$34</f>
        <v>4.0880000000000001</v>
      </c>
      <c r="F131" s="514">
        <f>'BS Intergrated'!$K$34</f>
        <v>4.0880000000000001</v>
      </c>
      <c r="G131" s="514">
        <f>'BS Intergrated'!$K$34</f>
        <v>4.0880000000000001</v>
      </c>
      <c r="H131" s="514">
        <f>'BS Intergrated'!$K$34</f>
        <v>4.0880000000000001</v>
      </c>
      <c r="I131" s="514">
        <f>'BS Intergrated'!$K$34</f>
        <v>4.0880000000000001</v>
      </c>
      <c r="J131" s="514">
        <f>'BS Intergrated'!$K$34</f>
        <v>4.0880000000000001</v>
      </c>
      <c r="K131" s="514">
        <f>'BS Intergrated'!$K$34</f>
        <v>4.0880000000000001</v>
      </c>
    </row>
    <row r="132" spans="3:11">
      <c r="C132" s="527" t="s">
        <v>666</v>
      </c>
      <c r="E132" s="514">
        <f>'BS Intergrated'!$K$34</f>
        <v>4.0880000000000001</v>
      </c>
      <c r="F132" s="514">
        <f>'BS Intergrated'!$K$34</f>
        <v>4.0880000000000001</v>
      </c>
      <c r="G132" s="514">
        <f>'BS Intergrated'!$K$34</f>
        <v>4.0880000000000001</v>
      </c>
      <c r="H132" s="514">
        <f>'BS Intergrated'!$K$34</f>
        <v>4.0880000000000001</v>
      </c>
      <c r="I132" s="514">
        <f>'BS Intergrated'!$K$34</f>
        <v>4.0880000000000001</v>
      </c>
      <c r="J132" s="514">
        <f>'BS Intergrated'!$K$34</f>
        <v>4.0880000000000001</v>
      </c>
      <c r="K132" s="514">
        <f>'BS Intergrated'!$K$34</f>
        <v>4.0880000000000001</v>
      </c>
    </row>
    <row r="133" spans="3:11">
      <c r="C133" s="527" t="s">
        <v>5</v>
      </c>
      <c r="E133" s="514">
        <f>'BS Intergrated'!$K$34</f>
        <v>4.0880000000000001</v>
      </c>
      <c r="F133" s="514">
        <f>'BS Intergrated'!$K$34</f>
        <v>4.0880000000000001</v>
      </c>
      <c r="G133" s="514">
        <f>'BS Intergrated'!$K$34</f>
        <v>4.0880000000000001</v>
      </c>
      <c r="H133" s="514">
        <f>'BS Intergrated'!$K$34</f>
        <v>4.0880000000000001</v>
      </c>
      <c r="I133" s="514">
        <f>'BS Intergrated'!$K$34</f>
        <v>4.0880000000000001</v>
      </c>
      <c r="J133" s="514">
        <f>'BS Intergrated'!$K$34</f>
        <v>4.0880000000000001</v>
      </c>
      <c r="K133" s="514">
        <f>'BS Intergrated'!$K$34</f>
        <v>4.0880000000000001</v>
      </c>
    </row>
    <row r="134" spans="3:11">
      <c r="C134" s="527" t="s">
        <v>667</v>
      </c>
      <c r="E134" s="514">
        <f>'BS Intergrated'!$K$34</f>
        <v>4.0880000000000001</v>
      </c>
      <c r="F134" s="514">
        <f>'BS Intergrated'!$K$34</f>
        <v>4.0880000000000001</v>
      </c>
      <c r="G134" s="514">
        <f>'BS Intergrated'!$K$34</f>
        <v>4.0880000000000001</v>
      </c>
      <c r="H134" s="514">
        <f>'BS Intergrated'!$K$34</f>
        <v>4.0880000000000001</v>
      </c>
      <c r="I134" s="514">
        <f>'BS Intergrated'!$K$34</f>
        <v>4.0880000000000001</v>
      </c>
      <c r="J134" s="514">
        <f>'BS Intergrated'!$K$34</f>
        <v>4.0880000000000001</v>
      </c>
      <c r="K134" s="514">
        <f>'BS Intergrated'!$K$34</f>
        <v>4.0880000000000001</v>
      </c>
    </row>
    <row r="135" spans="3:11">
      <c r="C135" s="527" t="s">
        <v>668</v>
      </c>
      <c r="E135" s="514">
        <f>'BS Intergrated'!$K$34</f>
        <v>4.0880000000000001</v>
      </c>
      <c r="F135" s="514">
        <f>'BS Intergrated'!$K$34</f>
        <v>4.0880000000000001</v>
      </c>
      <c r="G135" s="514">
        <f>'BS Intergrated'!$K$34</f>
        <v>4.0880000000000001</v>
      </c>
      <c r="H135" s="514">
        <f>'BS Intergrated'!$K$34</f>
        <v>4.0880000000000001</v>
      </c>
      <c r="I135" s="514">
        <f>'BS Intergrated'!$K$34</f>
        <v>4.0880000000000001</v>
      </c>
      <c r="J135" s="514">
        <f>'BS Intergrated'!$K$34</f>
        <v>4.0880000000000001</v>
      </c>
      <c r="K135" s="514">
        <f>'BS Intergrated'!$K$34</f>
        <v>4.0880000000000001</v>
      </c>
    </row>
    <row r="136" spans="3:11">
      <c r="E136" s="511"/>
      <c r="F136" s="511"/>
      <c r="G136" s="511"/>
      <c r="H136" s="511"/>
      <c r="I136" s="511"/>
      <c r="J136" s="511"/>
      <c r="K136" s="511"/>
    </row>
    <row r="137" spans="3:11">
      <c r="E137" s="511"/>
      <c r="F137" s="511"/>
      <c r="G137" s="511"/>
      <c r="H137" s="511"/>
      <c r="I137" s="511"/>
      <c r="J137" s="511"/>
      <c r="K137" s="511"/>
    </row>
    <row r="138" spans="3:11">
      <c r="E138" s="1120" t="s">
        <v>609</v>
      </c>
      <c r="F138" s="1120"/>
      <c r="G138" s="1120"/>
      <c r="H138" s="1120"/>
      <c r="I138" s="1120"/>
      <c r="J138" s="1120"/>
      <c r="K138" s="1120"/>
    </row>
    <row r="139" spans="3:11">
      <c r="C139" s="644" t="s">
        <v>664</v>
      </c>
      <c r="E139" s="510" cm="1">
        <f t="array" ref="E139:K139">_xlfn.XLOOKUP($B$3,$C$11:$C$15,E141:K145)</f>
        <v>4.0345636975198537E-2</v>
      </c>
      <c r="F139" s="510">
        <v>4.0345636975198537E-2</v>
      </c>
      <c r="G139" s="510">
        <v>4.0345636975198537E-2</v>
      </c>
      <c r="H139" s="510">
        <v>4.0345636975198537E-2</v>
      </c>
      <c r="I139" s="510">
        <v>4.0345636975198537E-2</v>
      </c>
      <c r="J139" s="510">
        <v>4.0345636975198537E-2</v>
      </c>
      <c r="K139" s="510">
        <v>4.0345636975198537E-2</v>
      </c>
    </row>
    <row r="140" spans="3:11">
      <c r="E140" s="511"/>
      <c r="F140" s="511"/>
      <c r="G140" s="511"/>
      <c r="H140" s="511"/>
      <c r="I140" s="511"/>
      <c r="J140" s="511"/>
      <c r="K140" s="511"/>
    </row>
    <row r="141" spans="3:11">
      <c r="C141" s="527" t="s">
        <v>665</v>
      </c>
      <c r="E141" s="512">
        <f>E142-0.005</f>
        <v>3.4956891855950759E-2</v>
      </c>
      <c r="F141" s="512">
        <f t="shared" ref="F141:K141" si="2">F142-0.005</f>
        <v>3.4956891855950759E-2</v>
      </c>
      <c r="G141" s="512">
        <f t="shared" si="2"/>
        <v>3.4956891855950759E-2</v>
      </c>
      <c r="H141" s="512">
        <f t="shared" si="2"/>
        <v>3.4956891855950759E-2</v>
      </c>
      <c r="I141" s="512">
        <f t="shared" si="2"/>
        <v>3.4956891855950759E-2</v>
      </c>
      <c r="J141" s="512">
        <f t="shared" si="2"/>
        <v>3.4956891855950759E-2</v>
      </c>
      <c r="K141" s="512">
        <f t="shared" si="2"/>
        <v>3.4956891855950759E-2</v>
      </c>
    </row>
    <row r="142" spans="3:11">
      <c r="C142" s="527" t="s">
        <v>666</v>
      </c>
      <c r="E142" s="512" cm="1">
        <f t="array" ref="E142">AVERAGE(SMALL('BS Ratios'!$E$15:$K$15,_xlfn.SEQUENCE(1)))</f>
        <v>3.9956891855950756E-2</v>
      </c>
      <c r="F142" s="512" cm="1">
        <f t="array" ref="F142">AVERAGE(SMALL('BS Ratios'!$E$15:$K$15,_xlfn.SEQUENCE(1)))</f>
        <v>3.9956891855950756E-2</v>
      </c>
      <c r="G142" s="512" cm="1">
        <f t="array" ref="G142">AVERAGE(SMALL('BS Ratios'!$E$15:$K$15,_xlfn.SEQUENCE(1)))</f>
        <v>3.9956891855950756E-2</v>
      </c>
      <c r="H142" s="512" cm="1">
        <f t="array" ref="H142">AVERAGE(SMALL('BS Ratios'!$E$15:$K$15,_xlfn.SEQUENCE(1)))</f>
        <v>3.9956891855950756E-2</v>
      </c>
      <c r="I142" s="512" cm="1">
        <f t="array" ref="I142">AVERAGE(SMALL('BS Ratios'!$E$15:$K$15,_xlfn.SEQUENCE(1)))</f>
        <v>3.9956891855950756E-2</v>
      </c>
      <c r="J142" s="512" cm="1">
        <f t="array" ref="J142">AVERAGE(SMALL('BS Ratios'!$E$15:$K$15,_xlfn.SEQUENCE(1)))</f>
        <v>3.9956891855950756E-2</v>
      </c>
      <c r="K142" s="512" cm="1">
        <f t="array" ref="K142">AVERAGE(SMALL('BS Ratios'!$E$15:$K$15,_xlfn.SEQUENCE(1)))</f>
        <v>3.9956891855950756E-2</v>
      </c>
    </row>
    <row r="143" spans="3:11">
      <c r="C143" s="527" t="s">
        <v>5</v>
      </c>
      <c r="E143" s="512" cm="1">
        <f t="array" ref="E143">AVERAGE(SMALL('BS Ratios'!$E$15:$K$15,_xlfn.SEQUENCE(2)))</f>
        <v>4.0345636975198537E-2</v>
      </c>
      <c r="F143" s="512" cm="1">
        <f t="array" ref="F143">AVERAGE(SMALL('BS Ratios'!$E$15:$K$15,_xlfn.SEQUENCE(2)))</f>
        <v>4.0345636975198537E-2</v>
      </c>
      <c r="G143" s="512" cm="1">
        <f t="array" ref="G143">AVERAGE(SMALL('BS Ratios'!$E$15:$K$15,_xlfn.SEQUENCE(2)))</f>
        <v>4.0345636975198537E-2</v>
      </c>
      <c r="H143" s="512" cm="1">
        <f t="array" ref="H143">AVERAGE(SMALL('BS Ratios'!$E$15:$K$15,_xlfn.SEQUENCE(2)))</f>
        <v>4.0345636975198537E-2</v>
      </c>
      <c r="I143" s="512" cm="1">
        <f t="array" ref="I143">AVERAGE(SMALL('BS Ratios'!$E$15:$K$15,_xlfn.SEQUENCE(2)))</f>
        <v>4.0345636975198537E-2</v>
      </c>
      <c r="J143" s="512" cm="1">
        <f t="array" ref="J143">AVERAGE(SMALL('BS Ratios'!$E$15:$K$15,_xlfn.SEQUENCE(2)))</f>
        <v>4.0345636975198537E-2</v>
      </c>
      <c r="K143" s="512" cm="1">
        <f t="array" ref="K143">AVERAGE(SMALL('BS Ratios'!$E$15:$K$15,_xlfn.SEQUENCE(2)))</f>
        <v>4.0345636975198537E-2</v>
      </c>
    </row>
    <row r="144" spans="3:11">
      <c r="C144" s="527" t="s">
        <v>667</v>
      </c>
      <c r="E144" s="512">
        <f>'BS Ratios'!$C$15</f>
        <v>8.0837361322670248E-2</v>
      </c>
      <c r="F144" s="512">
        <f>'BS Ratios'!$C$15</f>
        <v>8.0837361322670248E-2</v>
      </c>
      <c r="G144" s="512">
        <f>'BS Ratios'!$C$15</f>
        <v>8.0837361322670248E-2</v>
      </c>
      <c r="H144" s="512">
        <f>'BS Ratios'!$C$15</f>
        <v>8.0837361322670248E-2</v>
      </c>
      <c r="I144" s="512">
        <f>'BS Ratios'!$C$15</f>
        <v>8.0837361322670248E-2</v>
      </c>
      <c r="J144" s="512">
        <f>'BS Ratios'!$C$15</f>
        <v>8.0837361322670248E-2</v>
      </c>
      <c r="K144" s="512">
        <f>'BS Ratios'!$C$15</f>
        <v>8.0837361322670248E-2</v>
      </c>
    </row>
    <row r="145" spans="3:11">
      <c r="C145" s="527" t="s">
        <v>668</v>
      </c>
      <c r="E145" s="512" cm="1">
        <f t="array" ref="E145">AVERAGE(LARGE('BS Ratios'!$E$15:$K$15,_xlfn.SEQUENCE(2)))</f>
        <v>0.13601240644126392</v>
      </c>
      <c r="F145" s="512" cm="1">
        <f t="array" ref="F145">AVERAGE(LARGE('BS Ratios'!$E$15:$K$15,_xlfn.SEQUENCE(2)))</f>
        <v>0.13601240644126392</v>
      </c>
      <c r="G145" s="512" cm="1">
        <f t="array" ref="G145">AVERAGE(LARGE('BS Ratios'!$E$15:$K$15,_xlfn.SEQUENCE(2)))</f>
        <v>0.13601240644126392</v>
      </c>
      <c r="H145" s="512" cm="1">
        <f t="array" ref="H145">AVERAGE(LARGE('BS Ratios'!$E$15:$K$15,_xlfn.SEQUENCE(2)))</f>
        <v>0.13601240644126392</v>
      </c>
      <c r="I145" s="512" cm="1">
        <f t="array" ref="I145">AVERAGE(LARGE('BS Ratios'!$E$15:$K$15,_xlfn.SEQUENCE(2)))</f>
        <v>0.13601240644126392</v>
      </c>
      <c r="J145" s="512" cm="1">
        <f t="array" ref="J145">AVERAGE(LARGE('BS Ratios'!$E$15:$K$15,_xlfn.SEQUENCE(2)))</f>
        <v>0.13601240644126392</v>
      </c>
      <c r="K145" s="512" cm="1">
        <f t="array" ref="K145">AVERAGE(LARGE('BS Ratios'!$E$15:$K$15,_xlfn.SEQUENCE(2)))</f>
        <v>0.13601240644126392</v>
      </c>
    </row>
    <row r="146" spans="3:11">
      <c r="E146" s="511"/>
      <c r="F146" s="511"/>
      <c r="G146" s="511"/>
      <c r="H146" s="511"/>
      <c r="I146" s="511"/>
      <c r="J146" s="511"/>
      <c r="K146" s="511"/>
    </row>
    <row r="147" spans="3:11">
      <c r="E147" s="511"/>
      <c r="F147" s="511"/>
      <c r="G147" s="511"/>
      <c r="H147" s="511"/>
      <c r="I147" s="511"/>
      <c r="J147" s="511"/>
      <c r="K147" s="511"/>
    </row>
    <row r="148" spans="3:11">
      <c r="E148" s="1120" t="s">
        <v>612</v>
      </c>
      <c r="F148" s="1120"/>
      <c r="G148" s="1120"/>
      <c r="H148" s="1120"/>
      <c r="I148" s="1120"/>
      <c r="J148" s="1120"/>
      <c r="K148" s="1120"/>
    </row>
    <row r="149" spans="3:11">
      <c r="C149" s="644" t="s">
        <v>664</v>
      </c>
      <c r="E149" s="510" cm="1">
        <f t="array" ref="E149:K149">_xlfn.XLOOKUP($B$3,$C$11:$C$15,E151:K155)</f>
        <v>0.35548420150752119</v>
      </c>
      <c r="F149" s="510">
        <v>0.35548420150752119</v>
      </c>
      <c r="G149" s="510">
        <v>0.35548420150752119</v>
      </c>
      <c r="H149" s="510">
        <v>0.35548420150752119</v>
      </c>
      <c r="I149" s="510">
        <v>0.35548420150752119</v>
      </c>
      <c r="J149" s="510">
        <v>0.35548420150752119</v>
      </c>
      <c r="K149" s="510">
        <v>0.35548420150752119</v>
      </c>
    </row>
    <row r="150" spans="3:11">
      <c r="E150" s="511"/>
      <c r="F150" s="511"/>
      <c r="G150" s="511"/>
      <c r="H150" s="511"/>
      <c r="I150" s="511"/>
      <c r="J150" s="511"/>
      <c r="K150" s="511"/>
    </row>
    <row r="151" spans="3:11">
      <c r="C151" s="527" t="s">
        <v>665</v>
      </c>
      <c r="E151" s="512">
        <f>E152-0.015</f>
        <v>0.33898420150752118</v>
      </c>
      <c r="F151" s="512">
        <f t="shared" ref="F151:K151" si="3">F152-0.015</f>
        <v>0.33898420150752118</v>
      </c>
      <c r="G151" s="512">
        <f t="shared" si="3"/>
        <v>0.33898420150752118</v>
      </c>
      <c r="H151" s="512">
        <f t="shared" si="3"/>
        <v>0.33898420150752118</v>
      </c>
      <c r="I151" s="512">
        <f t="shared" si="3"/>
        <v>0.33898420150752118</v>
      </c>
      <c r="J151" s="512">
        <f t="shared" si="3"/>
        <v>0.33898420150752118</v>
      </c>
      <c r="K151" s="512">
        <f t="shared" si="3"/>
        <v>0.33898420150752118</v>
      </c>
    </row>
    <row r="152" spans="3:11">
      <c r="C152" s="527" t="s">
        <v>666</v>
      </c>
      <c r="E152" s="512">
        <f>E153-0.0015</f>
        <v>0.35398420150752119</v>
      </c>
      <c r="F152" s="512">
        <f t="shared" ref="F152:K152" si="4">F153-0.0015</f>
        <v>0.35398420150752119</v>
      </c>
      <c r="G152" s="512">
        <f t="shared" si="4"/>
        <v>0.35398420150752119</v>
      </c>
      <c r="H152" s="512">
        <f t="shared" si="4"/>
        <v>0.35398420150752119</v>
      </c>
      <c r="I152" s="512">
        <f t="shared" si="4"/>
        <v>0.35398420150752119</v>
      </c>
      <c r="J152" s="512">
        <f t="shared" si="4"/>
        <v>0.35398420150752119</v>
      </c>
      <c r="K152" s="512">
        <f t="shared" si="4"/>
        <v>0.35398420150752119</v>
      </c>
    </row>
    <row r="153" spans="3:11">
      <c r="C153" s="527" t="s">
        <v>5</v>
      </c>
      <c r="E153" s="512" cm="1">
        <f t="array" ref="E153">AVERAGE(SMALL('BS Ratios'!$E$16:$K$16,_xlfn.SEQUENCE(1)))</f>
        <v>0.35548420150752119</v>
      </c>
      <c r="F153" s="512" cm="1">
        <f t="array" ref="F153">AVERAGE(SMALL('BS Ratios'!$E$16:$K$16,_xlfn.SEQUENCE(1)))</f>
        <v>0.35548420150752119</v>
      </c>
      <c r="G153" s="512" cm="1">
        <f t="array" ref="G153">AVERAGE(SMALL('BS Ratios'!$E$16:$K$16,_xlfn.SEQUENCE(1)))</f>
        <v>0.35548420150752119</v>
      </c>
      <c r="H153" s="512" cm="1">
        <f t="array" ref="H153">AVERAGE(SMALL('BS Ratios'!$E$16:$K$16,_xlfn.SEQUENCE(1)))</f>
        <v>0.35548420150752119</v>
      </c>
      <c r="I153" s="512" cm="1">
        <f t="array" ref="I153">AVERAGE(SMALL('BS Ratios'!$E$16:$K$16,_xlfn.SEQUENCE(1)))</f>
        <v>0.35548420150752119</v>
      </c>
      <c r="J153" s="512" cm="1">
        <f t="array" ref="J153">AVERAGE(SMALL('BS Ratios'!$E$16:$K$16,_xlfn.SEQUENCE(1)))</f>
        <v>0.35548420150752119</v>
      </c>
      <c r="K153" s="512" cm="1">
        <f t="array" ref="K153">AVERAGE(SMALL('BS Ratios'!$E$16:$K$16,_xlfn.SEQUENCE(1)))</f>
        <v>0.35548420150752119</v>
      </c>
    </row>
    <row r="154" spans="3:11">
      <c r="C154" s="527" t="s">
        <v>667</v>
      </c>
      <c r="E154" s="512" cm="1">
        <f t="array" ref="E154">AVERAGE(SMALL('BS Ratios'!$E$16:$K$16,_xlfn.SEQUENCE(2)))</f>
        <v>0.36758644462808909</v>
      </c>
      <c r="F154" s="512" cm="1">
        <f t="array" ref="F154">AVERAGE(SMALL('BS Ratios'!$E$16:$K$16,_xlfn.SEQUENCE(2)))</f>
        <v>0.36758644462808909</v>
      </c>
      <c r="G154" s="512" cm="1">
        <f t="array" ref="G154">AVERAGE(SMALL('BS Ratios'!$E$16:$K$16,_xlfn.SEQUENCE(2)))</f>
        <v>0.36758644462808909</v>
      </c>
      <c r="H154" s="512" cm="1">
        <f t="array" ref="H154">AVERAGE(SMALL('BS Ratios'!$E$16:$K$16,_xlfn.SEQUENCE(2)))</f>
        <v>0.36758644462808909</v>
      </c>
      <c r="I154" s="512" cm="1">
        <f t="array" ref="I154">AVERAGE(SMALL('BS Ratios'!$E$16:$K$16,_xlfn.SEQUENCE(2)))</f>
        <v>0.36758644462808909</v>
      </c>
      <c r="J154" s="512" cm="1">
        <f t="array" ref="J154">AVERAGE(SMALL('BS Ratios'!$E$16:$K$16,_xlfn.SEQUENCE(2)))</f>
        <v>0.36758644462808909</v>
      </c>
      <c r="K154" s="512" cm="1">
        <f t="array" ref="K154">AVERAGE(SMALL('BS Ratios'!$E$16:$K$16,_xlfn.SEQUENCE(2)))</f>
        <v>0.36758644462808909</v>
      </c>
    </row>
    <row r="155" spans="3:11">
      <c r="C155" s="527" t="s">
        <v>668</v>
      </c>
      <c r="E155" s="512">
        <f>'BS Ratios'!$C$16</f>
        <v>0.39023007496672185</v>
      </c>
      <c r="F155" s="512">
        <f>'BS Ratios'!$C$16</f>
        <v>0.39023007496672185</v>
      </c>
      <c r="G155" s="512">
        <f>'BS Ratios'!$C$16</f>
        <v>0.39023007496672185</v>
      </c>
      <c r="H155" s="512">
        <f>'BS Ratios'!$C$16</f>
        <v>0.39023007496672185</v>
      </c>
      <c r="I155" s="512">
        <f>'BS Ratios'!$C$16</f>
        <v>0.39023007496672185</v>
      </c>
      <c r="J155" s="512">
        <f>'BS Ratios'!$C$16</f>
        <v>0.39023007496672185</v>
      </c>
      <c r="K155" s="512">
        <f>'BS Ratios'!$C$16</f>
        <v>0.39023007496672185</v>
      </c>
    </row>
    <row r="156" spans="3:11">
      <c r="E156" s="511"/>
      <c r="F156" s="511"/>
      <c r="G156" s="511"/>
      <c r="H156" s="511"/>
      <c r="I156" s="511"/>
      <c r="J156" s="511"/>
      <c r="K156" s="511"/>
    </row>
    <row r="157" spans="3:11">
      <c r="E157" s="511"/>
      <c r="F157" s="511"/>
      <c r="G157" s="511"/>
      <c r="H157" s="511"/>
      <c r="I157" s="511"/>
      <c r="J157" s="511"/>
      <c r="K157" s="511"/>
    </row>
    <row r="158" spans="3:11">
      <c r="E158" s="1120" t="s">
        <v>681</v>
      </c>
      <c r="F158" s="1120"/>
      <c r="G158" s="1120"/>
      <c r="H158" s="1120"/>
      <c r="I158" s="1120"/>
      <c r="J158" s="1120"/>
      <c r="K158" s="1120"/>
    </row>
    <row r="159" spans="3:11">
      <c r="C159" s="644" t="s">
        <v>664</v>
      </c>
      <c r="E159" s="510" cm="1">
        <f t="array" ref="E159:K159">_xlfn.XLOOKUP($B$3,$C$11:$C$15,E161:K165)</f>
        <v>0.11752678589964463</v>
      </c>
      <c r="F159" s="510">
        <v>0.11752678589964463</v>
      </c>
      <c r="G159" s="510">
        <v>0.11752678589964463</v>
      </c>
      <c r="H159" s="510">
        <v>0.11752678589964463</v>
      </c>
      <c r="I159" s="510">
        <v>0.11752678589964463</v>
      </c>
      <c r="J159" s="510">
        <v>0.11752678589964463</v>
      </c>
      <c r="K159" s="510">
        <v>0.11752678589964463</v>
      </c>
    </row>
    <row r="160" spans="3:11">
      <c r="E160" s="511"/>
      <c r="F160" s="511"/>
      <c r="G160" s="511"/>
      <c r="H160" s="511"/>
      <c r="I160" s="511"/>
      <c r="J160" s="511"/>
      <c r="K160" s="511"/>
    </row>
    <row r="161" spans="3:11">
      <c r="C161" s="527" t="s">
        <v>665</v>
      </c>
      <c r="E161" s="512" cm="1">
        <f t="array" ref="E161">AVERAGE(SMALL('BS Ratios'!$E$17:$K$17,_xlfn.SEQUENCE(1)))</f>
        <v>9.5300765418033489E-3</v>
      </c>
      <c r="F161" s="512" cm="1">
        <f t="array" ref="F161">AVERAGE(SMALL('BS Ratios'!$E$17:$K$17,_xlfn.SEQUENCE(1)))</f>
        <v>9.5300765418033489E-3</v>
      </c>
      <c r="G161" s="512" cm="1">
        <f t="array" ref="G161">AVERAGE(SMALL('BS Ratios'!$E$17:$K$17,_xlfn.SEQUENCE(1)))</f>
        <v>9.5300765418033489E-3</v>
      </c>
      <c r="H161" s="512" cm="1">
        <f t="array" ref="H161">AVERAGE(SMALL('BS Ratios'!$E$17:$K$17,_xlfn.SEQUENCE(1)))</f>
        <v>9.5300765418033489E-3</v>
      </c>
      <c r="I161" s="512" cm="1">
        <f t="array" ref="I161">AVERAGE(SMALL('BS Ratios'!$E$17:$K$17,_xlfn.SEQUENCE(1)))</f>
        <v>9.5300765418033489E-3</v>
      </c>
      <c r="J161" s="512" cm="1">
        <f t="array" ref="J161">AVERAGE(SMALL('BS Ratios'!$E$17:$K$17,_xlfn.SEQUENCE(1)))</f>
        <v>9.5300765418033489E-3</v>
      </c>
      <c r="K161" s="512" cm="1">
        <f t="array" ref="K161">AVERAGE(SMALL('BS Ratios'!$E$17:$K$17,_xlfn.SEQUENCE(1)))</f>
        <v>9.5300765418033489E-3</v>
      </c>
    </row>
    <row r="162" spans="3:11">
      <c r="C162" s="527" t="s">
        <v>666</v>
      </c>
      <c r="E162" s="512" cm="1">
        <f t="array" ref="E162">AVERAGE(SMALL('BS Ratios'!$E$17:$K$17,_xlfn.SEQUENCE(2)))</f>
        <v>6.9940245226686196E-2</v>
      </c>
      <c r="F162" s="512" cm="1">
        <f t="array" ref="F162">AVERAGE(SMALL('BS Ratios'!$E$17:$K$17,_xlfn.SEQUENCE(2)))</f>
        <v>6.9940245226686196E-2</v>
      </c>
      <c r="G162" s="512" cm="1">
        <f t="array" ref="G162">AVERAGE(SMALL('BS Ratios'!$E$17:$K$17,_xlfn.SEQUENCE(2)))</f>
        <v>6.9940245226686196E-2</v>
      </c>
      <c r="H162" s="512" cm="1">
        <f t="array" ref="H162">AVERAGE(SMALL('BS Ratios'!$E$17:$K$17,_xlfn.SEQUENCE(2)))</f>
        <v>6.9940245226686196E-2</v>
      </c>
      <c r="I162" s="512" cm="1">
        <f t="array" ref="I162">AVERAGE(SMALL('BS Ratios'!$E$17:$K$17,_xlfn.SEQUENCE(2)))</f>
        <v>6.9940245226686196E-2</v>
      </c>
      <c r="J162" s="512" cm="1">
        <f t="array" ref="J162">AVERAGE(SMALL('BS Ratios'!$E$17:$K$17,_xlfn.SEQUENCE(2)))</f>
        <v>6.9940245226686196E-2</v>
      </c>
      <c r="K162" s="512" cm="1">
        <f t="array" ref="K162">AVERAGE(SMALL('BS Ratios'!$E$17:$K$17,_xlfn.SEQUENCE(2)))</f>
        <v>6.9940245226686196E-2</v>
      </c>
    </row>
    <row r="163" spans="3:11">
      <c r="C163" s="527" t="s">
        <v>5</v>
      </c>
      <c r="E163" s="512">
        <f>'BS Ratios'!$C$17</f>
        <v>0.11752678589964463</v>
      </c>
      <c r="F163" s="512">
        <f>'BS Ratios'!$C$17</f>
        <v>0.11752678589964463</v>
      </c>
      <c r="G163" s="512">
        <f>'BS Ratios'!$C$17</f>
        <v>0.11752678589964463</v>
      </c>
      <c r="H163" s="512">
        <f>'BS Ratios'!$C$17</f>
        <v>0.11752678589964463</v>
      </c>
      <c r="I163" s="512">
        <f>'BS Ratios'!$C$17</f>
        <v>0.11752678589964463</v>
      </c>
      <c r="J163" s="512">
        <f>'BS Ratios'!$C$17</f>
        <v>0.11752678589964463</v>
      </c>
      <c r="K163" s="512">
        <f>'BS Ratios'!$C$17</f>
        <v>0.11752678589964463</v>
      </c>
    </row>
    <row r="164" spans="3:11">
      <c r="C164" s="527" t="s">
        <v>667</v>
      </c>
      <c r="E164" s="512" cm="1">
        <f t="array" ref="E164">AVERAGE(LARGE('BS Ratios'!$E$17:$K$17,_xlfn.SEQUENCE(2)))</f>
        <v>0.1551826403439418</v>
      </c>
      <c r="F164" s="512" cm="1">
        <f t="array" ref="F164">AVERAGE(LARGE('BS Ratios'!$E$17:$K$17,_xlfn.SEQUENCE(2)))</f>
        <v>0.1551826403439418</v>
      </c>
      <c r="G164" s="512" cm="1">
        <f t="array" ref="G164">AVERAGE(LARGE('BS Ratios'!$E$17:$K$17,_xlfn.SEQUENCE(2)))</f>
        <v>0.1551826403439418</v>
      </c>
      <c r="H164" s="512" cm="1">
        <f t="array" ref="H164">AVERAGE(LARGE('BS Ratios'!$E$17:$K$17,_xlfn.SEQUENCE(2)))</f>
        <v>0.1551826403439418</v>
      </c>
      <c r="I164" s="512" cm="1">
        <f t="array" ref="I164">AVERAGE(LARGE('BS Ratios'!$E$17:$K$17,_xlfn.SEQUENCE(2)))</f>
        <v>0.1551826403439418</v>
      </c>
      <c r="J164" s="512" cm="1">
        <f t="array" ref="J164">AVERAGE(LARGE('BS Ratios'!$E$17:$K$17,_xlfn.SEQUENCE(2)))</f>
        <v>0.1551826403439418</v>
      </c>
      <c r="K164" s="512" cm="1">
        <f t="array" ref="K164">AVERAGE(LARGE('BS Ratios'!$E$17:$K$17,_xlfn.SEQUENCE(2)))</f>
        <v>0.1551826403439418</v>
      </c>
    </row>
    <row r="165" spans="3:11">
      <c r="C165" s="527" t="s">
        <v>668</v>
      </c>
      <c r="E165" s="512" cm="1">
        <f t="array" ref="E165">AVERAGE(LARGE('BS Ratios'!$E$17:$K$17,_xlfn.SEQUENCE(1)))</f>
        <v>0.15722492194701523</v>
      </c>
      <c r="F165" s="512" cm="1">
        <f t="array" ref="F165">AVERAGE(LARGE('BS Ratios'!$E$17:$K$17,_xlfn.SEQUENCE(1)))</f>
        <v>0.15722492194701523</v>
      </c>
      <c r="G165" s="512" cm="1">
        <f t="array" ref="G165">AVERAGE(LARGE('BS Ratios'!$E$17:$K$17,_xlfn.SEQUENCE(1)))</f>
        <v>0.15722492194701523</v>
      </c>
      <c r="H165" s="512" cm="1">
        <f t="array" ref="H165">AVERAGE(LARGE('BS Ratios'!$E$17:$K$17,_xlfn.SEQUENCE(1)))</f>
        <v>0.15722492194701523</v>
      </c>
      <c r="I165" s="512" cm="1">
        <f t="array" ref="I165">AVERAGE(LARGE('BS Ratios'!$E$17:$K$17,_xlfn.SEQUENCE(1)))</f>
        <v>0.15722492194701523</v>
      </c>
      <c r="J165" s="512" cm="1">
        <f t="array" ref="J165">AVERAGE(LARGE('BS Ratios'!$E$17:$K$17,_xlfn.SEQUENCE(1)))</f>
        <v>0.15722492194701523</v>
      </c>
      <c r="K165" s="512" cm="1">
        <f t="array" ref="K165">AVERAGE(LARGE('BS Ratios'!$E$17:$K$17,_xlfn.SEQUENCE(1)))</f>
        <v>0.15722492194701523</v>
      </c>
    </row>
    <row r="166" spans="3:11">
      <c r="E166" s="511"/>
      <c r="F166" s="511"/>
      <c r="G166" s="511"/>
      <c r="H166" s="511"/>
      <c r="I166" s="511"/>
      <c r="J166" s="511"/>
      <c r="K166" s="511"/>
    </row>
    <row r="167" spans="3:11">
      <c r="E167" s="511"/>
      <c r="F167" s="511"/>
      <c r="G167" s="511"/>
      <c r="H167" s="511"/>
      <c r="I167" s="511"/>
      <c r="J167" s="511"/>
      <c r="K167" s="511"/>
    </row>
    <row r="168" spans="3:11">
      <c r="E168" s="1120" t="s">
        <v>616</v>
      </c>
      <c r="F168" s="1120"/>
      <c r="G168" s="1120"/>
      <c r="H168" s="1120"/>
      <c r="I168" s="1120"/>
      <c r="J168" s="1120"/>
      <c r="K168" s="1120"/>
    </row>
    <row r="169" spans="3:11">
      <c r="C169" s="644" t="s">
        <v>664</v>
      </c>
      <c r="E169" s="510" cm="1">
        <f t="array" ref="E169:K169">_xlfn.XLOOKUP($B$3,$C$11:$C$15,E171:K175)</f>
        <v>4.2213450939984638E-2</v>
      </c>
      <c r="F169" s="510">
        <v>4.2213450939984638E-2</v>
      </c>
      <c r="G169" s="510">
        <v>4.2213450939984638E-2</v>
      </c>
      <c r="H169" s="510">
        <v>4.2213450939984638E-2</v>
      </c>
      <c r="I169" s="510">
        <v>4.2213450939984638E-2</v>
      </c>
      <c r="J169" s="510">
        <v>4.2213450939984638E-2</v>
      </c>
      <c r="K169" s="510">
        <v>4.2213450939984638E-2</v>
      </c>
    </row>
    <row r="170" spans="3:11">
      <c r="E170" s="511"/>
      <c r="F170" s="511"/>
      <c r="G170" s="511"/>
      <c r="H170" s="511"/>
      <c r="I170" s="511"/>
      <c r="J170" s="511"/>
      <c r="K170" s="511"/>
    </row>
    <row r="171" spans="3:11">
      <c r="C171" s="527" t="s">
        <v>665</v>
      </c>
      <c r="E171" s="512" cm="1">
        <f t="array" ref="E171">AVERAGE(SMALL('BS Ratios'!$E$19:$K$19,_xlfn.SEQUENCE(1)))</f>
        <v>1.6845777992817376E-2</v>
      </c>
      <c r="F171" s="512" cm="1">
        <f t="array" ref="F171">AVERAGE(SMALL('BS Ratios'!$E$19:$K$19,_xlfn.SEQUENCE(1)))</f>
        <v>1.6845777992817376E-2</v>
      </c>
      <c r="G171" s="512" cm="1">
        <f t="array" ref="G171">AVERAGE(SMALL('BS Ratios'!$E$19:$K$19,_xlfn.SEQUENCE(1)))</f>
        <v>1.6845777992817376E-2</v>
      </c>
      <c r="H171" s="512" cm="1">
        <f t="array" ref="H171">AVERAGE(SMALL('BS Ratios'!$E$19:$K$19,_xlfn.SEQUENCE(1)))</f>
        <v>1.6845777992817376E-2</v>
      </c>
      <c r="I171" s="512" cm="1">
        <f t="array" ref="I171">AVERAGE(SMALL('BS Ratios'!$E$19:$K$19,_xlfn.SEQUENCE(1)))</f>
        <v>1.6845777992817376E-2</v>
      </c>
      <c r="J171" s="512" cm="1">
        <f t="array" ref="J171">AVERAGE(SMALL('BS Ratios'!$E$19:$K$19,_xlfn.SEQUENCE(1)))</f>
        <v>1.6845777992817376E-2</v>
      </c>
      <c r="K171" s="512" cm="1">
        <f t="array" ref="K171">AVERAGE(SMALL('BS Ratios'!$E$19:$K$19,_xlfn.SEQUENCE(1)))</f>
        <v>1.6845777992817376E-2</v>
      </c>
    </row>
    <row r="172" spans="3:11">
      <c r="C172" s="527" t="s">
        <v>666</v>
      </c>
      <c r="E172" s="512" cm="1">
        <f t="array" ref="E172">AVERAGE(SMALL('BS Ratios'!$E$19:$K$19,_xlfn.SEQUENCE(2)))</f>
        <v>2.1071413685148168E-2</v>
      </c>
      <c r="F172" s="512" cm="1">
        <f t="array" ref="F172">AVERAGE(SMALL('BS Ratios'!$E$19:$K$19,_xlfn.SEQUENCE(2)))</f>
        <v>2.1071413685148168E-2</v>
      </c>
      <c r="G172" s="512" cm="1">
        <f t="array" ref="G172">AVERAGE(SMALL('BS Ratios'!$E$19:$K$19,_xlfn.SEQUENCE(2)))</f>
        <v>2.1071413685148168E-2</v>
      </c>
      <c r="H172" s="512" cm="1">
        <f t="array" ref="H172">AVERAGE(SMALL('BS Ratios'!$E$19:$K$19,_xlfn.SEQUENCE(2)))</f>
        <v>2.1071413685148168E-2</v>
      </c>
      <c r="I172" s="512" cm="1">
        <f t="array" ref="I172">AVERAGE(SMALL('BS Ratios'!$E$19:$K$19,_xlfn.SEQUENCE(2)))</f>
        <v>2.1071413685148168E-2</v>
      </c>
      <c r="J172" s="512" cm="1">
        <f t="array" ref="J172">AVERAGE(SMALL('BS Ratios'!$E$19:$K$19,_xlfn.SEQUENCE(2)))</f>
        <v>2.1071413685148168E-2</v>
      </c>
      <c r="K172" s="512" cm="1">
        <f t="array" ref="K172">AVERAGE(SMALL('BS Ratios'!$E$19:$K$19,_xlfn.SEQUENCE(2)))</f>
        <v>2.1071413685148168E-2</v>
      </c>
    </row>
    <row r="173" spans="3:11">
      <c r="C173" s="527" t="s">
        <v>5</v>
      </c>
      <c r="E173" s="512">
        <f>'BS Ratios'!$C$19</f>
        <v>4.2213450939984638E-2</v>
      </c>
      <c r="F173" s="512">
        <f>'BS Ratios'!$C$19</f>
        <v>4.2213450939984638E-2</v>
      </c>
      <c r="G173" s="512">
        <f>'BS Ratios'!$C$19</f>
        <v>4.2213450939984638E-2</v>
      </c>
      <c r="H173" s="512">
        <f>'BS Ratios'!$C$19</f>
        <v>4.2213450939984638E-2</v>
      </c>
      <c r="I173" s="512">
        <f>'BS Ratios'!$C$19</f>
        <v>4.2213450939984638E-2</v>
      </c>
      <c r="J173" s="512">
        <f>'BS Ratios'!$C$19</f>
        <v>4.2213450939984638E-2</v>
      </c>
      <c r="K173" s="512">
        <f>'BS Ratios'!$C$19</f>
        <v>4.2213450939984638E-2</v>
      </c>
    </row>
    <row r="174" spans="3:11">
      <c r="C174" s="527" t="s">
        <v>667</v>
      </c>
      <c r="E174" s="512" cm="1">
        <f t="array" ref="E174">AVERAGE(LARGE('BS Ratios'!$E$19:$K$19,_xlfn.SEQUENCE(2)))</f>
        <v>6.1236241653926382E-2</v>
      </c>
      <c r="F174" s="512" cm="1">
        <f t="array" ref="F174">AVERAGE(LARGE('BS Ratios'!$E$19:$K$19,_xlfn.SEQUENCE(2)))</f>
        <v>6.1236241653926382E-2</v>
      </c>
      <c r="G174" s="512" cm="1">
        <f t="array" ref="G174">AVERAGE(LARGE('BS Ratios'!$E$19:$K$19,_xlfn.SEQUENCE(2)))</f>
        <v>6.1236241653926382E-2</v>
      </c>
      <c r="H174" s="512" cm="1">
        <f t="array" ref="H174">AVERAGE(LARGE('BS Ratios'!$E$19:$K$19,_xlfn.SEQUENCE(2)))</f>
        <v>6.1236241653926382E-2</v>
      </c>
      <c r="I174" s="512" cm="1">
        <f t="array" ref="I174">AVERAGE(LARGE('BS Ratios'!$E$19:$K$19,_xlfn.SEQUENCE(2)))</f>
        <v>6.1236241653926382E-2</v>
      </c>
      <c r="J174" s="512" cm="1">
        <f t="array" ref="J174">AVERAGE(LARGE('BS Ratios'!$E$19:$K$19,_xlfn.SEQUENCE(2)))</f>
        <v>6.1236241653926382E-2</v>
      </c>
      <c r="K174" s="512" cm="1">
        <f t="array" ref="K174">AVERAGE(LARGE('BS Ratios'!$E$19:$K$19,_xlfn.SEQUENCE(2)))</f>
        <v>6.1236241653926382E-2</v>
      </c>
    </row>
    <row r="175" spans="3:11">
      <c r="C175" s="527" t="s">
        <v>668</v>
      </c>
      <c r="E175" s="512" cm="1">
        <f t="array" ref="E175">AVERAGE(LARGE('BS Ratios'!$E$19:$K$19,_xlfn.SEQUENCE(1)))</f>
        <v>7.0771988180616585E-2</v>
      </c>
      <c r="F175" s="512" cm="1">
        <f t="array" ref="F175">AVERAGE(LARGE('BS Ratios'!$E$19:$K$19,_xlfn.SEQUENCE(1)))</f>
        <v>7.0771988180616585E-2</v>
      </c>
      <c r="G175" s="512" cm="1">
        <f t="array" ref="G175">AVERAGE(LARGE('BS Ratios'!$E$19:$K$19,_xlfn.SEQUENCE(1)))</f>
        <v>7.0771988180616585E-2</v>
      </c>
      <c r="H175" s="512" cm="1">
        <f t="array" ref="H175">AVERAGE(LARGE('BS Ratios'!$E$19:$K$19,_xlfn.SEQUENCE(1)))</f>
        <v>7.0771988180616585E-2</v>
      </c>
      <c r="I175" s="512" cm="1">
        <f t="array" ref="I175">AVERAGE(LARGE('BS Ratios'!$E$19:$K$19,_xlfn.SEQUENCE(1)))</f>
        <v>7.0771988180616585E-2</v>
      </c>
      <c r="J175" s="512" cm="1">
        <f t="array" ref="J175">AVERAGE(LARGE('BS Ratios'!$E$19:$K$19,_xlfn.SEQUENCE(1)))</f>
        <v>7.0771988180616585E-2</v>
      </c>
      <c r="K175" s="512" cm="1">
        <f t="array" ref="K175">AVERAGE(LARGE('BS Ratios'!$E$19:$K$19,_xlfn.SEQUENCE(1)))</f>
        <v>7.0771988180616585E-2</v>
      </c>
    </row>
    <row r="176" spans="3:11">
      <c r="C176" s="527"/>
      <c r="E176" s="513"/>
      <c r="F176" s="513"/>
      <c r="G176" s="513"/>
      <c r="H176" s="513"/>
      <c r="I176" s="513"/>
      <c r="J176" s="513"/>
      <c r="K176" s="513"/>
    </row>
    <row r="177" spans="3:11">
      <c r="E177" s="511"/>
      <c r="F177" s="511"/>
      <c r="G177" s="511"/>
      <c r="H177" s="511"/>
      <c r="I177" s="511"/>
      <c r="J177" s="511"/>
      <c r="K177" s="511"/>
    </row>
    <row r="178" spans="3:11">
      <c r="E178" s="1120" t="s">
        <v>620</v>
      </c>
      <c r="F178" s="1120"/>
      <c r="G178" s="1120"/>
      <c r="H178" s="1120"/>
      <c r="I178" s="1120"/>
      <c r="J178" s="1120"/>
      <c r="K178" s="1120"/>
    </row>
    <row r="179" spans="3:11">
      <c r="C179" s="644" t="s">
        <v>664</v>
      </c>
      <c r="E179" s="510" cm="1">
        <f t="array" ref="E179:K179">_xlfn.XLOOKUP($B$3,$C$11:$C$15,E181:K185)</f>
        <v>1.4010329689775163E-2</v>
      </c>
      <c r="F179" s="510">
        <v>1.4010329689775163E-2</v>
      </c>
      <c r="G179" s="510">
        <v>1.4010329689775163E-2</v>
      </c>
      <c r="H179" s="510">
        <v>1.4010329689775163E-2</v>
      </c>
      <c r="I179" s="510">
        <v>1.4010329689775163E-2</v>
      </c>
      <c r="J179" s="510">
        <v>1.4010329689775163E-2</v>
      </c>
      <c r="K179" s="510">
        <v>1.4010329689775163E-2</v>
      </c>
    </row>
    <row r="180" spans="3:11">
      <c r="E180" s="511"/>
      <c r="F180" s="511"/>
      <c r="G180" s="511"/>
      <c r="H180" s="511"/>
      <c r="I180" s="511"/>
      <c r="J180" s="511"/>
      <c r="K180" s="511"/>
    </row>
    <row r="181" spans="3:11">
      <c r="C181" s="527" t="s">
        <v>665</v>
      </c>
      <c r="E181" s="512" cm="1">
        <f t="array" ref="E181">AVERAGE(SMALL('BS Ratios'!$E$20:$K$20,_xlfn.SEQUENCE(2)))</f>
        <v>9.545313149209758E-4</v>
      </c>
      <c r="F181" s="512" cm="1">
        <f t="array" ref="F181">AVERAGE(SMALL('BS Ratios'!$E$20:$K$20,_xlfn.SEQUENCE(2)))</f>
        <v>9.545313149209758E-4</v>
      </c>
      <c r="G181" s="512" cm="1">
        <f t="array" ref="G181">AVERAGE(SMALL('BS Ratios'!$E$20:$K$20,_xlfn.SEQUENCE(2)))</f>
        <v>9.545313149209758E-4</v>
      </c>
      <c r="H181" s="512" cm="1">
        <f t="array" ref="H181">AVERAGE(SMALL('BS Ratios'!$E$20:$K$20,_xlfn.SEQUENCE(2)))</f>
        <v>9.545313149209758E-4</v>
      </c>
      <c r="I181" s="512" cm="1">
        <f t="array" ref="I181">AVERAGE(SMALL('BS Ratios'!$E$20:$K$20,_xlfn.SEQUENCE(2)))</f>
        <v>9.545313149209758E-4</v>
      </c>
      <c r="J181" s="512" cm="1">
        <f t="array" ref="J181">AVERAGE(SMALL('BS Ratios'!$E$20:$K$20,_xlfn.SEQUENCE(2)))</f>
        <v>9.545313149209758E-4</v>
      </c>
      <c r="K181" s="512" cm="1">
        <f t="array" ref="K181">AVERAGE(SMALL('BS Ratios'!$E$20:$K$20,_xlfn.SEQUENCE(2)))</f>
        <v>9.545313149209758E-4</v>
      </c>
    </row>
    <row r="182" spans="3:11">
      <c r="C182" s="527" t="s">
        <v>666</v>
      </c>
      <c r="E182" s="512">
        <f>'BS Ratios'!$C$20</f>
        <v>7.4265950703917205E-3</v>
      </c>
      <c r="F182" s="512">
        <f>'BS Ratios'!$C$20</f>
        <v>7.4265950703917205E-3</v>
      </c>
      <c r="G182" s="512">
        <f>'BS Ratios'!$C$20</f>
        <v>7.4265950703917205E-3</v>
      </c>
      <c r="H182" s="512">
        <f>'BS Ratios'!$C$20</f>
        <v>7.4265950703917205E-3</v>
      </c>
      <c r="I182" s="512">
        <f>'BS Ratios'!$C$20</f>
        <v>7.4265950703917205E-3</v>
      </c>
      <c r="J182" s="512">
        <f>'BS Ratios'!$C$20</f>
        <v>7.4265950703917205E-3</v>
      </c>
      <c r="K182" s="512">
        <f>'BS Ratios'!$C$20</f>
        <v>7.4265950703917205E-3</v>
      </c>
    </row>
    <row r="183" spans="3:11">
      <c r="C183" s="527" t="s">
        <v>5</v>
      </c>
      <c r="E183" s="512" cm="1">
        <f t="array" ref="E183">AVERAGE(LARGE('BS Ratios'!$E$20:$K$20,_xlfn.SEQUENCE(2)))</f>
        <v>1.4010329689775163E-2</v>
      </c>
      <c r="F183" s="512" cm="1">
        <f t="array" ref="F183">AVERAGE(LARGE('BS Ratios'!$E$20:$K$20,_xlfn.SEQUENCE(2)))</f>
        <v>1.4010329689775163E-2</v>
      </c>
      <c r="G183" s="512" cm="1">
        <f t="array" ref="G183">AVERAGE(LARGE('BS Ratios'!$E$20:$K$20,_xlfn.SEQUENCE(2)))</f>
        <v>1.4010329689775163E-2</v>
      </c>
      <c r="H183" s="512" cm="1">
        <f t="array" ref="H183">AVERAGE(LARGE('BS Ratios'!$E$20:$K$20,_xlfn.SEQUENCE(2)))</f>
        <v>1.4010329689775163E-2</v>
      </c>
      <c r="I183" s="512" cm="1">
        <f t="array" ref="I183">AVERAGE(LARGE('BS Ratios'!$E$20:$K$20,_xlfn.SEQUENCE(2)))</f>
        <v>1.4010329689775163E-2</v>
      </c>
      <c r="J183" s="512" cm="1">
        <f t="array" ref="J183">AVERAGE(LARGE('BS Ratios'!$E$20:$K$20,_xlfn.SEQUENCE(2)))</f>
        <v>1.4010329689775163E-2</v>
      </c>
      <c r="K183" s="512" cm="1">
        <f t="array" ref="K183">AVERAGE(LARGE('BS Ratios'!$E$20:$K$20,_xlfn.SEQUENCE(2)))</f>
        <v>1.4010329689775163E-2</v>
      </c>
    </row>
    <row r="184" spans="3:11">
      <c r="C184" s="527" t="s">
        <v>667</v>
      </c>
      <c r="E184" s="512" cm="1">
        <f t="array" ref="E184">AVERAGE(LARGE('BS Ratios'!$E$20:$K$20,_xlfn.SEQUENCE(1)))</f>
        <v>1.7150564327149641E-2</v>
      </c>
      <c r="F184" s="512" cm="1">
        <f t="array" ref="F184">AVERAGE(LARGE('BS Ratios'!$E$20:$K$20,_xlfn.SEQUENCE(1)))</f>
        <v>1.7150564327149641E-2</v>
      </c>
      <c r="G184" s="512" cm="1">
        <f t="array" ref="G184">AVERAGE(LARGE('BS Ratios'!$E$20:$K$20,_xlfn.SEQUENCE(1)))</f>
        <v>1.7150564327149641E-2</v>
      </c>
      <c r="H184" s="512" cm="1">
        <f t="array" ref="H184">AVERAGE(LARGE('BS Ratios'!$E$20:$K$20,_xlfn.SEQUENCE(1)))</f>
        <v>1.7150564327149641E-2</v>
      </c>
      <c r="I184" s="512" cm="1">
        <f t="array" ref="I184">AVERAGE(LARGE('BS Ratios'!$E$20:$K$20,_xlfn.SEQUENCE(1)))</f>
        <v>1.7150564327149641E-2</v>
      </c>
      <c r="J184" s="512" cm="1">
        <f t="array" ref="J184">AVERAGE(LARGE('BS Ratios'!$E$20:$K$20,_xlfn.SEQUENCE(1)))</f>
        <v>1.7150564327149641E-2</v>
      </c>
      <c r="K184" s="512" cm="1">
        <f t="array" ref="K184">AVERAGE(LARGE('BS Ratios'!$E$20:$K$20,_xlfn.SEQUENCE(1)))</f>
        <v>1.7150564327149641E-2</v>
      </c>
    </row>
    <row r="185" spans="3:11">
      <c r="C185" s="527" t="s">
        <v>668</v>
      </c>
      <c r="E185" s="512">
        <f>E184+0.005</f>
        <v>2.2150564327149642E-2</v>
      </c>
      <c r="F185" s="512">
        <f t="shared" ref="F185:K185" si="5">F184+0.005</f>
        <v>2.2150564327149642E-2</v>
      </c>
      <c r="G185" s="512">
        <f t="shared" si="5"/>
        <v>2.2150564327149642E-2</v>
      </c>
      <c r="H185" s="512">
        <f t="shared" si="5"/>
        <v>2.2150564327149642E-2</v>
      </c>
      <c r="I185" s="512">
        <f t="shared" si="5"/>
        <v>2.2150564327149642E-2</v>
      </c>
      <c r="J185" s="512">
        <f t="shared" si="5"/>
        <v>2.2150564327149642E-2</v>
      </c>
      <c r="K185" s="512">
        <f t="shared" si="5"/>
        <v>2.2150564327149642E-2</v>
      </c>
    </row>
    <row r="186" spans="3:11">
      <c r="E186" s="511"/>
      <c r="F186" s="511"/>
      <c r="G186" s="511"/>
      <c r="H186" s="511"/>
      <c r="I186" s="511"/>
      <c r="J186" s="511"/>
      <c r="K186" s="511"/>
    </row>
    <row r="187" spans="3:11">
      <c r="E187" s="511"/>
      <c r="F187" s="511"/>
      <c r="G187" s="511"/>
      <c r="H187" s="511"/>
      <c r="I187" s="511"/>
      <c r="J187" s="511"/>
      <c r="K187" s="511"/>
    </row>
    <row r="188" spans="3:11">
      <c r="E188" s="1120" t="s">
        <v>617</v>
      </c>
      <c r="F188" s="1120"/>
      <c r="G188" s="1120"/>
      <c r="H188" s="1120"/>
      <c r="I188" s="1120"/>
      <c r="J188" s="1120"/>
      <c r="K188" s="1120"/>
    </row>
    <row r="189" spans="3:11">
      <c r="C189" s="644" t="s">
        <v>664</v>
      </c>
      <c r="E189" s="514" cm="1">
        <f t="array" ref="E189:K189">_xlfn.XLOOKUP($B$3,$C$11:$C$15,E191:K195)</f>
        <v>27.853000000000002</v>
      </c>
      <c r="F189" s="514">
        <v>27.853000000000002</v>
      </c>
      <c r="G189" s="514">
        <v>27.853000000000002</v>
      </c>
      <c r="H189" s="514">
        <v>27.853000000000002</v>
      </c>
      <c r="I189" s="514">
        <v>27.853000000000002</v>
      </c>
      <c r="J189" s="514">
        <v>27.853000000000002</v>
      </c>
      <c r="K189" s="514">
        <v>27.853000000000002</v>
      </c>
    </row>
    <row r="190" spans="3:11">
      <c r="E190" s="511"/>
      <c r="F190" s="511"/>
      <c r="G190" s="511"/>
      <c r="H190" s="511"/>
      <c r="I190" s="511"/>
      <c r="J190" s="511"/>
      <c r="K190" s="511"/>
    </row>
    <row r="191" spans="3:11">
      <c r="C191" s="527" t="s">
        <v>665</v>
      </c>
      <c r="E191" s="514">
        <f>'BS Intergrated'!$K$57</f>
        <v>27.853000000000002</v>
      </c>
      <c r="F191" s="514">
        <f>'BS Intergrated'!$K$57</f>
        <v>27.853000000000002</v>
      </c>
      <c r="G191" s="514">
        <f>'BS Intergrated'!$K$57</f>
        <v>27.853000000000002</v>
      </c>
      <c r="H191" s="514">
        <f>'BS Intergrated'!$K$57</f>
        <v>27.853000000000002</v>
      </c>
      <c r="I191" s="514">
        <f>'BS Intergrated'!$K$57</f>
        <v>27.853000000000002</v>
      </c>
      <c r="J191" s="514">
        <f>'BS Intergrated'!$K$57</f>
        <v>27.853000000000002</v>
      </c>
      <c r="K191" s="514">
        <f>'BS Intergrated'!$K$57</f>
        <v>27.853000000000002</v>
      </c>
    </row>
    <row r="192" spans="3:11">
      <c r="C192" s="527" t="s">
        <v>666</v>
      </c>
      <c r="E192" s="514">
        <f>'BS Intergrated'!$K$57</f>
        <v>27.853000000000002</v>
      </c>
      <c r="F192" s="514">
        <f>'BS Intergrated'!$K$57</f>
        <v>27.853000000000002</v>
      </c>
      <c r="G192" s="514">
        <f>'BS Intergrated'!$K$57</f>
        <v>27.853000000000002</v>
      </c>
      <c r="H192" s="514">
        <f>'BS Intergrated'!$K$57</f>
        <v>27.853000000000002</v>
      </c>
      <c r="I192" s="514">
        <f>'BS Intergrated'!$K$57</f>
        <v>27.853000000000002</v>
      </c>
      <c r="J192" s="514">
        <f>'BS Intergrated'!$K$57</f>
        <v>27.853000000000002</v>
      </c>
      <c r="K192" s="514">
        <f>'BS Intergrated'!$K$57</f>
        <v>27.853000000000002</v>
      </c>
    </row>
    <row r="193" spans="3:13">
      <c r="C193" s="527" t="s">
        <v>5</v>
      </c>
      <c r="E193" s="514">
        <f>'BS Intergrated'!$K$57</f>
        <v>27.853000000000002</v>
      </c>
      <c r="F193" s="514">
        <f>'BS Intergrated'!$K$57</f>
        <v>27.853000000000002</v>
      </c>
      <c r="G193" s="514">
        <f>'BS Intergrated'!$K$57</f>
        <v>27.853000000000002</v>
      </c>
      <c r="H193" s="514">
        <f>'BS Intergrated'!$K$57</f>
        <v>27.853000000000002</v>
      </c>
      <c r="I193" s="514">
        <f>'BS Intergrated'!$K$57</f>
        <v>27.853000000000002</v>
      </c>
      <c r="J193" s="514">
        <f>'BS Intergrated'!$K$57</f>
        <v>27.853000000000002</v>
      </c>
      <c r="K193" s="514">
        <f>'BS Intergrated'!$K$57</f>
        <v>27.853000000000002</v>
      </c>
    </row>
    <row r="194" spans="3:13">
      <c r="C194" s="527" t="s">
        <v>667</v>
      </c>
      <c r="E194" s="514">
        <f>'BS Intergrated'!$K$57</f>
        <v>27.853000000000002</v>
      </c>
      <c r="F194" s="514">
        <f>'BS Intergrated'!$K$57</f>
        <v>27.853000000000002</v>
      </c>
      <c r="G194" s="514">
        <f>'BS Intergrated'!$K$57</f>
        <v>27.853000000000002</v>
      </c>
      <c r="H194" s="514">
        <f>'BS Intergrated'!$K$57</f>
        <v>27.853000000000002</v>
      </c>
      <c r="I194" s="514">
        <f>'BS Intergrated'!$K$57</f>
        <v>27.853000000000002</v>
      </c>
      <c r="J194" s="514">
        <f>'BS Intergrated'!$K$57</f>
        <v>27.853000000000002</v>
      </c>
      <c r="K194" s="514">
        <f>'BS Intergrated'!$K$57</f>
        <v>27.853000000000002</v>
      </c>
    </row>
    <row r="195" spans="3:13">
      <c r="C195" s="527" t="s">
        <v>668</v>
      </c>
      <c r="E195" s="514">
        <f>'BS Intergrated'!$K$57</f>
        <v>27.853000000000002</v>
      </c>
      <c r="F195" s="514">
        <f>'BS Intergrated'!$K$57</f>
        <v>27.853000000000002</v>
      </c>
      <c r="G195" s="514">
        <f>'BS Intergrated'!$K$57</f>
        <v>27.853000000000002</v>
      </c>
      <c r="H195" s="514">
        <f>'BS Intergrated'!$K$57</f>
        <v>27.853000000000002</v>
      </c>
      <c r="I195" s="514">
        <f>'BS Intergrated'!$K$57</f>
        <v>27.853000000000002</v>
      </c>
      <c r="J195" s="514">
        <f>'BS Intergrated'!$K$57</f>
        <v>27.853000000000002</v>
      </c>
      <c r="K195" s="514">
        <f>'BS Intergrated'!$K$57</f>
        <v>27.853000000000002</v>
      </c>
    </row>
    <row r="196" spans="3:13">
      <c r="E196" s="511"/>
      <c r="F196" s="511"/>
      <c r="G196" s="511"/>
      <c r="H196" s="511"/>
      <c r="I196" s="511"/>
      <c r="J196" s="511"/>
      <c r="K196" s="511"/>
    </row>
    <row r="197" spans="3:13">
      <c r="E197" s="511"/>
      <c r="F197" s="511"/>
      <c r="G197" s="511"/>
      <c r="H197" s="511"/>
      <c r="I197" s="511"/>
      <c r="J197" s="511"/>
      <c r="K197" s="511"/>
    </row>
    <row r="198" spans="3:13">
      <c r="E198" s="1120" t="s">
        <v>682</v>
      </c>
      <c r="F198" s="1120"/>
      <c r="G198" s="1120"/>
      <c r="H198" s="1120"/>
      <c r="I198" s="1120"/>
      <c r="J198" s="1120"/>
      <c r="K198" s="1120"/>
      <c r="M198" s="509">
        <f>610/22.6</f>
        <v>26.991150442477874</v>
      </c>
    </row>
    <row r="199" spans="3:13">
      <c r="C199" s="644" t="s">
        <v>664</v>
      </c>
      <c r="E199" s="510" cm="1">
        <f t="array" ref="E199:K199">_xlfn.XLOOKUP($B$3,$C$11:$C$15,E201:K205)</f>
        <v>6.4957957665223193E-2</v>
      </c>
      <c r="F199" s="510">
        <v>7.4957957665223188E-2</v>
      </c>
      <c r="G199" s="510">
        <v>8.4957957665223183E-2</v>
      </c>
      <c r="H199" s="510">
        <v>9.4957957665223178E-2</v>
      </c>
      <c r="I199" s="510">
        <v>0.10495795766522317</v>
      </c>
      <c r="J199" s="510">
        <v>0.11495795766522317</v>
      </c>
      <c r="K199" s="510">
        <v>0.12495795766522316</v>
      </c>
      <c r="M199" s="509">
        <f>975/55</f>
        <v>17.727272727272727</v>
      </c>
    </row>
    <row r="200" spans="3:13">
      <c r="E200" s="511"/>
      <c r="F200" s="511"/>
      <c r="G200" s="511"/>
      <c r="H200" s="511"/>
      <c r="I200" s="511"/>
      <c r="J200" s="511"/>
      <c r="K200" s="511"/>
    </row>
    <row r="201" spans="3:13">
      <c r="C201" s="527" t="s">
        <v>665</v>
      </c>
      <c r="E201" s="512" cm="1">
        <f t="array" ref="E201">AVERAGE(SMALL('BS Ratios'!$F$22:$K$22,_xlfn.SEQUENCE(5)))</f>
        <v>3.4271069270454591E-2</v>
      </c>
      <c r="F201" s="512">
        <f>E201+0.01</f>
        <v>4.4271069270454592E-2</v>
      </c>
      <c r="G201" s="512">
        <f t="shared" ref="G201:K201" si="6">F201+0.01</f>
        <v>5.4271069270454594E-2</v>
      </c>
      <c r="H201" s="512">
        <f t="shared" si="6"/>
        <v>6.4271069270454589E-2</v>
      </c>
      <c r="I201" s="512">
        <f t="shared" si="6"/>
        <v>7.4271069270454584E-2</v>
      </c>
      <c r="J201" s="512">
        <f t="shared" si="6"/>
        <v>8.4271069270454579E-2</v>
      </c>
      <c r="K201" s="512">
        <f t="shared" si="6"/>
        <v>9.4271069270454574E-2</v>
      </c>
    </row>
    <row r="202" spans="3:13">
      <c r="C202" s="527" t="s">
        <v>666</v>
      </c>
      <c r="E202" s="512">
        <f>'BS Ratios'!$C$22</f>
        <v>5.387488722058812E-2</v>
      </c>
      <c r="F202" s="512">
        <f t="shared" ref="F202:K205" si="7">E202+0.01</f>
        <v>6.3874887220588122E-2</v>
      </c>
      <c r="G202" s="512">
        <f t="shared" si="7"/>
        <v>7.3874887220588117E-2</v>
      </c>
      <c r="H202" s="512">
        <f t="shared" si="7"/>
        <v>8.3874887220588112E-2</v>
      </c>
      <c r="I202" s="512">
        <f t="shared" si="7"/>
        <v>9.3874887220588107E-2</v>
      </c>
      <c r="J202" s="512">
        <f t="shared" si="7"/>
        <v>0.1038748872205881</v>
      </c>
      <c r="K202" s="512">
        <f t="shared" si="7"/>
        <v>0.1138748872205881</v>
      </c>
    </row>
    <row r="203" spans="3:13">
      <c r="C203" s="527" t="s">
        <v>5</v>
      </c>
      <c r="E203" s="512" cm="1">
        <f t="array" ref="E203">AVERAGE(LARGE('BS Ratios'!$F$22:$K$22,_xlfn.SEQUENCE(5)))</f>
        <v>6.4957957665223193E-2</v>
      </c>
      <c r="F203" s="512">
        <f t="shared" si="7"/>
        <v>7.4957957665223188E-2</v>
      </c>
      <c r="G203" s="512">
        <f t="shared" si="7"/>
        <v>8.4957957665223183E-2</v>
      </c>
      <c r="H203" s="512">
        <f t="shared" si="7"/>
        <v>9.4957957665223178E-2</v>
      </c>
      <c r="I203" s="512">
        <f t="shared" si="7"/>
        <v>0.10495795766522317</v>
      </c>
      <c r="J203" s="512">
        <f t="shared" si="7"/>
        <v>0.11495795766522317</v>
      </c>
      <c r="K203" s="512">
        <f t="shared" si="7"/>
        <v>0.12495795766522316</v>
      </c>
    </row>
    <row r="204" spans="3:13">
      <c r="C204" s="527" t="s">
        <v>667</v>
      </c>
      <c r="E204" s="512" cm="1">
        <f t="array" ref="E204">AVERAGE(LARGE('BS Ratios'!$F$22:$K$22,_xlfn.SEQUENCE(3)))</f>
        <v>0.10643897347139207</v>
      </c>
      <c r="F204" s="512">
        <f t="shared" si="7"/>
        <v>0.11643897347139207</v>
      </c>
      <c r="G204" s="512">
        <f t="shared" si="7"/>
        <v>0.12643897347139207</v>
      </c>
      <c r="H204" s="512">
        <f t="shared" si="7"/>
        <v>0.13643897347139208</v>
      </c>
      <c r="I204" s="512">
        <f t="shared" si="7"/>
        <v>0.14643897347139209</v>
      </c>
      <c r="J204" s="512">
        <f t="shared" si="7"/>
        <v>0.1564389734713921</v>
      </c>
      <c r="K204" s="512">
        <f t="shared" si="7"/>
        <v>0.16643897347139211</v>
      </c>
    </row>
    <row r="205" spans="3:13">
      <c r="C205" s="527" t="s">
        <v>668</v>
      </c>
      <c r="E205" s="512" cm="1">
        <f t="array" ref="E205">AVERAGE(LARGE('BS Ratios'!$F$22:$K$22,_xlfn.SEQUENCE(2)))</f>
        <v>0.1403638440698598</v>
      </c>
      <c r="F205" s="512">
        <f t="shared" si="7"/>
        <v>0.15036384406985981</v>
      </c>
      <c r="G205" s="512">
        <f t="shared" si="7"/>
        <v>0.16036384406985982</v>
      </c>
      <c r="H205" s="512">
        <f t="shared" si="7"/>
        <v>0.17036384406985983</v>
      </c>
      <c r="I205" s="512">
        <f t="shared" si="7"/>
        <v>0.18036384406985984</v>
      </c>
      <c r="J205" s="512">
        <f t="shared" si="7"/>
        <v>0.19036384406985984</v>
      </c>
      <c r="K205" s="512">
        <f t="shared" si="7"/>
        <v>0.20036384406985985</v>
      </c>
    </row>
    <row r="206" spans="3:13">
      <c r="E206" s="511"/>
      <c r="F206" s="511"/>
      <c r="G206" s="511"/>
      <c r="H206" s="511"/>
      <c r="I206" s="511"/>
      <c r="J206" s="511"/>
      <c r="K206" s="511"/>
    </row>
    <row r="207" spans="3:13">
      <c r="E207" s="511"/>
      <c r="F207" s="511"/>
      <c r="G207" s="511"/>
      <c r="H207" s="511"/>
      <c r="I207" s="511"/>
      <c r="J207" s="511"/>
      <c r="K207" s="511"/>
    </row>
    <row r="208" spans="3:13">
      <c r="E208" s="1120"/>
      <c r="F208" s="1120"/>
      <c r="G208" s="1120"/>
      <c r="H208" s="1120"/>
      <c r="I208" s="1120"/>
      <c r="J208" s="1120"/>
      <c r="K208" s="1120"/>
    </row>
    <row r="209" spans="3:11">
      <c r="C209" s="644" t="s">
        <v>664</v>
      </c>
      <c r="E209" s="514" cm="1">
        <f t="array" ref="E209:K209">_xlfn.XLOOKUP("Optimistic Case 1",C211:C215,E211:K215)</f>
        <v>0</v>
      </c>
      <c r="F209" s="514">
        <v>0</v>
      </c>
      <c r="G209" s="514">
        <v>0</v>
      </c>
      <c r="H209" s="514">
        <v>0</v>
      </c>
      <c r="I209" s="514">
        <v>0</v>
      </c>
      <c r="J209" s="514">
        <v>0</v>
      </c>
      <c r="K209" s="514">
        <v>0</v>
      </c>
    </row>
    <row r="210" spans="3:11">
      <c r="E210" s="515"/>
      <c r="F210" s="515"/>
      <c r="G210" s="515"/>
      <c r="H210" s="515"/>
      <c r="I210" s="515"/>
      <c r="J210" s="515"/>
      <c r="K210" s="515"/>
    </row>
    <row r="211" spans="3:11">
      <c r="C211" s="527" t="s">
        <v>665</v>
      </c>
      <c r="E211" s="514"/>
      <c r="F211" s="514"/>
      <c r="G211" s="514"/>
      <c r="H211" s="514"/>
      <c r="I211" s="514"/>
      <c r="J211" s="514"/>
      <c r="K211" s="514"/>
    </row>
    <row r="212" spans="3:11">
      <c r="C212" s="527" t="s">
        <v>666</v>
      </c>
      <c r="E212" s="514"/>
      <c r="F212" s="514"/>
      <c r="G212" s="514"/>
      <c r="H212" s="514"/>
      <c r="I212" s="514"/>
      <c r="J212" s="514"/>
      <c r="K212" s="514"/>
    </row>
    <row r="213" spans="3:11">
      <c r="C213" s="527" t="s">
        <v>5</v>
      </c>
      <c r="E213" s="514"/>
      <c r="F213" s="514"/>
      <c r="G213" s="514"/>
      <c r="H213" s="514"/>
      <c r="I213" s="514"/>
      <c r="J213" s="514"/>
      <c r="K213" s="514"/>
    </row>
    <row r="214" spans="3:11">
      <c r="C214" s="527" t="s">
        <v>667</v>
      </c>
      <c r="E214" s="514"/>
      <c r="F214" s="514"/>
      <c r="G214" s="514"/>
      <c r="H214" s="514"/>
      <c r="I214" s="514"/>
      <c r="J214" s="514"/>
      <c r="K214" s="514"/>
    </row>
    <row r="215" spans="3:11">
      <c r="C215" s="527" t="s">
        <v>668</v>
      </c>
      <c r="E215" s="514"/>
      <c r="F215" s="514"/>
      <c r="G215" s="514"/>
      <c r="H215" s="514"/>
      <c r="I215" s="514"/>
      <c r="J215" s="514"/>
      <c r="K215" s="514"/>
    </row>
    <row r="216" spans="3:11">
      <c r="E216" s="511"/>
      <c r="F216" s="511"/>
      <c r="G216" s="511"/>
      <c r="H216" s="511"/>
      <c r="I216" s="511"/>
      <c r="J216" s="511"/>
      <c r="K216" s="511"/>
    </row>
    <row r="217" spans="3:11">
      <c r="E217" s="511"/>
      <c r="F217" s="511"/>
      <c r="G217" s="511"/>
      <c r="H217" s="511"/>
      <c r="I217" s="511"/>
      <c r="J217" s="511"/>
      <c r="K217" s="511"/>
    </row>
    <row r="218" spans="3:11">
      <c r="E218" s="1120"/>
      <c r="F218" s="1120"/>
      <c r="G218" s="1120"/>
      <c r="H218" s="1120"/>
      <c r="I218" s="1120"/>
      <c r="J218" s="1120"/>
      <c r="K218" s="1120"/>
    </row>
    <row r="219" spans="3:11">
      <c r="C219" s="644" t="s">
        <v>664</v>
      </c>
      <c r="E219" s="514" cm="1">
        <f t="array" ref="E219:K219">_xlfn.XLOOKUP("Base Case",C221:C225,E221:K225)</f>
        <v>0</v>
      </c>
      <c r="F219" s="514">
        <v>0</v>
      </c>
      <c r="G219" s="514">
        <v>0</v>
      </c>
      <c r="H219" s="514">
        <v>0</v>
      </c>
      <c r="I219" s="514">
        <v>0</v>
      </c>
      <c r="J219" s="514">
        <v>0</v>
      </c>
      <c r="K219" s="514">
        <v>0</v>
      </c>
    </row>
    <row r="220" spans="3:11">
      <c r="E220" s="511"/>
      <c r="F220" s="511"/>
      <c r="G220" s="511"/>
      <c r="H220" s="511"/>
      <c r="I220" s="511"/>
      <c r="J220" s="511"/>
      <c r="K220" s="511"/>
    </row>
    <row r="221" spans="3:11">
      <c r="C221" s="527" t="s">
        <v>665</v>
      </c>
      <c r="E221" s="514"/>
      <c r="F221" s="514"/>
      <c r="G221" s="514"/>
      <c r="H221" s="514"/>
      <c r="I221" s="514"/>
      <c r="J221" s="514"/>
      <c r="K221" s="514"/>
    </row>
    <row r="222" spans="3:11">
      <c r="C222" s="527" t="s">
        <v>666</v>
      </c>
      <c r="E222" s="514"/>
      <c r="F222" s="514"/>
      <c r="G222" s="514"/>
      <c r="H222" s="514"/>
      <c r="I222" s="514"/>
      <c r="J222" s="514"/>
      <c r="K222" s="514"/>
    </row>
    <row r="223" spans="3:11">
      <c r="C223" s="527" t="s">
        <v>5</v>
      </c>
      <c r="E223" s="514"/>
      <c r="F223" s="514"/>
      <c r="G223" s="514"/>
      <c r="H223" s="514"/>
      <c r="I223" s="514"/>
      <c r="J223" s="514"/>
      <c r="K223" s="514"/>
    </row>
    <row r="224" spans="3:11">
      <c r="C224" s="527" t="s">
        <v>667</v>
      </c>
      <c r="E224" s="514"/>
      <c r="F224" s="514"/>
      <c r="G224" s="514"/>
      <c r="H224" s="514"/>
      <c r="I224" s="514"/>
      <c r="J224" s="514"/>
      <c r="K224" s="514"/>
    </row>
    <row r="225" spans="3:11">
      <c r="C225" s="527" t="s">
        <v>668</v>
      </c>
      <c r="E225" s="514"/>
      <c r="F225" s="514"/>
      <c r="G225" s="514"/>
      <c r="H225" s="514"/>
      <c r="I225" s="514"/>
      <c r="J225" s="514"/>
      <c r="K225" s="514"/>
    </row>
    <row r="226" spans="3:11">
      <c r="E226" s="511"/>
      <c r="F226" s="511"/>
      <c r="G226" s="511"/>
      <c r="H226" s="511"/>
      <c r="I226" s="511"/>
      <c r="J226" s="511"/>
      <c r="K226" s="511"/>
    </row>
    <row r="227" spans="3:11">
      <c r="E227" s="511"/>
      <c r="F227" s="511"/>
      <c r="G227" s="511"/>
      <c r="H227" s="511"/>
      <c r="I227" s="511"/>
      <c r="J227" s="511"/>
      <c r="K227" s="511"/>
    </row>
    <row r="228" spans="3:11">
      <c r="E228" s="1120"/>
      <c r="F228" s="1120"/>
      <c r="G228" s="1120"/>
      <c r="H228" s="1120"/>
      <c r="I228" s="1120"/>
      <c r="J228" s="1120"/>
      <c r="K228" s="1120"/>
    </row>
    <row r="229" spans="3:11">
      <c r="C229" s="644" t="s">
        <v>664</v>
      </c>
      <c r="E229" s="510" cm="1">
        <f t="array" ref="E229:K229">_xlfn.XLOOKUP("Optimistic Case 1",C231:C235,E231:K235)</f>
        <v>0</v>
      </c>
      <c r="F229" s="510">
        <v>0</v>
      </c>
      <c r="G229" s="510">
        <v>0</v>
      </c>
      <c r="H229" s="510">
        <v>0</v>
      </c>
      <c r="I229" s="510">
        <v>0</v>
      </c>
      <c r="J229" s="510">
        <v>0</v>
      </c>
      <c r="K229" s="510">
        <v>0</v>
      </c>
    </row>
    <row r="230" spans="3:11">
      <c r="E230" s="511"/>
      <c r="F230" s="511"/>
      <c r="G230" s="511"/>
      <c r="H230" s="511"/>
      <c r="I230" s="511"/>
      <c r="J230" s="511"/>
      <c r="K230" s="511"/>
    </row>
    <row r="231" spans="3:11">
      <c r="C231" s="527" t="s">
        <v>665</v>
      </c>
      <c r="E231" s="512"/>
      <c r="F231" s="512"/>
      <c r="G231" s="512"/>
      <c r="H231" s="512"/>
      <c r="I231" s="512"/>
      <c r="J231" s="512"/>
      <c r="K231" s="512"/>
    </row>
    <row r="232" spans="3:11">
      <c r="C232" s="527" t="s">
        <v>666</v>
      </c>
      <c r="E232" s="512"/>
      <c r="F232" s="512"/>
      <c r="G232" s="512"/>
      <c r="H232" s="512"/>
      <c r="I232" s="512"/>
      <c r="J232" s="512"/>
      <c r="K232" s="512"/>
    </row>
    <row r="233" spans="3:11">
      <c r="C233" s="527" t="s">
        <v>5</v>
      </c>
      <c r="E233" s="512"/>
      <c r="F233" s="512"/>
      <c r="G233" s="512"/>
      <c r="H233" s="512"/>
      <c r="I233" s="512"/>
      <c r="J233" s="512"/>
      <c r="K233" s="512"/>
    </row>
    <row r="234" spans="3:11">
      <c r="C234" s="527" t="s">
        <v>667</v>
      </c>
      <c r="E234" s="512"/>
      <c r="F234" s="512"/>
      <c r="G234" s="512"/>
      <c r="H234" s="512"/>
      <c r="I234" s="512"/>
      <c r="J234" s="512"/>
      <c r="K234" s="512"/>
    </row>
    <row r="235" spans="3:11">
      <c r="C235" s="527" t="s">
        <v>668</v>
      </c>
      <c r="E235" s="512"/>
      <c r="F235" s="512"/>
      <c r="G235" s="512"/>
      <c r="H235" s="512"/>
      <c r="I235" s="512"/>
      <c r="J235" s="512"/>
      <c r="K235" s="512"/>
    </row>
    <row r="236" spans="3:11">
      <c r="E236" s="511"/>
      <c r="F236" s="511"/>
      <c r="G236" s="511"/>
      <c r="H236" s="511"/>
      <c r="I236" s="511"/>
      <c r="J236" s="511"/>
      <c r="K236" s="511"/>
    </row>
    <row r="237" spans="3:11">
      <c r="E237" s="511"/>
      <c r="F237" s="511"/>
      <c r="G237" s="511"/>
      <c r="H237" s="511"/>
      <c r="I237" s="511"/>
      <c r="J237" s="511"/>
      <c r="K237" s="511"/>
    </row>
    <row r="238" spans="3:11">
      <c r="E238" s="1120"/>
      <c r="F238" s="1120"/>
      <c r="G238" s="1120"/>
      <c r="H238" s="1120"/>
      <c r="I238" s="1120"/>
      <c r="J238" s="1120"/>
      <c r="K238" s="1120"/>
    </row>
    <row r="239" spans="3:11">
      <c r="C239" s="644" t="s">
        <v>664</v>
      </c>
      <c r="E239" s="510" cm="1">
        <f t="array" ref="E239:K239">_xlfn.XLOOKUP("Base Case",C241:C245,E241:K245)</f>
        <v>0</v>
      </c>
      <c r="F239" s="510">
        <v>0</v>
      </c>
      <c r="G239" s="510">
        <v>0</v>
      </c>
      <c r="H239" s="510">
        <v>0</v>
      </c>
      <c r="I239" s="510">
        <v>0</v>
      </c>
      <c r="J239" s="510">
        <v>0</v>
      </c>
      <c r="K239" s="510">
        <v>0</v>
      </c>
    </row>
    <row r="240" spans="3:11">
      <c r="E240" s="511"/>
      <c r="F240" s="511"/>
      <c r="G240" s="511"/>
      <c r="H240" s="511"/>
      <c r="I240" s="511"/>
      <c r="J240" s="511"/>
      <c r="K240" s="511"/>
    </row>
    <row r="241" spans="3:11">
      <c r="C241" s="527" t="s">
        <v>665</v>
      </c>
      <c r="E241" s="512"/>
      <c r="F241" s="512"/>
      <c r="G241" s="512"/>
      <c r="H241" s="512"/>
      <c r="I241" s="512"/>
      <c r="J241" s="512"/>
      <c r="K241" s="512"/>
    </row>
    <row r="242" spans="3:11">
      <c r="C242" s="527" t="s">
        <v>666</v>
      </c>
      <c r="E242" s="512"/>
      <c r="F242" s="512"/>
      <c r="G242" s="512"/>
      <c r="H242" s="512"/>
      <c r="I242" s="512"/>
      <c r="J242" s="512"/>
      <c r="K242" s="512"/>
    </row>
    <row r="243" spans="3:11">
      <c r="C243" s="527" t="s">
        <v>5</v>
      </c>
      <c r="E243" s="512"/>
      <c r="F243" s="512"/>
      <c r="G243" s="512"/>
      <c r="H243" s="512"/>
      <c r="I243" s="512"/>
      <c r="J243" s="512"/>
      <c r="K243" s="512"/>
    </row>
    <row r="244" spans="3:11">
      <c r="C244" s="527" t="s">
        <v>667</v>
      </c>
      <c r="E244" s="512"/>
      <c r="F244" s="512"/>
      <c r="G244" s="512"/>
      <c r="H244" s="512"/>
      <c r="I244" s="512"/>
      <c r="J244" s="512"/>
      <c r="K244" s="512"/>
    </row>
    <row r="245" spans="3:11">
      <c r="C245" s="527" t="s">
        <v>668</v>
      </c>
      <c r="E245" s="512"/>
      <c r="F245" s="512"/>
      <c r="G245" s="512"/>
      <c r="H245" s="512"/>
      <c r="I245" s="512"/>
      <c r="J245" s="512"/>
      <c r="K245" s="512"/>
    </row>
    <row r="246" spans="3:11">
      <c r="E246" s="511"/>
      <c r="F246" s="511"/>
      <c r="G246" s="511"/>
      <c r="H246" s="511"/>
      <c r="I246" s="511"/>
      <c r="J246" s="511"/>
      <c r="K246" s="511"/>
    </row>
    <row r="247" spans="3:11">
      <c r="E247" s="511"/>
      <c r="F247" s="511"/>
      <c r="G247" s="511"/>
      <c r="H247" s="511"/>
      <c r="I247" s="511"/>
      <c r="J247" s="511"/>
      <c r="K247" s="511"/>
    </row>
    <row r="248" spans="3:11">
      <c r="E248" s="1120"/>
      <c r="F248" s="1120"/>
      <c r="G248" s="1120"/>
      <c r="H248" s="1120"/>
      <c r="I248" s="1120"/>
      <c r="J248" s="1120"/>
      <c r="K248" s="1120"/>
    </row>
    <row r="249" spans="3:11">
      <c r="C249" s="644" t="s">
        <v>664</v>
      </c>
      <c r="E249" s="510" cm="1">
        <f t="array" ref="E249:K249">_xlfn.XLOOKUP("Pessimistic Case 1",C251:C255,E251:K255)</f>
        <v>0</v>
      </c>
      <c r="F249" s="510">
        <v>0</v>
      </c>
      <c r="G249" s="510">
        <v>0</v>
      </c>
      <c r="H249" s="510">
        <v>0</v>
      </c>
      <c r="I249" s="510">
        <v>0</v>
      </c>
      <c r="J249" s="510">
        <v>0</v>
      </c>
      <c r="K249" s="510">
        <v>0</v>
      </c>
    </row>
    <row r="250" spans="3:11">
      <c r="E250" s="511"/>
      <c r="F250" s="511"/>
      <c r="G250" s="511"/>
      <c r="H250" s="511"/>
      <c r="I250" s="511"/>
      <c r="J250" s="511"/>
      <c r="K250" s="511"/>
    </row>
    <row r="251" spans="3:11">
      <c r="C251" s="527" t="s">
        <v>665</v>
      </c>
      <c r="E251" s="512"/>
      <c r="F251" s="512"/>
      <c r="G251" s="512"/>
      <c r="H251" s="512"/>
      <c r="I251" s="512"/>
      <c r="J251" s="512"/>
      <c r="K251" s="512"/>
    </row>
    <row r="252" spans="3:11">
      <c r="C252" s="527" t="s">
        <v>666</v>
      </c>
      <c r="E252" s="512"/>
      <c r="F252" s="512"/>
      <c r="G252" s="512"/>
      <c r="H252" s="512"/>
      <c r="I252" s="512"/>
      <c r="J252" s="512"/>
      <c r="K252" s="512"/>
    </row>
    <row r="253" spans="3:11">
      <c r="C253" s="527" t="s">
        <v>5</v>
      </c>
      <c r="E253" s="512"/>
      <c r="F253" s="512"/>
      <c r="G253" s="512"/>
      <c r="H253" s="512"/>
      <c r="I253" s="512"/>
      <c r="J253" s="512"/>
      <c r="K253" s="512"/>
    </row>
    <row r="254" spans="3:11">
      <c r="C254" s="527" t="s">
        <v>667</v>
      </c>
      <c r="E254" s="512"/>
      <c r="F254" s="512"/>
      <c r="G254" s="512"/>
      <c r="H254" s="512"/>
      <c r="I254" s="512"/>
      <c r="J254" s="512"/>
      <c r="K254" s="512"/>
    </row>
    <row r="255" spans="3:11">
      <c r="C255" s="527" t="s">
        <v>668</v>
      </c>
      <c r="E255" s="512"/>
      <c r="F255" s="512"/>
      <c r="G255" s="512"/>
      <c r="H255" s="512"/>
      <c r="I255" s="512"/>
      <c r="J255" s="512"/>
      <c r="K255" s="512"/>
    </row>
    <row r="256" spans="3:11">
      <c r="E256" s="511"/>
      <c r="F256" s="511"/>
      <c r="G256" s="511"/>
      <c r="H256" s="511"/>
      <c r="I256" s="511"/>
      <c r="J256" s="511"/>
      <c r="K256" s="511"/>
    </row>
    <row r="257" spans="3:11">
      <c r="E257" s="511"/>
      <c r="F257" s="511"/>
      <c r="G257" s="511"/>
      <c r="H257" s="511"/>
      <c r="I257" s="511"/>
      <c r="J257" s="511"/>
      <c r="K257" s="511"/>
    </row>
    <row r="258" spans="3:11">
      <c r="E258" s="265"/>
      <c r="F258" s="265"/>
      <c r="G258" s="265"/>
      <c r="H258" s="265"/>
      <c r="I258" s="265"/>
      <c r="J258" s="265"/>
      <c r="K258" s="265"/>
    </row>
    <row r="259" spans="3:11">
      <c r="C259" s="644"/>
      <c r="E259" s="265"/>
      <c r="F259" s="265"/>
      <c r="G259" s="265"/>
      <c r="H259" s="265"/>
      <c r="I259" s="265"/>
      <c r="J259" s="265"/>
      <c r="K259" s="265"/>
    </row>
    <row r="260" spans="3:11">
      <c r="E260" s="265"/>
      <c r="F260" s="265"/>
      <c r="G260" s="265"/>
      <c r="H260" s="265"/>
      <c r="I260" s="265"/>
      <c r="J260" s="265"/>
      <c r="K260" s="265"/>
    </row>
    <row r="261" spans="3:11">
      <c r="C261" s="527"/>
      <c r="E261" s="265"/>
      <c r="F261" s="265"/>
      <c r="G261" s="265"/>
      <c r="H261" s="265"/>
      <c r="I261" s="265"/>
      <c r="J261" s="265"/>
      <c r="K261" s="265"/>
    </row>
    <row r="262" spans="3:11">
      <c r="C262" s="527"/>
      <c r="E262" s="265"/>
      <c r="F262" s="265"/>
      <c r="G262" s="265"/>
      <c r="H262" s="265"/>
      <c r="I262" s="265"/>
      <c r="J262" s="265"/>
      <c r="K262" s="265"/>
    </row>
    <row r="263" spans="3:11">
      <c r="C263" s="527"/>
      <c r="E263" s="265"/>
      <c r="F263" s="265"/>
      <c r="G263" s="265"/>
      <c r="H263" s="265"/>
      <c r="I263" s="265"/>
      <c r="J263" s="265"/>
      <c r="K263" s="265"/>
    </row>
    <row r="264" spans="3:11">
      <c r="C264" s="527"/>
      <c r="E264" s="265"/>
      <c r="F264" s="265"/>
      <c r="G264" s="265"/>
      <c r="H264" s="265"/>
      <c r="I264" s="265"/>
      <c r="J264" s="265"/>
      <c r="K264" s="265"/>
    </row>
    <row r="265" spans="3:11">
      <c r="C265" s="527"/>
      <c r="E265" s="265"/>
      <c r="F265" s="265"/>
      <c r="G265" s="265"/>
      <c r="H265" s="265"/>
      <c r="I265" s="265"/>
      <c r="J265" s="265"/>
      <c r="K265" s="265"/>
    </row>
    <row r="266" spans="3:11">
      <c r="E266" s="511"/>
      <c r="F266" s="511"/>
      <c r="G266" s="511"/>
      <c r="H266" s="511"/>
      <c r="I266" s="511"/>
      <c r="J266" s="511"/>
      <c r="K266" s="511"/>
    </row>
    <row r="267" spans="3:11">
      <c r="E267" s="511"/>
      <c r="F267" s="511"/>
      <c r="G267" s="511"/>
      <c r="H267" s="511"/>
      <c r="I267" s="511"/>
      <c r="J267" s="511"/>
      <c r="K267" s="511"/>
    </row>
    <row r="268" spans="3:11">
      <c r="E268" s="1059"/>
      <c r="F268" s="1059"/>
      <c r="G268" s="1059"/>
      <c r="H268" s="1059"/>
      <c r="I268" s="1059"/>
      <c r="J268" s="1059"/>
      <c r="K268" s="1059"/>
    </row>
    <row r="269" spans="3:11">
      <c r="C269" s="644"/>
      <c r="E269" s="830"/>
      <c r="F269" s="830"/>
      <c r="G269" s="830"/>
      <c r="H269" s="830"/>
      <c r="I269" s="830"/>
      <c r="J269" s="830"/>
      <c r="K269" s="830"/>
    </row>
    <row r="270" spans="3:11">
      <c r="E270" s="511"/>
      <c r="F270" s="511"/>
      <c r="G270" s="511"/>
      <c r="H270" s="511"/>
      <c r="I270" s="511"/>
      <c r="J270" s="511"/>
      <c r="K270" s="511"/>
    </row>
    <row r="271" spans="3:11">
      <c r="C271" s="828"/>
      <c r="E271" s="831"/>
      <c r="F271" s="831"/>
      <c r="G271" s="831"/>
      <c r="H271" s="831"/>
      <c r="I271" s="831"/>
      <c r="J271" s="831"/>
      <c r="K271" s="831"/>
    </row>
    <row r="272" spans="3:11">
      <c r="C272" s="828"/>
      <c r="E272" s="831"/>
      <c r="F272" s="831"/>
      <c r="G272" s="831"/>
      <c r="H272" s="831"/>
      <c r="I272" s="831"/>
      <c r="J272" s="831"/>
      <c r="K272" s="831"/>
    </row>
    <row r="273" spans="3:11">
      <c r="C273" s="828"/>
      <c r="E273" s="831"/>
      <c r="F273" s="831"/>
      <c r="G273" s="831"/>
      <c r="H273" s="831"/>
      <c r="I273" s="831"/>
      <c r="J273" s="831"/>
      <c r="K273" s="831"/>
    </row>
    <row r="274" spans="3:11">
      <c r="C274" s="828"/>
      <c r="E274" s="831"/>
      <c r="F274" s="831"/>
      <c r="G274" s="831"/>
      <c r="H274" s="831"/>
      <c r="I274" s="831"/>
      <c r="J274" s="831"/>
      <c r="K274" s="831"/>
    </row>
    <row r="275" spans="3:11">
      <c r="C275" s="828"/>
      <c r="E275" s="831"/>
      <c r="F275" s="831"/>
      <c r="G275" s="831"/>
      <c r="H275" s="831"/>
      <c r="I275" s="831"/>
      <c r="J275" s="831"/>
      <c r="K275" s="831"/>
    </row>
    <row r="276" spans="3:11">
      <c r="E276" s="511"/>
      <c r="F276" s="511"/>
      <c r="G276" s="511"/>
      <c r="H276" s="511"/>
      <c r="I276" s="511"/>
      <c r="J276" s="511"/>
      <c r="K276" s="511"/>
    </row>
    <row r="277" spans="3:11">
      <c r="E277" s="511"/>
      <c r="F277" s="511"/>
      <c r="G277" s="511"/>
      <c r="H277" s="511"/>
      <c r="I277" s="511"/>
      <c r="J277" s="511"/>
      <c r="K277" s="511"/>
    </row>
    <row r="278" spans="3:11">
      <c r="E278" s="1120" t="s">
        <v>683</v>
      </c>
      <c r="F278" s="1120"/>
      <c r="G278" s="1120"/>
      <c r="H278" s="1120"/>
      <c r="I278" s="1120"/>
      <c r="J278" s="1120"/>
      <c r="K278" s="1120"/>
    </row>
    <row r="279" spans="3:11">
      <c r="C279" s="644" t="s">
        <v>664</v>
      </c>
      <c r="E279" s="514" cm="1">
        <f t="array" ref="E279:K279">_xlfn.XLOOKUP("Base Case",C281:C285,E281:K285)</f>
        <v>0</v>
      </c>
      <c r="F279" s="514">
        <v>0</v>
      </c>
      <c r="G279" s="514">
        <v>0</v>
      </c>
      <c r="H279" s="514">
        <v>0</v>
      </c>
      <c r="I279" s="514">
        <v>0</v>
      </c>
      <c r="J279" s="514">
        <v>0</v>
      </c>
      <c r="K279" s="514">
        <v>0</v>
      </c>
    </row>
    <row r="280" spans="3:11">
      <c r="E280" s="515"/>
      <c r="F280" s="515"/>
      <c r="G280" s="515"/>
      <c r="H280" s="515"/>
      <c r="I280" s="515"/>
      <c r="J280" s="515"/>
      <c r="K280" s="515"/>
    </row>
    <row r="281" spans="3:11">
      <c r="C281" s="527" t="s">
        <v>665</v>
      </c>
      <c r="E281" s="514">
        <f>'BS Intergrated'!$K$75-'BS Intergrated'!$J$75</f>
        <v>0</v>
      </c>
      <c r="F281" s="514">
        <f>'BS Intergrated'!$K$75-'BS Intergrated'!$J$75</f>
        <v>0</v>
      </c>
      <c r="G281" s="514">
        <f>'BS Intergrated'!$K$75-'BS Intergrated'!$J$75</f>
        <v>0</v>
      </c>
      <c r="H281" s="514">
        <f>'BS Intergrated'!$K$75-'BS Intergrated'!$J$75</f>
        <v>0</v>
      </c>
      <c r="I281" s="514">
        <f>'BS Intergrated'!$K$75-'BS Intergrated'!$J$75</f>
        <v>0</v>
      </c>
      <c r="J281" s="514">
        <f>'BS Intergrated'!$K$75-'BS Intergrated'!$J$75</f>
        <v>0</v>
      </c>
      <c r="K281" s="514">
        <f>'BS Intergrated'!$K$75-'BS Intergrated'!$J$75</f>
        <v>0</v>
      </c>
    </row>
    <row r="282" spans="3:11">
      <c r="C282" s="527" t="s">
        <v>666</v>
      </c>
      <c r="E282" s="514">
        <f>'BS Intergrated'!$K$75-'BS Intergrated'!$J$75</f>
        <v>0</v>
      </c>
      <c r="F282" s="514">
        <f>'BS Intergrated'!$K$75-'BS Intergrated'!$J$75</f>
        <v>0</v>
      </c>
      <c r="G282" s="514">
        <f>'BS Intergrated'!$K$75-'BS Intergrated'!$J$75</f>
        <v>0</v>
      </c>
      <c r="H282" s="514">
        <f>'BS Intergrated'!$K$75-'BS Intergrated'!$J$75</f>
        <v>0</v>
      </c>
      <c r="I282" s="514">
        <f>'BS Intergrated'!$K$75-'BS Intergrated'!$J$75</f>
        <v>0</v>
      </c>
      <c r="J282" s="514">
        <f>'BS Intergrated'!$K$75-'BS Intergrated'!$J$75</f>
        <v>0</v>
      </c>
      <c r="K282" s="514">
        <f>'BS Intergrated'!$K$75-'BS Intergrated'!$J$75</f>
        <v>0</v>
      </c>
    </row>
    <row r="283" spans="3:11">
      <c r="C283" s="527" t="s">
        <v>5</v>
      </c>
      <c r="E283" s="514">
        <f>'BS Intergrated'!$K$75-'BS Intergrated'!$J$75</f>
        <v>0</v>
      </c>
      <c r="F283" s="514">
        <f>'BS Intergrated'!$K$75-'BS Intergrated'!$J$75</f>
        <v>0</v>
      </c>
      <c r="G283" s="514">
        <f>'BS Intergrated'!$K$75-'BS Intergrated'!$J$75</f>
        <v>0</v>
      </c>
      <c r="H283" s="514">
        <f>'BS Intergrated'!$K$75-'BS Intergrated'!$J$75</f>
        <v>0</v>
      </c>
      <c r="I283" s="514">
        <f>'BS Intergrated'!$K$75-'BS Intergrated'!$J$75</f>
        <v>0</v>
      </c>
      <c r="J283" s="514">
        <f>'BS Intergrated'!$K$75-'BS Intergrated'!$J$75</f>
        <v>0</v>
      </c>
      <c r="K283" s="514">
        <f>'BS Intergrated'!$K$75-'BS Intergrated'!$J$75</f>
        <v>0</v>
      </c>
    </row>
    <row r="284" spans="3:11">
      <c r="C284" s="527" t="s">
        <v>667</v>
      </c>
      <c r="E284" s="514">
        <f>'BS Intergrated'!$K$75-'BS Intergrated'!$J$75</f>
        <v>0</v>
      </c>
      <c r="F284" s="514">
        <f>'BS Intergrated'!$K$75-'BS Intergrated'!$J$75</f>
        <v>0</v>
      </c>
      <c r="G284" s="514">
        <f>'BS Intergrated'!$K$75-'BS Intergrated'!$J$75</f>
        <v>0</v>
      </c>
      <c r="H284" s="514">
        <f>'BS Intergrated'!$K$75-'BS Intergrated'!$J$75</f>
        <v>0</v>
      </c>
      <c r="I284" s="514">
        <f>'BS Intergrated'!$K$75-'BS Intergrated'!$J$75</f>
        <v>0</v>
      </c>
      <c r="J284" s="514">
        <f>'BS Intergrated'!$K$75-'BS Intergrated'!$J$75</f>
        <v>0</v>
      </c>
      <c r="K284" s="514">
        <f>'BS Intergrated'!$K$75-'BS Intergrated'!$J$75</f>
        <v>0</v>
      </c>
    </row>
    <row r="285" spans="3:11">
      <c r="C285" s="527" t="s">
        <v>668</v>
      </c>
      <c r="E285" s="514">
        <f>'BS Intergrated'!$K$75-'BS Intergrated'!$J$75</f>
        <v>0</v>
      </c>
      <c r="F285" s="514">
        <f>'BS Intergrated'!$K$75-'BS Intergrated'!$J$75</f>
        <v>0</v>
      </c>
      <c r="G285" s="514">
        <f>'BS Intergrated'!$K$75-'BS Intergrated'!$J$75</f>
        <v>0</v>
      </c>
      <c r="H285" s="514">
        <f>'BS Intergrated'!$K$75-'BS Intergrated'!$J$75</f>
        <v>0</v>
      </c>
      <c r="I285" s="514">
        <f>'BS Intergrated'!$K$75-'BS Intergrated'!$J$75</f>
        <v>0</v>
      </c>
      <c r="J285" s="514">
        <f>'BS Intergrated'!$K$75-'BS Intergrated'!$J$75</f>
        <v>0</v>
      </c>
      <c r="K285" s="514">
        <f>'BS Intergrated'!$K$75-'BS Intergrated'!$J$75</f>
        <v>0</v>
      </c>
    </row>
    <row r="286" spans="3:11">
      <c r="E286" s="511"/>
      <c r="F286" s="511"/>
      <c r="G286" s="511"/>
      <c r="H286" s="511"/>
      <c r="I286" s="511"/>
      <c r="J286" s="511"/>
      <c r="K286" s="511"/>
    </row>
    <row r="287" spans="3:11">
      <c r="E287" s="511"/>
      <c r="F287" s="511"/>
      <c r="G287" s="511"/>
      <c r="H287" s="511"/>
      <c r="I287" s="511"/>
      <c r="J287" s="511"/>
      <c r="K287" s="511"/>
    </row>
    <row r="288" spans="3:11">
      <c r="E288" s="1059"/>
      <c r="F288" s="1059"/>
      <c r="G288" s="1059"/>
      <c r="H288" s="1059"/>
      <c r="I288" s="1059"/>
      <c r="J288" s="1059"/>
      <c r="K288" s="1059"/>
    </row>
    <row r="289" spans="3:11">
      <c r="C289" s="644"/>
      <c r="E289" s="829"/>
      <c r="F289" s="829"/>
      <c r="G289" s="829"/>
      <c r="H289" s="829"/>
      <c r="I289" s="829"/>
      <c r="J289" s="829"/>
      <c r="K289" s="829"/>
    </row>
    <row r="290" spans="3:11">
      <c r="E290" s="829"/>
      <c r="F290" s="829"/>
      <c r="G290" s="829"/>
      <c r="H290" s="829"/>
      <c r="I290" s="829"/>
      <c r="J290" s="829"/>
      <c r="K290" s="829"/>
    </row>
    <row r="291" spans="3:11">
      <c r="C291" s="828"/>
      <c r="E291" s="829"/>
      <c r="F291" s="829"/>
      <c r="G291" s="829"/>
      <c r="H291" s="829"/>
      <c r="I291" s="829"/>
      <c r="J291" s="829"/>
      <c r="K291" s="829"/>
    </row>
    <row r="292" spans="3:11">
      <c r="C292" s="828"/>
      <c r="E292" s="829"/>
      <c r="F292" s="829"/>
      <c r="G292" s="829"/>
      <c r="H292" s="829"/>
      <c r="I292" s="829"/>
      <c r="J292" s="829"/>
      <c r="K292" s="829"/>
    </row>
    <row r="293" spans="3:11">
      <c r="C293" s="828"/>
      <c r="E293" s="829"/>
      <c r="F293" s="829"/>
      <c r="G293" s="829"/>
      <c r="H293" s="829"/>
      <c r="I293" s="829"/>
      <c r="J293" s="829"/>
      <c r="K293" s="829"/>
    </row>
    <row r="294" spans="3:11">
      <c r="C294" s="828"/>
      <c r="E294" s="829"/>
      <c r="F294" s="829"/>
      <c r="G294" s="829"/>
      <c r="H294" s="829"/>
      <c r="I294" s="829"/>
      <c r="J294" s="829"/>
      <c r="K294" s="829"/>
    </row>
    <row r="295" spans="3:11">
      <c r="C295" s="828"/>
      <c r="E295" s="829"/>
      <c r="F295" s="829"/>
      <c r="G295" s="829"/>
      <c r="H295" s="829"/>
      <c r="I295" s="829"/>
      <c r="J295" s="829"/>
      <c r="K295" s="829"/>
    </row>
  </sheetData>
  <mergeCells count="28">
    <mergeCell ref="E278:K278"/>
    <mergeCell ref="E288:K288"/>
    <mergeCell ref="E268:K268"/>
    <mergeCell ref="E28:K28"/>
    <mergeCell ref="E108:K108"/>
    <mergeCell ref="E98:K98"/>
    <mergeCell ref="E128:K128"/>
    <mergeCell ref="E208:K208"/>
    <mergeCell ref="E218:K218"/>
    <mergeCell ref="E228:K228"/>
    <mergeCell ref="E238:K238"/>
    <mergeCell ref="E248:K248"/>
    <mergeCell ref="E148:K148"/>
    <mergeCell ref="E158:K158"/>
    <mergeCell ref="E168:K168"/>
    <mergeCell ref="E198:K198"/>
    <mergeCell ref="E178:K178"/>
    <mergeCell ref="E188:K188"/>
    <mergeCell ref="E138:K138"/>
    <mergeCell ref="E78:K78"/>
    <mergeCell ref="E8:K8"/>
    <mergeCell ref="E18:K18"/>
    <mergeCell ref="E38:K38"/>
    <mergeCell ref="E48:K48"/>
    <mergeCell ref="E58:K58"/>
    <mergeCell ref="E68:K68"/>
    <mergeCell ref="E88:K88"/>
    <mergeCell ref="E118:K118"/>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1A19B-E2C4-41CC-8A19-BC19C3794A10}">
  <sheetPr codeName="Sheet19">
    <tabColor rgb="FF7030A0"/>
  </sheetPr>
  <dimension ref="A1:M68"/>
  <sheetViews>
    <sheetView showGridLines="0" topLeftCell="A39" zoomScale="119" zoomScaleNormal="119" workbookViewId="0">
      <selection activeCell="K28" sqref="K28"/>
    </sheetView>
  </sheetViews>
  <sheetFormatPr defaultColWidth="9.1796875" defaultRowHeight="12"/>
  <cols>
    <col min="1" max="1" width="13.453125" style="230" bestFit="1" customWidth="1"/>
    <col min="2" max="2" width="13.26953125" style="230" bestFit="1" customWidth="1"/>
    <col min="3" max="4" width="9.1796875" style="230"/>
    <col min="5" max="5" width="9.81640625" style="230" bestFit="1" customWidth="1"/>
    <col min="6" max="16384" width="9.1796875" style="230"/>
  </cols>
  <sheetData>
    <row r="1" spans="1:11">
      <c r="A1" s="265" t="s">
        <v>684</v>
      </c>
    </row>
    <row r="2" spans="1:11">
      <c r="A2" s="265" t="s">
        <v>89</v>
      </c>
    </row>
    <row r="3" spans="1:11">
      <c r="D3" s="214">
        <v>45809</v>
      </c>
      <c r="E3" s="214">
        <v>46174</v>
      </c>
      <c r="F3" s="214">
        <v>46539</v>
      </c>
      <c r="G3" s="214">
        <v>46905</v>
      </c>
      <c r="H3" s="214">
        <v>47270</v>
      </c>
      <c r="I3" s="214">
        <v>47635</v>
      </c>
      <c r="J3" s="214">
        <v>48000</v>
      </c>
      <c r="K3" s="214">
        <v>48366</v>
      </c>
    </row>
    <row r="4" spans="1:11">
      <c r="A4" s="926" t="s">
        <v>15</v>
      </c>
      <c r="B4" s="923" t="str">
        <f>Cover!E5</f>
        <v>Base Case</v>
      </c>
      <c r="D4" s="261" t="s">
        <v>523</v>
      </c>
      <c r="E4" s="261" t="s">
        <v>523</v>
      </c>
      <c r="F4" s="227" t="s">
        <v>17</v>
      </c>
      <c r="G4" s="227" t="s">
        <v>17</v>
      </c>
      <c r="H4" s="227" t="s">
        <v>17</v>
      </c>
      <c r="I4" s="227" t="s">
        <v>17</v>
      </c>
      <c r="J4" s="227" t="s">
        <v>17</v>
      </c>
      <c r="K4" s="227" t="s">
        <v>17</v>
      </c>
    </row>
    <row r="5" spans="1:11">
      <c r="D5" s="339"/>
      <c r="E5" s="339"/>
      <c r="F5" s="340"/>
      <c r="G5" s="340"/>
      <c r="H5" s="340"/>
      <c r="I5" s="340"/>
      <c r="J5" s="340"/>
      <c r="K5" s="340"/>
    </row>
    <row r="6" spans="1:11">
      <c r="D6" s="339"/>
      <c r="E6" s="509" t="s">
        <v>662</v>
      </c>
      <c r="F6" s="340"/>
      <c r="G6" s="340"/>
      <c r="H6" s="340"/>
      <c r="I6" s="340"/>
      <c r="J6" s="340"/>
      <c r="K6" s="340"/>
    </row>
    <row r="7" spans="1:11">
      <c r="E7" s="1120" t="s">
        <v>685</v>
      </c>
      <c r="F7" s="1120"/>
      <c r="G7" s="1120"/>
      <c r="H7" s="1120"/>
      <c r="I7" s="1120"/>
      <c r="J7" s="1120"/>
      <c r="K7" s="1120"/>
    </row>
    <row r="8" spans="1:11">
      <c r="C8" s="644" t="s">
        <v>664</v>
      </c>
      <c r="E8" s="516" cm="1">
        <f t="array" ref="E8:K8">_xlfn.XLOOKUP($B$4,$C$10:$C$14,E10:K14)</f>
        <v>-6.2424589619267572E-3</v>
      </c>
      <c r="F8" s="516">
        <v>-6.2424589619267572E-3</v>
      </c>
      <c r="G8" s="516">
        <v>-6.2424589619267572E-3</v>
      </c>
      <c r="H8" s="516">
        <v>-6.2424589619267572E-3</v>
      </c>
      <c r="I8" s="516">
        <v>-6.2424589619267572E-3</v>
      </c>
      <c r="J8" s="516">
        <v>-6.2424589619267572E-3</v>
      </c>
      <c r="K8" s="516">
        <v>-6.2424589619267572E-3</v>
      </c>
    </row>
    <row r="9" spans="1:11">
      <c r="E9" s="509"/>
      <c r="F9" s="509"/>
      <c r="G9" s="509"/>
      <c r="H9" s="509"/>
      <c r="I9" s="509"/>
      <c r="J9" s="509"/>
      <c r="K9" s="509"/>
    </row>
    <row r="10" spans="1:11">
      <c r="C10" s="262" t="s">
        <v>665</v>
      </c>
      <c r="E10" s="516" cm="1">
        <f t="array" ref="E10">AVERAGE(SMALL('CF Ratio'!$E$10:$K$10,_xlfn.SEQUENCE(2)))</f>
        <v>-2.4368991554263333E-2</v>
      </c>
      <c r="F10" s="516" cm="1">
        <f t="array" ref="F10">AVERAGE(SMALL('CF Ratio'!$E$10:$K$10,_xlfn.SEQUENCE(2)))</f>
        <v>-2.4368991554263333E-2</v>
      </c>
      <c r="G10" s="516" cm="1">
        <f t="array" ref="G10">AVERAGE(SMALL('CF Ratio'!$E$10:$K$10,_xlfn.SEQUENCE(2)))</f>
        <v>-2.4368991554263333E-2</v>
      </c>
      <c r="H10" s="516" cm="1">
        <f t="array" ref="H10">AVERAGE(SMALL('CF Ratio'!$E$10:$K$10,_xlfn.SEQUENCE(2)))</f>
        <v>-2.4368991554263333E-2</v>
      </c>
      <c r="I10" s="516" cm="1">
        <f t="array" ref="I10">AVERAGE(SMALL('CF Ratio'!$E$10:$K$10,_xlfn.SEQUENCE(2)))</f>
        <v>-2.4368991554263333E-2</v>
      </c>
      <c r="J10" s="516" cm="1">
        <f t="array" ref="J10">AVERAGE(SMALL('CF Ratio'!$E$10:$K$10,_xlfn.SEQUENCE(2)))</f>
        <v>-2.4368991554263333E-2</v>
      </c>
      <c r="K10" s="516" cm="1">
        <f t="array" ref="K10">AVERAGE(SMALL('CF Ratio'!$E$10:$K$10,_xlfn.SEQUENCE(2)))</f>
        <v>-2.4368991554263333E-2</v>
      </c>
    </row>
    <row r="11" spans="1:11">
      <c r="C11" s="262" t="s">
        <v>666</v>
      </c>
      <c r="E11" s="517">
        <f>'CF Ratio'!$C$10</f>
        <v>-1.3338389808860287E-2</v>
      </c>
      <c r="F11" s="517">
        <f>'CF Ratio'!$C$10</f>
        <v>-1.3338389808860287E-2</v>
      </c>
      <c r="G11" s="517">
        <f>'CF Ratio'!$C$10</f>
        <v>-1.3338389808860287E-2</v>
      </c>
      <c r="H11" s="517">
        <f>'CF Ratio'!$C$10</f>
        <v>-1.3338389808860287E-2</v>
      </c>
      <c r="I11" s="517">
        <f>'CF Ratio'!$C$10</f>
        <v>-1.3338389808860287E-2</v>
      </c>
      <c r="J11" s="517">
        <f>'CF Ratio'!$C$10</f>
        <v>-1.3338389808860287E-2</v>
      </c>
      <c r="K11" s="517">
        <f>'CF Ratio'!$C$10</f>
        <v>-1.3338389808860287E-2</v>
      </c>
    </row>
    <row r="12" spans="1:11">
      <c r="C12" s="262" t="s">
        <v>5</v>
      </c>
      <c r="E12" s="516" cm="1">
        <f t="array" ref="E12">AVERAGE(LARGE('CF Ratio'!$E$10:$K$10,_xlfn.SEQUENCE(2)))</f>
        <v>-6.2424589619267572E-3</v>
      </c>
      <c r="F12" s="516" cm="1">
        <f t="array" ref="F12">AVERAGE(LARGE('CF Ratio'!$E$10:$K$10,_xlfn.SEQUENCE(2)))</f>
        <v>-6.2424589619267572E-3</v>
      </c>
      <c r="G12" s="516" cm="1">
        <f t="array" ref="G12">AVERAGE(LARGE('CF Ratio'!$E$10:$K$10,_xlfn.SEQUENCE(2)))</f>
        <v>-6.2424589619267572E-3</v>
      </c>
      <c r="H12" s="516" cm="1">
        <f t="array" ref="H12">AVERAGE(LARGE('CF Ratio'!$E$10:$K$10,_xlfn.SEQUENCE(2)))</f>
        <v>-6.2424589619267572E-3</v>
      </c>
      <c r="I12" s="516" cm="1">
        <f t="array" ref="I12">AVERAGE(LARGE('CF Ratio'!$E$10:$K$10,_xlfn.SEQUENCE(2)))</f>
        <v>-6.2424589619267572E-3</v>
      </c>
      <c r="J12" s="516" cm="1">
        <f t="array" ref="J12">AVERAGE(LARGE('CF Ratio'!$E$10:$K$10,_xlfn.SEQUENCE(2)))</f>
        <v>-6.2424589619267572E-3</v>
      </c>
      <c r="K12" s="516" cm="1">
        <f t="array" ref="K12">AVERAGE(LARGE('CF Ratio'!$E$10:$K$10,_xlfn.SEQUENCE(2)))</f>
        <v>-6.2424589619267572E-3</v>
      </c>
    </row>
    <row r="13" spans="1:11">
      <c r="C13" s="262" t="s">
        <v>667</v>
      </c>
      <c r="E13" s="516" cm="1">
        <f t="array" ref="E13">AVERAGE(LARGE('CF Ratio'!$E$10:$K$10,_xlfn.SEQUENCE(1)))</f>
        <v>-5.1823499446465382E-3</v>
      </c>
      <c r="F13" s="516" cm="1">
        <f t="array" ref="F13">AVERAGE(LARGE('CF Ratio'!$E$10:$K$10,_xlfn.SEQUENCE(1)))</f>
        <v>-5.1823499446465382E-3</v>
      </c>
      <c r="G13" s="516" cm="1">
        <f t="array" ref="G13">AVERAGE(LARGE('CF Ratio'!$E$10:$K$10,_xlfn.SEQUENCE(1)))</f>
        <v>-5.1823499446465382E-3</v>
      </c>
      <c r="H13" s="516" cm="1">
        <f t="array" ref="H13">AVERAGE(LARGE('CF Ratio'!$E$10:$K$10,_xlfn.SEQUENCE(1)))</f>
        <v>-5.1823499446465382E-3</v>
      </c>
      <c r="I13" s="516" cm="1">
        <f t="array" ref="I13">AVERAGE(LARGE('CF Ratio'!$E$10:$K$10,_xlfn.SEQUENCE(1)))</f>
        <v>-5.1823499446465382E-3</v>
      </c>
      <c r="J13" s="516" cm="1">
        <f t="array" ref="J13">AVERAGE(LARGE('CF Ratio'!$E$10:$K$10,_xlfn.SEQUENCE(1)))</f>
        <v>-5.1823499446465382E-3</v>
      </c>
      <c r="K13" s="516" cm="1">
        <f t="array" ref="K13">AVERAGE(LARGE('CF Ratio'!$E$10:$K$10,_xlfn.SEQUENCE(1)))</f>
        <v>-5.1823499446465382E-3</v>
      </c>
    </row>
    <row r="14" spans="1:11">
      <c r="C14" s="262" t="s">
        <v>668</v>
      </c>
      <c r="E14" s="516">
        <f>E13+0.0015</f>
        <v>-3.6823499446465382E-3</v>
      </c>
      <c r="F14" s="516">
        <f t="shared" ref="F14:K14" si="0">F13+0.0015</f>
        <v>-3.6823499446465382E-3</v>
      </c>
      <c r="G14" s="516">
        <f t="shared" si="0"/>
        <v>-3.6823499446465382E-3</v>
      </c>
      <c r="H14" s="516">
        <f t="shared" si="0"/>
        <v>-3.6823499446465382E-3</v>
      </c>
      <c r="I14" s="516">
        <f t="shared" si="0"/>
        <v>-3.6823499446465382E-3</v>
      </c>
      <c r="J14" s="516">
        <f t="shared" si="0"/>
        <v>-3.6823499446465382E-3</v>
      </c>
      <c r="K14" s="516">
        <f t="shared" si="0"/>
        <v>-3.6823499446465382E-3</v>
      </c>
    </row>
    <row r="15" spans="1:11">
      <c r="C15" s="262"/>
      <c r="E15" s="518"/>
      <c r="F15" s="518"/>
      <c r="G15" s="518"/>
      <c r="H15" s="518"/>
      <c r="I15" s="518"/>
      <c r="J15" s="518"/>
      <c r="K15" s="518"/>
    </row>
    <row r="16" spans="1:11">
      <c r="E16" s="509"/>
      <c r="F16" s="509"/>
      <c r="G16" s="509"/>
      <c r="H16" s="509"/>
      <c r="I16" s="509"/>
      <c r="J16" s="509"/>
      <c r="K16" s="509"/>
    </row>
    <row r="17" spans="3:13">
      <c r="E17" s="1120" t="s">
        <v>686</v>
      </c>
      <c r="F17" s="1120"/>
      <c r="G17" s="1120"/>
      <c r="H17" s="1120"/>
      <c r="I17" s="1120"/>
      <c r="J17" s="1120"/>
      <c r="K17" s="1120"/>
    </row>
    <row r="18" spans="3:13">
      <c r="C18" s="644" t="s">
        <v>664</v>
      </c>
      <c r="E18" s="838" cm="1">
        <f t="array" ref="E18:K18">_xlfn.XLOOKUP($B$4,$C$10:$C$14,E20:K24)</f>
        <v>-1606.5609999999999</v>
      </c>
      <c r="F18" s="838">
        <v>-1780.6478305064029</v>
      </c>
      <c r="G18" s="838">
        <v>-2110.8475683603165</v>
      </c>
      <c r="H18" s="838">
        <v>-2491.1490176216262</v>
      </c>
      <c r="I18" s="838">
        <v>-2869.8170947735998</v>
      </c>
      <c r="J18" s="838">
        <v>-3170.4552289247058</v>
      </c>
      <c r="K18" s="838">
        <v>-3411.3416119361054</v>
      </c>
    </row>
    <row r="19" spans="3:13">
      <c r="E19" s="339"/>
      <c r="F19" s="509"/>
      <c r="G19" s="509"/>
      <c r="H19" s="509"/>
      <c r="I19" s="509"/>
      <c r="J19" s="509"/>
      <c r="K19" s="509"/>
    </row>
    <row r="20" spans="3:13">
      <c r="C20" s="262" t="s">
        <v>665</v>
      </c>
      <c r="E20" s="838">
        <f t="shared" ref="E20:E24" si="1">E$38*-1</f>
        <v>-1606.5609999999999</v>
      </c>
      <c r="F20" s="838">
        <f t="shared" ref="F20:K24" si="2">F$38*-1</f>
        <v>-1780.6478305064029</v>
      </c>
      <c r="G20" s="838">
        <f t="shared" si="2"/>
        <v>-2110.8475683603165</v>
      </c>
      <c r="H20" s="838">
        <f t="shared" si="2"/>
        <v>-2491.1490176216262</v>
      </c>
      <c r="I20" s="838">
        <f t="shared" si="2"/>
        <v>-2869.8170947735998</v>
      </c>
      <c r="J20" s="838">
        <f t="shared" si="2"/>
        <v>-3170.4552289247058</v>
      </c>
      <c r="K20" s="838">
        <f t="shared" si="2"/>
        <v>-3411.3416119361054</v>
      </c>
    </row>
    <row r="21" spans="3:13">
      <c r="C21" s="262" t="s">
        <v>666</v>
      </c>
      <c r="E21" s="838">
        <f t="shared" si="1"/>
        <v>-1606.5609999999999</v>
      </c>
      <c r="F21" s="838">
        <f t="shared" si="2"/>
        <v>-1780.6478305064029</v>
      </c>
      <c r="G21" s="838">
        <f t="shared" si="2"/>
        <v>-2110.8475683603165</v>
      </c>
      <c r="H21" s="838">
        <f t="shared" si="2"/>
        <v>-2491.1490176216262</v>
      </c>
      <c r="I21" s="838">
        <f t="shared" si="2"/>
        <v>-2869.8170947735998</v>
      </c>
      <c r="J21" s="838">
        <f t="shared" si="2"/>
        <v>-3170.4552289247058</v>
      </c>
      <c r="K21" s="838">
        <f t="shared" si="2"/>
        <v>-3411.3416119361054</v>
      </c>
      <c r="M21" s="296"/>
    </row>
    <row r="22" spans="3:13">
      <c r="C22" s="262" t="s">
        <v>5</v>
      </c>
      <c r="E22" s="838">
        <f>E$38*-1</f>
        <v>-1606.5609999999999</v>
      </c>
      <c r="F22" s="838">
        <f t="shared" si="2"/>
        <v>-1780.6478305064029</v>
      </c>
      <c r="G22" s="838">
        <f t="shared" si="2"/>
        <v>-2110.8475683603165</v>
      </c>
      <c r="H22" s="838">
        <f t="shared" si="2"/>
        <v>-2491.1490176216262</v>
      </c>
      <c r="I22" s="838">
        <f t="shared" si="2"/>
        <v>-2869.8170947735998</v>
      </c>
      <c r="J22" s="838">
        <f t="shared" si="2"/>
        <v>-3170.4552289247058</v>
      </c>
      <c r="K22" s="838">
        <f t="shared" si="2"/>
        <v>-3411.3416119361054</v>
      </c>
    </row>
    <row r="23" spans="3:13">
      <c r="C23" s="262" t="s">
        <v>667</v>
      </c>
      <c r="E23" s="838">
        <f t="shared" si="1"/>
        <v>-1606.5609999999999</v>
      </c>
      <c r="F23" s="838">
        <f t="shared" si="2"/>
        <v>-1780.6478305064029</v>
      </c>
      <c r="G23" s="838">
        <f t="shared" si="2"/>
        <v>-2110.8475683603165</v>
      </c>
      <c r="H23" s="838">
        <f t="shared" si="2"/>
        <v>-2491.1490176216262</v>
      </c>
      <c r="I23" s="838">
        <f t="shared" si="2"/>
        <v>-2869.8170947735998</v>
      </c>
      <c r="J23" s="838">
        <f t="shared" si="2"/>
        <v>-3170.4552289247058</v>
      </c>
      <c r="K23" s="838">
        <f t="shared" si="2"/>
        <v>-3411.3416119361054</v>
      </c>
    </row>
    <row r="24" spans="3:13">
      <c r="C24" s="262" t="s">
        <v>668</v>
      </c>
      <c r="E24" s="838">
        <f t="shared" si="1"/>
        <v>-1606.5609999999999</v>
      </c>
      <c r="F24" s="838">
        <f t="shared" si="2"/>
        <v>-1780.6478305064029</v>
      </c>
      <c r="G24" s="838">
        <f t="shared" si="2"/>
        <v>-2110.8475683603165</v>
      </c>
      <c r="H24" s="838">
        <f t="shared" si="2"/>
        <v>-2491.1490176216262</v>
      </c>
      <c r="I24" s="838">
        <f t="shared" si="2"/>
        <v>-2869.8170947735998</v>
      </c>
      <c r="J24" s="838">
        <f t="shared" si="2"/>
        <v>-3170.4552289247058</v>
      </c>
      <c r="K24" s="838">
        <f t="shared" si="2"/>
        <v>-3411.3416119361054</v>
      </c>
    </row>
    <row r="25" spans="3:13">
      <c r="E25" s="509"/>
      <c r="F25" s="509"/>
      <c r="G25" s="509"/>
      <c r="H25" s="509"/>
      <c r="I25" s="509"/>
      <c r="J25" s="509"/>
      <c r="K25" s="509"/>
    </row>
    <row r="26" spans="3:13">
      <c r="E26" s="509"/>
      <c r="F26" s="509"/>
      <c r="G26" s="509"/>
      <c r="H26" s="509"/>
      <c r="I26" s="509"/>
      <c r="J26" s="509"/>
      <c r="K26" s="509"/>
    </row>
    <row r="27" spans="3:13">
      <c r="E27" s="1122" t="s">
        <v>687</v>
      </c>
      <c r="F27" s="1122"/>
      <c r="G27" s="1122"/>
      <c r="H27" s="1122"/>
      <c r="I27" s="1122"/>
      <c r="J27" s="1122"/>
      <c r="K27" s="1122"/>
    </row>
    <row r="28" spans="3:13">
      <c r="C28" s="643" t="s">
        <v>664</v>
      </c>
      <c r="E28" s="516" cm="1">
        <f t="array" ref="E28:K28">_xlfn.XLOOKUP($B$4,$C$10:$C$14,E30:K34)</f>
        <v>0.24444396093427148</v>
      </c>
      <c r="F28" s="516">
        <v>0.23614904202688841</v>
      </c>
      <c r="G28" s="516">
        <v>0.23114904202688841</v>
      </c>
      <c r="H28" s="516">
        <v>0.2261490420268884</v>
      </c>
      <c r="I28" s="516">
        <v>0.2211490420268884</v>
      </c>
      <c r="J28" s="516">
        <v>0.21614904202688839</v>
      </c>
      <c r="K28" s="516">
        <v>0.21114904202688839</v>
      </c>
    </row>
    <row r="29" spans="3:13">
      <c r="E29" s="509"/>
      <c r="F29" s="509"/>
      <c r="G29" s="509"/>
      <c r="H29" s="509"/>
      <c r="I29" s="509"/>
      <c r="J29" s="509"/>
      <c r="K29" s="509"/>
    </row>
    <row r="30" spans="3:13">
      <c r="C30" s="262" t="s">
        <v>665</v>
      </c>
      <c r="E30" s="516">
        <f>'Comp. Multi &amp; Imp. Val'!$K$32/'IS Intergrated'!$K$10</f>
        <v>0.24444396093427148</v>
      </c>
      <c r="F30" s="516" cm="1">
        <f t="array" ref="F30">AVERAGE(LARGE('SBC Ratios'!$E$8:$K$8,_xlfn.SEQUENCE(6)))-0.0025</f>
        <v>0.24223430777902194</v>
      </c>
      <c r="G30" s="516">
        <f>F30-0.0025</f>
        <v>0.23973430777902194</v>
      </c>
      <c r="H30" s="516">
        <f t="shared" ref="H30:K30" si="3">G30-0.0025</f>
        <v>0.23723430777902194</v>
      </c>
      <c r="I30" s="516">
        <f t="shared" si="3"/>
        <v>0.23473430777902193</v>
      </c>
      <c r="J30" s="516">
        <f t="shared" si="3"/>
        <v>0.23223430777902193</v>
      </c>
      <c r="K30" s="516">
        <f t="shared" si="3"/>
        <v>0.22973430777902193</v>
      </c>
    </row>
    <row r="31" spans="3:13">
      <c r="C31" s="262" t="s">
        <v>666</v>
      </c>
      <c r="E31" s="516">
        <f>'Comp. Multi &amp; Imp. Val'!$K$32/'IS Intergrated'!$K$10</f>
        <v>0.24444396093427148</v>
      </c>
      <c r="F31" s="516" cm="1">
        <f t="array" ref="F31">AVERAGE(LARGE('SBC Ratios'!$E$8:$K$8,_xlfn.SEQUENCE(6)))-0.005</f>
        <v>0.23973430777902194</v>
      </c>
      <c r="G31" s="516">
        <f t="shared" ref="G31:K33" si="4">F31-0.005</f>
        <v>0.23473430777902193</v>
      </c>
      <c r="H31" s="516">
        <f t="shared" si="4"/>
        <v>0.22973430777902193</v>
      </c>
      <c r="I31" s="516">
        <f t="shared" si="4"/>
        <v>0.22473430777902192</v>
      </c>
      <c r="J31" s="516">
        <f t="shared" si="4"/>
        <v>0.21973430777902192</v>
      </c>
      <c r="K31" s="516">
        <f t="shared" si="4"/>
        <v>0.21473430777902192</v>
      </c>
    </row>
    <row r="32" spans="3:13">
      <c r="C32" s="262" t="s">
        <v>5</v>
      </c>
      <c r="E32" s="516">
        <f>'Comp. Multi &amp; Imp. Val'!$K$32/'IS Intergrated'!$K$10</f>
        <v>0.24444396093427148</v>
      </c>
      <c r="F32" s="517">
        <f>'SBC Ratios'!$B$8</f>
        <v>0.23614904202688841</v>
      </c>
      <c r="G32" s="516">
        <f t="shared" si="4"/>
        <v>0.23114904202688841</v>
      </c>
      <c r="H32" s="516">
        <f t="shared" si="4"/>
        <v>0.2261490420268884</v>
      </c>
      <c r="I32" s="516">
        <f t="shared" si="4"/>
        <v>0.2211490420268884</v>
      </c>
      <c r="J32" s="516">
        <f t="shared" si="4"/>
        <v>0.21614904202688839</v>
      </c>
      <c r="K32" s="516">
        <f t="shared" si="4"/>
        <v>0.21114904202688839</v>
      </c>
    </row>
    <row r="33" spans="3:11">
      <c r="C33" s="262" t="s">
        <v>667</v>
      </c>
      <c r="E33" s="516">
        <f>'Comp. Multi &amp; Imp. Val'!$K$32/'IS Intergrated'!$K$10</f>
        <v>0.24444396093427148</v>
      </c>
      <c r="F33" s="516" cm="1">
        <f t="array" ref="F33">AVERAGE(SMALL('SBC Ratios'!$E$8:$K$8,_xlfn.SEQUENCE(6)))</f>
        <v>0.23080275157474497</v>
      </c>
      <c r="G33" s="516">
        <f t="shared" si="4"/>
        <v>0.22580275157474497</v>
      </c>
      <c r="H33" s="516">
        <f t="shared" si="4"/>
        <v>0.22080275157474497</v>
      </c>
      <c r="I33" s="516">
        <f t="shared" si="4"/>
        <v>0.21580275157474496</v>
      </c>
      <c r="J33" s="516">
        <f t="shared" si="4"/>
        <v>0.21080275157474496</v>
      </c>
      <c r="K33" s="516">
        <f t="shared" si="4"/>
        <v>0.20580275157474495</v>
      </c>
    </row>
    <row r="34" spans="3:11">
      <c r="C34" s="262" t="s">
        <v>668</v>
      </c>
      <c r="E34" s="516">
        <f>'Comp. Multi &amp; Imp. Val'!$K$32/'IS Intergrated'!$K$10</f>
        <v>0.24444396093427148</v>
      </c>
      <c r="F34" s="516" cm="1">
        <f t="array" ref="F34">AVERAGE(SMALL('SBC Ratios'!$E$8:$K$8,_xlfn.SEQUENCE(5)))</f>
        <v>0.22472389264336817</v>
      </c>
      <c r="G34" s="516">
        <f>F34-0.005</f>
        <v>0.21972389264336817</v>
      </c>
      <c r="H34" s="516">
        <f t="shared" ref="H34:K34" si="5">G34-0.005</f>
        <v>0.21472389264336816</v>
      </c>
      <c r="I34" s="516">
        <f t="shared" si="5"/>
        <v>0.20972389264336816</v>
      </c>
      <c r="J34" s="516">
        <f t="shared" si="5"/>
        <v>0.20472389264336815</v>
      </c>
      <c r="K34" s="516">
        <f t="shared" si="5"/>
        <v>0.19972389264336815</v>
      </c>
    </row>
    <row r="35" spans="3:11">
      <c r="E35" s="509"/>
      <c r="F35" s="509"/>
      <c r="G35" s="509"/>
      <c r="H35" s="509"/>
      <c r="I35" s="509"/>
      <c r="J35" s="509"/>
      <c r="K35" s="509"/>
    </row>
    <row r="36" spans="3:11">
      <c r="E36" s="509"/>
      <c r="F36" s="509"/>
      <c r="G36" s="509"/>
      <c r="H36" s="509"/>
      <c r="I36" s="509"/>
      <c r="J36" s="509"/>
      <c r="K36" s="509"/>
    </row>
    <row r="37" spans="3:11">
      <c r="E37" s="1120" t="s">
        <v>688</v>
      </c>
      <c r="F37" s="1120"/>
      <c r="G37" s="1120"/>
      <c r="H37" s="1120"/>
      <c r="I37" s="1120"/>
      <c r="J37" s="1120"/>
      <c r="K37" s="1120"/>
    </row>
    <row r="38" spans="3:11">
      <c r="C38" s="262" t="s">
        <v>689</v>
      </c>
      <c r="E38" s="786">
        <f>E28*'IS Intergrated'!K10</f>
        <v>1606.5609999999999</v>
      </c>
      <c r="F38" s="786">
        <f>F28*'IS Intergrated'!L10</f>
        <v>1780.6478305064029</v>
      </c>
      <c r="G38" s="786">
        <f>G28*'IS Intergrated'!M10</f>
        <v>2110.8475683603165</v>
      </c>
      <c r="H38" s="786">
        <f>H28*'IS Intergrated'!N10</f>
        <v>2491.1490176216262</v>
      </c>
      <c r="I38" s="786">
        <f>I28*'IS Intergrated'!O10</f>
        <v>2869.8170947735998</v>
      </c>
      <c r="J38" s="786">
        <f>J28*'IS Intergrated'!P10</f>
        <v>3170.4552289247058</v>
      </c>
      <c r="K38" s="786">
        <f>K28*'IS Intergrated'!Q10</f>
        <v>3411.3416119361054</v>
      </c>
    </row>
    <row r="39" spans="3:11">
      <c r="E39" s="509"/>
      <c r="F39" s="509"/>
      <c r="G39" s="509"/>
      <c r="H39" s="509"/>
      <c r="I39" s="509"/>
      <c r="J39" s="509"/>
      <c r="K39" s="509"/>
    </row>
    <row r="40" spans="3:11">
      <c r="E40" s="509"/>
      <c r="F40" s="509"/>
      <c r="G40" s="509"/>
      <c r="H40" s="509"/>
      <c r="I40" s="509"/>
      <c r="J40" s="509"/>
      <c r="K40" s="509"/>
    </row>
    <row r="41" spans="3:11">
      <c r="E41" s="1122" t="s">
        <v>690</v>
      </c>
      <c r="F41" s="1122"/>
      <c r="G41" s="1122"/>
      <c r="H41" s="1122"/>
      <c r="I41" s="1122"/>
      <c r="J41" s="1122"/>
      <c r="K41" s="1122"/>
    </row>
    <row r="42" spans="3:11">
      <c r="C42" s="643" t="s">
        <v>664</v>
      </c>
      <c r="E42" s="516" cm="1">
        <f t="array" ref="E42:K42">_xlfn.XLOOKUP($B$4,$C$10:$C$14,E44:K48)</f>
        <v>2.8350369443229537E-2</v>
      </c>
      <c r="F42" s="516">
        <v>2.8350369443229537E-2</v>
      </c>
      <c r="G42" s="516">
        <v>2.8350369443229537E-2</v>
      </c>
      <c r="H42" s="516">
        <v>2.8350369443229537E-2</v>
      </c>
      <c r="I42" s="516">
        <v>2.8350369443229537E-2</v>
      </c>
      <c r="J42" s="516">
        <v>2.8350369443229537E-2</v>
      </c>
      <c r="K42" s="516">
        <v>2.8350369443229537E-2</v>
      </c>
    </row>
    <row r="43" spans="3:11">
      <c r="E43" s="509"/>
      <c r="F43" s="509"/>
      <c r="G43" s="509"/>
      <c r="H43" s="509"/>
      <c r="I43" s="509"/>
      <c r="J43" s="509"/>
      <c r="K43" s="509"/>
    </row>
    <row r="44" spans="3:11">
      <c r="C44" s="262" t="s">
        <v>665</v>
      </c>
      <c r="E44" s="516">
        <f>E45+0.0015</f>
        <v>3.1819037969790444E-2</v>
      </c>
      <c r="F44" s="516">
        <f t="shared" ref="F44:K44" si="6">F45+0.0015</f>
        <v>3.1819037969790444E-2</v>
      </c>
      <c r="G44" s="516">
        <f t="shared" si="6"/>
        <v>3.1819037969790444E-2</v>
      </c>
      <c r="H44" s="516">
        <f t="shared" si="6"/>
        <v>3.1819037969790444E-2</v>
      </c>
      <c r="I44" s="516">
        <f t="shared" si="6"/>
        <v>3.1819037969790444E-2</v>
      </c>
      <c r="J44" s="516">
        <f t="shared" si="6"/>
        <v>3.1819037969790444E-2</v>
      </c>
      <c r="K44" s="516">
        <f t="shared" si="6"/>
        <v>3.1819037969790444E-2</v>
      </c>
    </row>
    <row r="45" spans="3:11">
      <c r="C45" s="262" t="s">
        <v>666</v>
      </c>
      <c r="E45" s="516" cm="1">
        <f t="array" ref="E45">AVERAGE(LARGE('CF Ratio'!$F$15:$K$15,_xlfn.SEQUENCE(1)))</f>
        <v>3.0319037969790446E-2</v>
      </c>
      <c r="F45" s="516" cm="1">
        <f t="array" ref="F45">AVERAGE(LARGE('CF Ratio'!$F$15:$K$15,_xlfn.SEQUENCE(1)))</f>
        <v>3.0319037969790446E-2</v>
      </c>
      <c r="G45" s="516" cm="1">
        <f t="array" ref="G45">AVERAGE(LARGE('CF Ratio'!$F$15:$K$15,_xlfn.SEQUENCE(1)))</f>
        <v>3.0319037969790446E-2</v>
      </c>
      <c r="H45" s="516" cm="1">
        <f t="array" ref="H45">AVERAGE(LARGE('CF Ratio'!$F$15:$K$15,_xlfn.SEQUENCE(1)))</f>
        <v>3.0319037969790446E-2</v>
      </c>
      <c r="I45" s="516" cm="1">
        <f t="array" ref="I45">AVERAGE(LARGE('CF Ratio'!$F$15:$K$15,_xlfn.SEQUENCE(1)))</f>
        <v>3.0319037969790446E-2</v>
      </c>
      <c r="J45" s="516" cm="1">
        <f t="array" ref="J45">AVERAGE(LARGE('CF Ratio'!$F$15:$K$15,_xlfn.SEQUENCE(1)))</f>
        <v>3.0319037969790446E-2</v>
      </c>
      <c r="K45" s="516" cm="1">
        <f t="array" ref="K45">AVERAGE(LARGE('CF Ratio'!$F$15:$K$15,_xlfn.SEQUENCE(1)))</f>
        <v>3.0319037969790446E-2</v>
      </c>
    </row>
    <row r="46" spans="3:11">
      <c r="C46" s="262" t="s">
        <v>5</v>
      </c>
      <c r="E46" s="516" cm="1">
        <f t="array" ref="E46">AVERAGE(LARGE('CF Ratio'!$F$15:$K$15,_xlfn.SEQUENCE(2)))</f>
        <v>2.8350369443229537E-2</v>
      </c>
      <c r="F46" s="516" cm="1">
        <f t="array" ref="F46">AVERAGE(LARGE('CF Ratio'!$F$15:$K$15,_xlfn.SEQUENCE(2)))</f>
        <v>2.8350369443229537E-2</v>
      </c>
      <c r="G46" s="516" cm="1">
        <f t="array" ref="G46">AVERAGE(LARGE('CF Ratio'!$F$15:$K$15,_xlfn.SEQUENCE(2)))</f>
        <v>2.8350369443229537E-2</v>
      </c>
      <c r="H46" s="516" cm="1">
        <f t="array" ref="H46">AVERAGE(LARGE('CF Ratio'!$F$15:$K$15,_xlfn.SEQUENCE(2)))</f>
        <v>2.8350369443229537E-2</v>
      </c>
      <c r="I46" s="516" cm="1">
        <f t="array" ref="I46">AVERAGE(LARGE('CF Ratio'!$F$15:$K$15,_xlfn.SEQUENCE(2)))</f>
        <v>2.8350369443229537E-2</v>
      </c>
      <c r="J46" s="516" cm="1">
        <f t="array" ref="J46">AVERAGE(LARGE('CF Ratio'!$F$15:$K$15,_xlfn.SEQUENCE(2)))</f>
        <v>2.8350369443229537E-2</v>
      </c>
      <c r="K46" s="516" cm="1">
        <f t="array" ref="K46">AVERAGE(LARGE('CF Ratio'!$F$15:$K$15,_xlfn.SEQUENCE(2)))</f>
        <v>2.8350369443229537E-2</v>
      </c>
    </row>
    <row r="47" spans="3:11">
      <c r="C47" s="262" t="s">
        <v>667</v>
      </c>
      <c r="E47" s="517">
        <f>'CF Ratio'!$C$15</f>
        <v>1.4610497619376042E-2</v>
      </c>
      <c r="F47" s="517">
        <f>'CF Ratio'!$C$15</f>
        <v>1.4610497619376042E-2</v>
      </c>
      <c r="G47" s="517">
        <f>'CF Ratio'!$C$15</f>
        <v>1.4610497619376042E-2</v>
      </c>
      <c r="H47" s="517">
        <f>'CF Ratio'!$C$15</f>
        <v>1.4610497619376042E-2</v>
      </c>
      <c r="I47" s="517">
        <f>'CF Ratio'!$C$15</f>
        <v>1.4610497619376042E-2</v>
      </c>
      <c r="J47" s="517">
        <f>'CF Ratio'!$C$15</f>
        <v>1.4610497619376042E-2</v>
      </c>
      <c r="K47" s="517">
        <f>'CF Ratio'!$C$15</f>
        <v>1.4610497619376042E-2</v>
      </c>
    </row>
    <row r="48" spans="3:11">
      <c r="C48" s="262" t="s">
        <v>668</v>
      </c>
      <c r="E48" s="516" cm="1">
        <f t="array" ref="E48">AVERAGE(SMALL('CF Ratio'!$F$15:$K$15,_xlfn.SEQUENCE(2)))</f>
        <v>0</v>
      </c>
      <c r="F48" s="516" cm="1">
        <f t="array" ref="F48">AVERAGE(SMALL('CF Ratio'!$F$15:$K$15,_xlfn.SEQUENCE(2)))</f>
        <v>0</v>
      </c>
      <c r="G48" s="516" cm="1">
        <f t="array" ref="G48">AVERAGE(SMALL('CF Ratio'!$F$15:$K$15,_xlfn.SEQUENCE(2)))</f>
        <v>0</v>
      </c>
      <c r="H48" s="516" cm="1">
        <f t="array" ref="H48">AVERAGE(SMALL('CF Ratio'!$F$15:$K$15,_xlfn.SEQUENCE(2)))</f>
        <v>0</v>
      </c>
      <c r="I48" s="516" cm="1">
        <f t="array" ref="I48">AVERAGE(SMALL('CF Ratio'!$F$15:$K$15,_xlfn.SEQUENCE(2)))</f>
        <v>0</v>
      </c>
      <c r="J48" s="516" cm="1">
        <f t="array" ref="J48">AVERAGE(SMALL('CF Ratio'!$F$15:$K$15,_xlfn.SEQUENCE(2)))</f>
        <v>0</v>
      </c>
      <c r="K48" s="516" cm="1">
        <f t="array" ref="K48">AVERAGE(SMALL('CF Ratio'!$F$15:$K$15,_xlfn.SEQUENCE(2)))</f>
        <v>0</v>
      </c>
    </row>
    <row r="49" spans="3:12">
      <c r="E49" s="509"/>
      <c r="F49" s="509"/>
      <c r="G49" s="509"/>
      <c r="H49" s="509"/>
      <c r="I49" s="509"/>
      <c r="J49" s="509"/>
      <c r="K49" s="509"/>
    </row>
    <row r="50" spans="3:12">
      <c r="E50" s="509"/>
      <c r="F50" s="509"/>
      <c r="G50" s="509"/>
      <c r="H50" s="509"/>
      <c r="I50" s="509"/>
      <c r="J50" s="509"/>
      <c r="K50" s="509"/>
    </row>
    <row r="51" spans="3:12">
      <c r="E51" s="1122" t="s">
        <v>691</v>
      </c>
      <c r="F51" s="1122"/>
      <c r="G51" s="1122"/>
      <c r="H51" s="1122"/>
      <c r="I51" s="1122"/>
      <c r="J51" s="1122"/>
      <c r="K51" s="1122"/>
    </row>
    <row r="52" spans="3:12">
      <c r="C52" s="643" t="s">
        <v>664</v>
      </c>
      <c r="E52" s="516" cm="1">
        <f t="array" ref="E52:K52">_xlfn.XLOOKUP($B$4,$C$10:$C$14,E54:K58)</f>
        <v>-2.3710392148389881E-2</v>
      </c>
      <c r="F52" s="516">
        <v>-2.3710392148389881E-2</v>
      </c>
      <c r="G52" s="516">
        <v>-2.3710392148389881E-2</v>
      </c>
      <c r="H52" s="516">
        <v>-2.3710392148389881E-2</v>
      </c>
      <c r="I52" s="516">
        <v>-2.3710392148389881E-2</v>
      </c>
      <c r="J52" s="516">
        <v>-2.3710392148389881E-2</v>
      </c>
      <c r="K52" s="516">
        <v>-2.3710392148389881E-2</v>
      </c>
    </row>
    <row r="53" spans="3:12">
      <c r="E53" s="509"/>
      <c r="F53" s="509"/>
      <c r="G53" s="509"/>
      <c r="H53" s="509"/>
      <c r="I53" s="509"/>
      <c r="J53" s="509"/>
      <c r="K53" s="509"/>
    </row>
    <row r="54" spans="3:12">
      <c r="C54" s="262" t="s">
        <v>665</v>
      </c>
      <c r="E54" s="517">
        <f>'CF Ratio'!$C$17</f>
        <v>-1.0117400804745116E-2</v>
      </c>
      <c r="F54" s="517">
        <f>'CF Ratio'!$C$17</f>
        <v>-1.0117400804745116E-2</v>
      </c>
      <c r="G54" s="517">
        <f>'CF Ratio'!$C$17</f>
        <v>-1.0117400804745116E-2</v>
      </c>
      <c r="H54" s="517">
        <f>'CF Ratio'!$C$17</f>
        <v>-1.0117400804745116E-2</v>
      </c>
      <c r="I54" s="517">
        <f>'CF Ratio'!$C$17</f>
        <v>-1.0117400804745116E-2</v>
      </c>
      <c r="J54" s="517">
        <f>'CF Ratio'!$C$17</f>
        <v>-1.0117400804745116E-2</v>
      </c>
      <c r="K54" s="517">
        <f>'CF Ratio'!$C$17</f>
        <v>-1.0117400804745116E-2</v>
      </c>
      <c r="L54" s="296">
        <f>'CF Intergrated'!J40</f>
        <v>0</v>
      </c>
    </row>
    <row r="55" spans="3:12">
      <c r="C55" s="262" t="s">
        <v>666</v>
      </c>
      <c r="E55" s="516" cm="1">
        <f t="array" ref="E55">AVERAGE(SMALL('CF Ratio'!$F$17:$K$17,_xlfn.SEQUENCE(2)))</f>
        <v>-2.0041200188240835E-2</v>
      </c>
      <c r="F55" s="516" cm="1">
        <f t="array" ref="F55">AVERAGE(SMALL('CF Ratio'!$F$17:$K$17,_xlfn.SEQUENCE(2)))</f>
        <v>-2.0041200188240835E-2</v>
      </c>
      <c r="G55" s="516" cm="1">
        <f t="array" ref="G55">AVERAGE(SMALL('CF Ratio'!$F$17:$K$17,_xlfn.SEQUENCE(2)))</f>
        <v>-2.0041200188240835E-2</v>
      </c>
      <c r="H55" s="516" cm="1">
        <f t="array" ref="H55">AVERAGE(SMALL('CF Ratio'!$F$17:$K$17,_xlfn.SEQUENCE(2)))</f>
        <v>-2.0041200188240835E-2</v>
      </c>
      <c r="I55" s="516" cm="1">
        <f t="array" ref="I55">AVERAGE(SMALL('CF Ratio'!$F$17:$K$17,_xlfn.SEQUENCE(2)))</f>
        <v>-2.0041200188240835E-2</v>
      </c>
      <c r="J55" s="516" cm="1">
        <f t="array" ref="J55">AVERAGE(SMALL('CF Ratio'!$F$17:$K$17,_xlfn.SEQUENCE(2)))</f>
        <v>-2.0041200188240835E-2</v>
      </c>
      <c r="K55" s="516" cm="1">
        <f t="array" ref="K55">AVERAGE(SMALL('CF Ratio'!$F$17:$K$17,_xlfn.SEQUENCE(2)))</f>
        <v>-2.0041200188240835E-2</v>
      </c>
    </row>
    <row r="56" spans="3:12">
      <c r="C56" s="262" t="s">
        <v>5</v>
      </c>
      <c r="E56" s="516" cm="1">
        <f t="array" ref="E56">AVERAGE(SMALL('CF Ratio'!$F$17:$K$17,_xlfn.SEQUENCE(1)))</f>
        <v>-2.3710392148389881E-2</v>
      </c>
      <c r="F56" s="516" cm="1">
        <f t="array" ref="F56">AVERAGE(SMALL('CF Ratio'!$F$17:$K$17,_xlfn.SEQUENCE(1)))</f>
        <v>-2.3710392148389881E-2</v>
      </c>
      <c r="G56" s="516" cm="1">
        <f t="array" ref="G56">AVERAGE(SMALL('CF Ratio'!$F$17:$K$17,_xlfn.SEQUENCE(1)))</f>
        <v>-2.3710392148389881E-2</v>
      </c>
      <c r="H56" s="516" cm="1">
        <f t="array" ref="H56">AVERAGE(SMALL('CF Ratio'!$F$17:$K$17,_xlfn.SEQUENCE(1)))</f>
        <v>-2.3710392148389881E-2</v>
      </c>
      <c r="I56" s="516" cm="1">
        <f t="array" ref="I56">AVERAGE(SMALL('CF Ratio'!$F$17:$K$17,_xlfn.SEQUENCE(1)))</f>
        <v>-2.3710392148389881E-2</v>
      </c>
      <c r="J56" s="516" cm="1">
        <f t="array" ref="J56">AVERAGE(SMALL('CF Ratio'!$F$17:$K$17,_xlfn.SEQUENCE(1)))</f>
        <v>-2.3710392148389881E-2</v>
      </c>
      <c r="K56" s="516" cm="1">
        <f t="array" ref="K56">AVERAGE(SMALL('CF Ratio'!$F$17:$K$17,_xlfn.SEQUENCE(1)))</f>
        <v>-2.3710392148389881E-2</v>
      </c>
    </row>
    <row r="57" spans="3:12">
      <c r="C57" s="262" t="s">
        <v>667</v>
      </c>
      <c r="E57" s="516">
        <f>E56-0.005</f>
        <v>-2.8710392148389881E-2</v>
      </c>
      <c r="F57" s="516">
        <f t="shared" ref="F57:K58" si="7">F56-0.005</f>
        <v>-2.8710392148389881E-2</v>
      </c>
      <c r="G57" s="516">
        <f t="shared" si="7"/>
        <v>-2.8710392148389881E-2</v>
      </c>
      <c r="H57" s="516">
        <f t="shared" si="7"/>
        <v>-2.8710392148389881E-2</v>
      </c>
      <c r="I57" s="516">
        <f t="shared" si="7"/>
        <v>-2.8710392148389881E-2</v>
      </c>
      <c r="J57" s="516">
        <f t="shared" si="7"/>
        <v>-2.8710392148389881E-2</v>
      </c>
      <c r="K57" s="516">
        <f t="shared" si="7"/>
        <v>-2.8710392148389881E-2</v>
      </c>
    </row>
    <row r="58" spans="3:12">
      <c r="C58" s="262" t="s">
        <v>668</v>
      </c>
      <c r="E58" s="516">
        <f>E57-0.005</f>
        <v>-3.3710392148389882E-2</v>
      </c>
      <c r="F58" s="516">
        <f t="shared" si="7"/>
        <v>-3.3710392148389882E-2</v>
      </c>
      <c r="G58" s="516">
        <f t="shared" si="7"/>
        <v>-3.3710392148389882E-2</v>
      </c>
      <c r="H58" s="516">
        <f t="shared" si="7"/>
        <v>-3.3710392148389882E-2</v>
      </c>
      <c r="I58" s="516">
        <f t="shared" si="7"/>
        <v>-3.3710392148389882E-2</v>
      </c>
      <c r="J58" s="516">
        <f t="shared" si="7"/>
        <v>-3.3710392148389882E-2</v>
      </c>
      <c r="K58" s="516">
        <f t="shared" si="7"/>
        <v>-3.3710392148389882E-2</v>
      </c>
    </row>
    <row r="61" spans="3:12">
      <c r="E61" s="1121"/>
      <c r="F61" s="1121"/>
      <c r="G61" s="1121"/>
      <c r="H61" s="1121"/>
      <c r="I61" s="1121"/>
      <c r="J61" s="1121"/>
      <c r="K61" s="1121"/>
    </row>
    <row r="62" spans="3:12">
      <c r="C62" s="643"/>
      <c r="E62" s="520"/>
      <c r="F62" s="520"/>
      <c r="G62" s="520"/>
      <c r="H62" s="520"/>
      <c r="I62" s="520"/>
      <c r="J62" s="520"/>
      <c r="K62" s="520"/>
    </row>
    <row r="63" spans="3:12">
      <c r="E63" s="509"/>
      <c r="F63" s="509"/>
      <c r="G63" s="509"/>
      <c r="H63" s="509"/>
      <c r="I63" s="509"/>
      <c r="J63" s="509"/>
      <c r="K63" s="509"/>
    </row>
    <row r="64" spans="3:12">
      <c r="C64" s="262"/>
      <c r="E64" s="520"/>
      <c r="F64" s="520"/>
      <c r="G64" s="520"/>
      <c r="H64" s="520"/>
      <c r="I64" s="520"/>
      <c r="J64" s="520"/>
      <c r="K64" s="520"/>
    </row>
    <row r="65" spans="3:11">
      <c r="C65" s="262"/>
      <c r="E65" s="520"/>
      <c r="F65" s="520"/>
      <c r="G65" s="520"/>
      <c r="H65" s="520"/>
      <c r="I65" s="520"/>
      <c r="J65" s="520"/>
      <c r="K65" s="520"/>
    </row>
    <row r="66" spans="3:11">
      <c r="C66" s="262"/>
      <c r="E66" s="521"/>
      <c r="F66" s="521"/>
      <c r="G66" s="521"/>
      <c r="H66" s="521"/>
      <c r="I66" s="521"/>
      <c r="J66" s="521"/>
      <c r="K66" s="521"/>
    </row>
    <row r="67" spans="3:11">
      <c r="C67" s="262"/>
      <c r="E67" s="520"/>
      <c r="F67" s="520"/>
      <c r="G67" s="520"/>
      <c r="H67" s="520"/>
      <c r="I67" s="520"/>
      <c r="J67" s="520"/>
      <c r="K67" s="520"/>
    </row>
    <row r="68" spans="3:11">
      <c r="C68" s="262"/>
      <c r="E68" s="520"/>
      <c r="F68" s="520"/>
      <c r="G68" s="520"/>
      <c r="H68" s="520"/>
      <c r="I68" s="520"/>
      <c r="J68" s="520"/>
      <c r="K68" s="520"/>
    </row>
  </sheetData>
  <mergeCells count="7">
    <mergeCell ref="E61:K61"/>
    <mergeCell ref="E41:K41"/>
    <mergeCell ref="E51:K51"/>
    <mergeCell ref="E7:K7"/>
    <mergeCell ref="E17:K17"/>
    <mergeCell ref="E27:K27"/>
    <mergeCell ref="E37:K37"/>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67ED9-3555-43D6-BA52-292D25D0D7F2}">
  <sheetPr codeName="Sheet20">
    <tabColor rgb="FF7030A0"/>
  </sheetPr>
  <dimension ref="A1:T45"/>
  <sheetViews>
    <sheetView topLeftCell="H1" zoomScale="108" zoomScaleNormal="108" workbookViewId="0">
      <selection activeCell="N19" sqref="N19"/>
    </sheetView>
  </sheetViews>
  <sheetFormatPr defaultColWidth="8.7265625" defaultRowHeight="12"/>
  <cols>
    <col min="1" max="1" width="14" style="230" customWidth="1"/>
    <col min="2" max="4" width="13.453125" style="230" bestFit="1" customWidth="1"/>
    <col min="5" max="5" width="9.453125" style="230" customWidth="1"/>
    <col min="6" max="6" width="10.453125" style="230" customWidth="1"/>
    <col min="7" max="14" width="8.7265625" style="230"/>
    <col min="15" max="15" width="33.7265625" style="230" bestFit="1" customWidth="1"/>
    <col min="16" max="16" width="11.1796875" style="230" bestFit="1" customWidth="1"/>
    <col min="17" max="16384" width="8.7265625" style="230"/>
  </cols>
  <sheetData>
    <row r="1" spans="1:20">
      <c r="A1" s="265" t="s">
        <v>692</v>
      </c>
    </row>
    <row r="2" spans="1:20">
      <c r="A2" s="265" t="s">
        <v>89</v>
      </c>
      <c r="D2" s="214">
        <v>45809</v>
      </c>
      <c r="E2" s="214">
        <v>46174</v>
      </c>
      <c r="F2" s="214">
        <v>46539</v>
      </c>
      <c r="G2" s="214">
        <v>46905</v>
      </c>
      <c r="H2" s="214">
        <v>47270</v>
      </c>
      <c r="I2" s="214">
        <v>47635</v>
      </c>
      <c r="J2" s="214">
        <v>48000</v>
      </c>
      <c r="K2" s="214">
        <v>48366</v>
      </c>
    </row>
    <row r="3" spans="1:20" ht="12.5" thickBot="1">
      <c r="A3" s="926" t="s">
        <v>15</v>
      </c>
      <c r="B3" s="923" t="str">
        <f>Cover!E5</f>
        <v>Base Case</v>
      </c>
      <c r="D3" s="261" t="s">
        <v>523</v>
      </c>
      <c r="E3" s="261" t="s">
        <v>523</v>
      </c>
      <c r="F3" s="227" t="s">
        <v>17</v>
      </c>
      <c r="G3" s="227" t="s">
        <v>17</v>
      </c>
      <c r="H3" s="227" t="s">
        <v>17</v>
      </c>
      <c r="I3" s="227" t="s">
        <v>17</v>
      </c>
      <c r="J3" s="227" t="s">
        <v>17</v>
      </c>
      <c r="K3" s="227" t="s">
        <v>17</v>
      </c>
      <c r="O3" s="645" t="s">
        <v>693</v>
      </c>
      <c r="P3" s="645" t="s">
        <v>694</v>
      </c>
      <c r="Q3" s="645" t="s">
        <v>695</v>
      </c>
      <c r="R3" s="645" t="s">
        <v>696</v>
      </c>
      <c r="S3" s="645" t="s">
        <v>537</v>
      </c>
      <c r="T3" s="645"/>
    </row>
    <row r="4" spans="1:20" ht="12.5" thickTop="1">
      <c r="E4" s="230">
        <v>1</v>
      </c>
      <c r="F4" s="230">
        <v>2</v>
      </c>
      <c r="G4" s="230">
        <v>3</v>
      </c>
      <c r="H4" s="230">
        <v>4</v>
      </c>
      <c r="I4" s="230">
        <v>5</v>
      </c>
      <c r="J4" s="230">
        <v>6</v>
      </c>
      <c r="O4" s="646" t="s">
        <v>698</v>
      </c>
      <c r="P4" s="647"/>
      <c r="Q4" s="647">
        <f>F20</f>
        <v>-0.34</v>
      </c>
      <c r="R4" s="647">
        <f>G20</f>
        <v>-0.16200000000000001</v>
      </c>
      <c r="S4" s="647">
        <f>H20</f>
        <v>-1</v>
      </c>
      <c r="T4" s="647"/>
    </row>
    <row r="5" spans="1:20">
      <c r="E5" s="509" t="s">
        <v>662</v>
      </c>
      <c r="O5" s="646" t="s">
        <v>699</v>
      </c>
      <c r="P5" s="647"/>
      <c r="Q5" s="647">
        <v>0.1</v>
      </c>
      <c r="R5" s="647">
        <v>0.13</v>
      </c>
      <c r="S5" s="647">
        <v>0.88</v>
      </c>
      <c r="T5" s="647"/>
    </row>
    <row r="6" spans="1:20">
      <c r="E6" s="1120" t="s">
        <v>700</v>
      </c>
      <c r="F6" s="1120"/>
      <c r="G6" s="1120"/>
      <c r="H6" s="1120"/>
      <c r="I6" s="1120"/>
      <c r="J6" s="1120"/>
      <c r="K6" s="1120"/>
      <c r="O6" s="646" t="s">
        <v>701</v>
      </c>
      <c r="P6" s="647"/>
      <c r="Q6" s="647">
        <v>2.1999999999999999E-2</v>
      </c>
      <c r="R6" s="647">
        <v>3.2000000000000001E-2</v>
      </c>
      <c r="S6" s="647">
        <v>0.12</v>
      </c>
      <c r="T6" s="647"/>
    </row>
    <row r="7" spans="1:20">
      <c r="C7" s="643" t="s">
        <v>664</v>
      </c>
      <c r="E7" s="516" cm="1">
        <f t="array" ref="E7:K7">_xlfn.XLOOKUP($B$3,$C$9:$C$13,E9:K13)</f>
        <v>0.28000000000000003</v>
      </c>
      <c r="F7" s="516">
        <v>0.29000000000000004</v>
      </c>
      <c r="G7" s="516">
        <v>0.26</v>
      </c>
      <c r="H7" s="516">
        <v>0.22999999999999998</v>
      </c>
      <c r="I7" s="516">
        <v>0.18</v>
      </c>
      <c r="J7" s="516">
        <v>0.13</v>
      </c>
      <c r="K7" s="516">
        <v>0.1</v>
      </c>
      <c r="O7" s="646" t="s">
        <v>702</v>
      </c>
      <c r="P7" s="648">
        <f>'IS Historical'!K12</f>
        <v>1830.941</v>
      </c>
      <c r="Q7" s="648">
        <f>P7*(1+Q4)</f>
        <v>1208.4210599999999</v>
      </c>
      <c r="R7" s="648">
        <f t="shared" ref="R7" si="0">Q7*(1+R4)</f>
        <v>1012.6568482799998</v>
      </c>
      <c r="S7" s="648">
        <f>R7*(1+S4)</f>
        <v>0</v>
      </c>
      <c r="T7" s="648"/>
    </row>
    <row r="8" spans="1:20">
      <c r="E8" s="509"/>
      <c r="F8" s="509"/>
      <c r="G8" s="509"/>
      <c r="H8" s="509"/>
      <c r="I8" s="509"/>
      <c r="J8" s="509"/>
      <c r="K8" s="509"/>
      <c r="O8" s="646" t="s">
        <v>703</v>
      </c>
      <c r="P8" s="320"/>
      <c r="Q8" s="648">
        <f>P7*(Q5)*(1+Q10)</f>
        <v>219.71292000000003</v>
      </c>
      <c r="R8" s="648">
        <f t="shared" ref="R8" si="1">Q7*(R5)*(1+R10)</f>
        <v>188.51368535999998</v>
      </c>
      <c r="S8" s="648">
        <f>R7*(S5)*(1+S10)</f>
        <v>1069.3656317836799</v>
      </c>
      <c r="T8" s="648"/>
    </row>
    <row r="9" spans="1:20">
      <c r="C9" s="262" t="s">
        <v>665</v>
      </c>
      <c r="E9" s="517">
        <f>E10-0.01</f>
        <v>0.26</v>
      </c>
      <c r="F9" s="517">
        <f t="shared" ref="F9:K10" si="2">F10-0.01</f>
        <v>0.27</v>
      </c>
      <c r="G9" s="517">
        <f t="shared" si="2"/>
        <v>0.24</v>
      </c>
      <c r="H9" s="517">
        <f t="shared" si="2"/>
        <v>0.20999999999999996</v>
      </c>
      <c r="I9" s="517">
        <f t="shared" si="2"/>
        <v>0.15999999999999998</v>
      </c>
      <c r="J9" s="517">
        <f t="shared" si="2"/>
        <v>0.11000000000000001</v>
      </c>
      <c r="K9" s="517">
        <f t="shared" si="2"/>
        <v>8.0000000000000016E-2</v>
      </c>
      <c r="O9" s="646" t="s">
        <v>704</v>
      </c>
      <c r="P9" s="320"/>
      <c r="Q9" s="647">
        <f>F7</f>
        <v>0.29000000000000004</v>
      </c>
      <c r="R9" s="647">
        <f t="shared" ref="R9" si="3">G7</f>
        <v>0.26</v>
      </c>
      <c r="S9" s="647">
        <f>H7</f>
        <v>0.22999999999999998</v>
      </c>
      <c r="T9" s="647"/>
    </row>
    <row r="10" spans="1:20">
      <c r="C10" s="262" t="s">
        <v>666</v>
      </c>
      <c r="E10" s="517">
        <f>E11-0.01</f>
        <v>0.27</v>
      </c>
      <c r="F10" s="517">
        <f t="shared" si="2"/>
        <v>0.28000000000000003</v>
      </c>
      <c r="G10" s="517">
        <f t="shared" si="2"/>
        <v>0.25</v>
      </c>
      <c r="H10" s="517">
        <f t="shared" si="2"/>
        <v>0.21999999999999997</v>
      </c>
      <c r="I10" s="517">
        <f t="shared" si="2"/>
        <v>0.16999999999999998</v>
      </c>
      <c r="J10" s="517">
        <f t="shared" si="2"/>
        <v>0.12000000000000001</v>
      </c>
      <c r="K10" s="517">
        <f t="shared" si="2"/>
        <v>9.0000000000000011E-2</v>
      </c>
      <c r="O10" s="646" t="s">
        <v>705</v>
      </c>
      <c r="P10" s="649"/>
      <c r="Q10" s="649">
        <v>0.2</v>
      </c>
      <c r="R10" s="649">
        <v>0.2</v>
      </c>
      <c r="S10" s="649">
        <v>0.2</v>
      </c>
      <c r="T10" s="649"/>
    </row>
    <row r="11" spans="1:20">
      <c r="C11" s="262" t="s">
        <v>5</v>
      </c>
      <c r="E11" s="650">
        <v>0.28000000000000003</v>
      </c>
      <c r="F11" s="650">
        <v>0.29000000000000004</v>
      </c>
      <c r="G11" s="650">
        <v>0.26</v>
      </c>
      <c r="H11" s="650">
        <v>0.22999999999999998</v>
      </c>
      <c r="I11" s="650">
        <v>0.18</v>
      </c>
      <c r="J11" s="650">
        <v>0.13</v>
      </c>
      <c r="K11" s="650">
        <v>0.1</v>
      </c>
    </row>
    <row r="12" spans="1:20">
      <c r="C12" s="262" t="s">
        <v>667</v>
      </c>
      <c r="E12" s="517">
        <f>E11+0.015</f>
        <v>0.29500000000000004</v>
      </c>
      <c r="F12" s="517">
        <f t="shared" ref="F12:K13" si="4">F11+0.015</f>
        <v>0.30500000000000005</v>
      </c>
      <c r="G12" s="517">
        <f t="shared" si="4"/>
        <v>0.27500000000000002</v>
      </c>
      <c r="H12" s="517">
        <f t="shared" si="4"/>
        <v>0.245</v>
      </c>
      <c r="I12" s="517">
        <f t="shared" si="4"/>
        <v>0.19500000000000001</v>
      </c>
      <c r="J12" s="517">
        <f t="shared" si="4"/>
        <v>0.14500000000000002</v>
      </c>
      <c r="K12" s="517">
        <f t="shared" si="4"/>
        <v>0.115</v>
      </c>
    </row>
    <row r="13" spans="1:20">
      <c r="C13" s="262" t="s">
        <v>668</v>
      </c>
      <c r="E13" s="517">
        <f>E12+0.015</f>
        <v>0.31000000000000005</v>
      </c>
      <c r="F13" s="517">
        <f t="shared" si="4"/>
        <v>0.32000000000000006</v>
      </c>
      <c r="G13" s="517">
        <f t="shared" si="4"/>
        <v>0.29000000000000004</v>
      </c>
      <c r="H13" s="517">
        <f t="shared" si="4"/>
        <v>0.26</v>
      </c>
      <c r="I13" s="517">
        <f t="shared" si="4"/>
        <v>0.21000000000000002</v>
      </c>
      <c r="J13" s="517">
        <f t="shared" si="4"/>
        <v>0.16000000000000003</v>
      </c>
      <c r="K13" s="517">
        <f t="shared" si="4"/>
        <v>0.13</v>
      </c>
    </row>
    <row r="14" spans="1:20">
      <c r="E14" s="509"/>
      <c r="F14" s="509"/>
      <c r="G14" s="509"/>
      <c r="H14" s="509"/>
      <c r="I14" s="509"/>
      <c r="J14" s="509"/>
      <c r="K14" s="509"/>
    </row>
    <row r="15" spans="1:20">
      <c r="E15" s="1120" t="s">
        <v>706</v>
      </c>
      <c r="F15" s="1120"/>
      <c r="G15" s="1120"/>
      <c r="H15" s="1120"/>
      <c r="I15" s="1120"/>
      <c r="J15" s="1120"/>
      <c r="K15" s="1120"/>
    </row>
    <row r="16" spans="1:20">
      <c r="C16" s="643" t="s">
        <v>664</v>
      </c>
      <c r="E16" s="516" cm="1">
        <f t="array" ref="E16:K16">_xlfn.XLOOKUP($B$3,$C$9:$C$13,E18:K22)</f>
        <v>0.215</v>
      </c>
      <c r="F16" s="516">
        <v>-0.34</v>
      </c>
      <c r="G16" s="516">
        <v>-0.16200000000000001</v>
      </c>
      <c r="H16" s="516">
        <v>-1</v>
      </c>
      <c r="I16" s="516">
        <v>-1</v>
      </c>
      <c r="J16" s="516" t="str">
        <v>-</v>
      </c>
      <c r="K16" s="516" t="str">
        <v>-</v>
      </c>
    </row>
    <row r="17" spans="3:11">
      <c r="E17" s="509"/>
      <c r="F17" s="509"/>
      <c r="G17" s="509"/>
      <c r="H17" s="509"/>
      <c r="I17" s="509"/>
      <c r="J17" s="509"/>
      <c r="K17" s="509"/>
    </row>
    <row r="18" spans="3:11">
      <c r="C18" s="262" t="s">
        <v>665</v>
      </c>
      <c r="E18" s="517">
        <f t="shared" ref="E18:G19" si="5">E19-2%</f>
        <v>0.17500000000000002</v>
      </c>
      <c r="F18" s="517">
        <f t="shared" si="5"/>
        <v>-0.38000000000000006</v>
      </c>
      <c r="G18" s="517">
        <f t="shared" si="5"/>
        <v>-0.20199999999999999</v>
      </c>
      <c r="H18" s="651">
        <v>-1</v>
      </c>
      <c r="I18" s="651">
        <v>-1</v>
      </c>
      <c r="J18" s="652" t="s">
        <v>269</v>
      </c>
      <c r="K18" s="652" t="s">
        <v>269</v>
      </c>
    </row>
    <row r="19" spans="3:11">
      <c r="C19" s="262" t="s">
        <v>666</v>
      </c>
      <c r="E19" s="517">
        <f t="shared" si="5"/>
        <v>0.19500000000000001</v>
      </c>
      <c r="F19" s="517">
        <f t="shared" si="5"/>
        <v>-0.36000000000000004</v>
      </c>
      <c r="G19" s="517">
        <f t="shared" si="5"/>
        <v>-0.182</v>
      </c>
      <c r="H19" s="651">
        <v>-1</v>
      </c>
      <c r="I19" s="651">
        <v>-1</v>
      </c>
      <c r="J19" s="652" t="s">
        <v>269</v>
      </c>
      <c r="K19" s="652" t="s">
        <v>269</v>
      </c>
    </row>
    <row r="20" spans="3:11">
      <c r="C20" s="262" t="s">
        <v>5</v>
      </c>
      <c r="E20" s="650">
        <v>0.215</v>
      </c>
      <c r="F20" s="650">
        <v>-0.34</v>
      </c>
      <c r="G20" s="650">
        <v>-0.16200000000000001</v>
      </c>
      <c r="H20" s="653">
        <v>-1</v>
      </c>
      <c r="I20" s="653">
        <v>-1</v>
      </c>
      <c r="J20" s="652" t="s">
        <v>269</v>
      </c>
      <c r="K20" s="652" t="s">
        <v>269</v>
      </c>
    </row>
    <row r="21" spans="3:11">
      <c r="C21" s="262" t="s">
        <v>667</v>
      </c>
      <c r="E21" s="517">
        <f>E20+2%</f>
        <v>0.23499999999999999</v>
      </c>
      <c r="F21" s="517">
        <f>F20+2%</f>
        <v>-0.32</v>
      </c>
      <c r="G21" s="517">
        <f t="shared" ref="G21:G22" si="6">G20+2%</f>
        <v>-0.14200000000000002</v>
      </c>
      <c r="H21" s="651">
        <v>-1</v>
      </c>
      <c r="I21" s="651">
        <v>-1</v>
      </c>
      <c r="J21" s="652" t="s">
        <v>269</v>
      </c>
      <c r="K21" s="652" t="s">
        <v>269</v>
      </c>
    </row>
    <row r="22" spans="3:11">
      <c r="C22" s="262" t="s">
        <v>668</v>
      </c>
      <c r="E22" s="517">
        <f>E21+2%</f>
        <v>0.255</v>
      </c>
      <c r="F22" s="517">
        <f>F21+2%</f>
        <v>-0.3</v>
      </c>
      <c r="G22" s="517">
        <f t="shared" si="6"/>
        <v>-0.12200000000000001</v>
      </c>
      <c r="H22" s="651">
        <v>-1</v>
      </c>
      <c r="I22" s="651">
        <v>-1</v>
      </c>
      <c r="J22" s="652" t="s">
        <v>269</v>
      </c>
      <c r="K22" s="652" t="s">
        <v>269</v>
      </c>
    </row>
    <row r="23" spans="3:11">
      <c r="E23" s="509"/>
      <c r="F23" s="509"/>
      <c r="G23" s="509"/>
      <c r="H23" s="509"/>
      <c r="I23" s="509"/>
      <c r="J23" s="509"/>
      <c r="K23" s="509"/>
    </row>
    <row r="24" spans="3:11">
      <c r="E24" s="1120" t="s">
        <v>707</v>
      </c>
      <c r="F24" s="1120"/>
      <c r="G24" s="1120"/>
      <c r="H24" s="1120"/>
      <c r="I24" s="1120"/>
      <c r="J24" s="1120"/>
      <c r="K24" s="1120"/>
    </row>
    <row r="25" spans="3:11">
      <c r="C25" s="643" t="s">
        <v>664</v>
      </c>
      <c r="E25" s="516" cm="1">
        <f t="array" ref="E25:K25">_xlfn.XLOOKUP($B$3,$C$9:$C$13,E27:K31)</f>
        <v>7.4999999999999942E-2</v>
      </c>
      <c r="F25" s="516">
        <v>0.13</v>
      </c>
      <c r="G25" s="516">
        <v>0.11499999999999999</v>
      </c>
      <c r="H25" s="516">
        <v>0.105</v>
      </c>
      <c r="I25" s="516">
        <v>0.09</v>
      </c>
      <c r="J25" s="516">
        <v>7.4999999999999997E-2</v>
      </c>
      <c r="K25" s="516">
        <v>6.0000000000000005E-2</v>
      </c>
    </row>
    <row r="26" spans="3:11">
      <c r="E26" s="509"/>
      <c r="F26" s="509"/>
      <c r="G26" s="509"/>
      <c r="H26" s="509"/>
      <c r="I26" s="509"/>
      <c r="J26" s="509"/>
      <c r="K26" s="509"/>
    </row>
    <row r="27" spans="3:11">
      <c r="C27" s="262" t="s">
        <v>665</v>
      </c>
      <c r="E27" s="517">
        <f>E28-0.01</f>
        <v>5.4999999999999945E-2</v>
      </c>
      <c r="F27" s="517">
        <f t="shared" ref="F27:K27" si="7">F28-0.01</f>
        <v>0.11</v>
      </c>
      <c r="G27" s="517">
        <f t="shared" si="7"/>
        <v>9.5000000000000001E-2</v>
      </c>
      <c r="H27" s="517">
        <f t="shared" si="7"/>
        <v>8.5000000000000006E-2</v>
      </c>
      <c r="I27" s="517">
        <f t="shared" si="7"/>
        <v>7.0000000000000007E-2</v>
      </c>
      <c r="J27" s="517">
        <f t="shared" si="7"/>
        <v>5.5E-2</v>
      </c>
      <c r="K27" s="517">
        <f t="shared" si="7"/>
        <v>0.04</v>
      </c>
    </row>
    <row r="28" spans="3:11">
      <c r="C28" s="262" t="s">
        <v>666</v>
      </c>
      <c r="E28" s="516">
        <f>E29-0.01</f>
        <v>6.4999999999999947E-2</v>
      </c>
      <c r="F28" s="516">
        <v>0.12</v>
      </c>
      <c r="G28" s="516">
        <v>0.105</v>
      </c>
      <c r="H28" s="516">
        <v>9.5000000000000001E-2</v>
      </c>
      <c r="I28" s="516">
        <v>0.08</v>
      </c>
      <c r="J28" s="516">
        <v>6.5000000000000002E-2</v>
      </c>
      <c r="K28" s="516">
        <v>0.05</v>
      </c>
    </row>
    <row r="29" spans="3:11">
      <c r="C29" s="262" t="s">
        <v>5</v>
      </c>
      <c r="E29" s="650">
        <v>7.4999999999999942E-2</v>
      </c>
      <c r="F29" s="650">
        <v>0.13</v>
      </c>
      <c r="G29" s="650">
        <v>0.11499999999999999</v>
      </c>
      <c r="H29" s="650">
        <v>0.105</v>
      </c>
      <c r="I29" s="650">
        <v>0.09</v>
      </c>
      <c r="J29" s="650">
        <v>7.4999999999999997E-2</v>
      </c>
      <c r="K29" s="650">
        <v>6.0000000000000005E-2</v>
      </c>
    </row>
    <row r="30" spans="3:11">
      <c r="C30" s="262" t="s">
        <v>667</v>
      </c>
      <c r="E30" s="517">
        <f>E29+0.01</f>
        <v>8.4999999999999937E-2</v>
      </c>
      <c r="F30" s="517">
        <f t="shared" ref="F30:K30" si="8">F29+0.01</f>
        <v>0.14000000000000001</v>
      </c>
      <c r="G30" s="517">
        <f t="shared" si="8"/>
        <v>0.12499999999999999</v>
      </c>
      <c r="H30" s="517">
        <f t="shared" si="8"/>
        <v>0.11499999999999999</v>
      </c>
      <c r="I30" s="517">
        <f t="shared" si="8"/>
        <v>9.9999999999999992E-2</v>
      </c>
      <c r="J30" s="517">
        <f t="shared" si="8"/>
        <v>8.4999999999999992E-2</v>
      </c>
      <c r="K30" s="517">
        <f t="shared" si="8"/>
        <v>7.0000000000000007E-2</v>
      </c>
    </row>
    <row r="31" spans="3:11">
      <c r="C31" s="262" t="s">
        <v>668</v>
      </c>
      <c r="E31" s="517">
        <f>E30+0.01</f>
        <v>9.4999999999999932E-2</v>
      </c>
      <c r="F31" s="517">
        <f t="shared" ref="F31:K31" si="9">F30+0.01</f>
        <v>0.15000000000000002</v>
      </c>
      <c r="G31" s="517">
        <f t="shared" si="9"/>
        <v>0.13499999999999998</v>
      </c>
      <c r="H31" s="517">
        <f t="shared" si="9"/>
        <v>0.12499999999999999</v>
      </c>
      <c r="I31" s="517">
        <f t="shared" si="9"/>
        <v>0.10999999999999999</v>
      </c>
      <c r="J31" s="517">
        <f t="shared" si="9"/>
        <v>9.4999999999999987E-2</v>
      </c>
      <c r="K31" s="517">
        <f t="shared" si="9"/>
        <v>0.08</v>
      </c>
    </row>
    <row r="33" spans="3:12">
      <c r="F33" s="267"/>
    </row>
    <row r="34" spans="3:12">
      <c r="E34" s="1120" t="s">
        <v>708</v>
      </c>
      <c r="F34" s="1120"/>
      <c r="G34" s="1120"/>
      <c r="H34" s="1120"/>
      <c r="I34" s="1120"/>
      <c r="J34" s="1120"/>
      <c r="K34" s="1120"/>
    </row>
    <row r="35" spans="3:12">
      <c r="C35" s="643" t="s">
        <v>664</v>
      </c>
      <c r="E35" s="838" cm="1">
        <f t="array" ref="E35:K35">_xlfn.XLOOKUP($B$3,$C$9:$C$13,E37:K41)</f>
        <v>0</v>
      </c>
      <c r="F35" s="838">
        <v>48.776924637476625</v>
      </c>
      <c r="G35" s="838">
        <v>19.441551239486209</v>
      </c>
      <c r="H35" s="838">
        <v>27.169974159798937</v>
      </c>
      <c r="I35" s="838">
        <v>37.146313891904263</v>
      </c>
      <c r="J35" s="838">
        <v>48.91107710333381</v>
      </c>
      <c r="K35" s="838">
        <v>61.106918924297609</v>
      </c>
    </row>
    <row r="36" spans="3:12">
      <c r="E36" s="509"/>
      <c r="F36" s="991"/>
      <c r="G36" s="991"/>
      <c r="H36" s="991"/>
      <c r="I36" s="991"/>
      <c r="J36" s="991"/>
      <c r="K36" s="991"/>
      <c r="L36" s="991"/>
    </row>
    <row r="37" spans="3:12">
      <c r="C37" s="262" t="s">
        <v>665</v>
      </c>
      <c r="E37" s="838">
        <v>0</v>
      </c>
      <c r="F37" s="990">
        <f>-'CF Intergrated'!K$31/'Acquistion Multiples'!$C$6</f>
        <v>48.776924637476625</v>
      </c>
      <c r="G37" s="990">
        <f>-'CF Intergrated'!L$31/'Acquistion Multiples'!$C$6</f>
        <v>19.441551239486209</v>
      </c>
      <c r="H37" s="990">
        <f>-'CF Intergrated'!M$31/'Acquistion Multiples'!$C$6</f>
        <v>27.169974159798937</v>
      </c>
      <c r="I37" s="990">
        <f>-'CF Intergrated'!N$31/'Acquistion Multiples'!$C$6</f>
        <v>37.146313891904263</v>
      </c>
      <c r="J37" s="990">
        <f>-'CF Intergrated'!O$31/'Acquistion Multiples'!$C$6</f>
        <v>48.91107710333381</v>
      </c>
      <c r="K37" s="990">
        <f>-'CF Intergrated'!P$31/'Acquistion Multiples'!$C$6</f>
        <v>61.106918924297609</v>
      </c>
    </row>
    <row r="38" spans="3:12">
      <c r="C38" s="262" t="s">
        <v>666</v>
      </c>
      <c r="E38" s="838">
        <v>0</v>
      </c>
      <c r="F38" s="990">
        <f>-'CF Intergrated'!K$31/'Acquistion Multiples'!$C$6</f>
        <v>48.776924637476625</v>
      </c>
      <c r="G38" s="990">
        <f>-'CF Intergrated'!L$31/'Acquistion Multiples'!$C$6</f>
        <v>19.441551239486209</v>
      </c>
      <c r="H38" s="990">
        <f>-'CF Intergrated'!M$31/'Acquistion Multiples'!$C$6</f>
        <v>27.169974159798937</v>
      </c>
      <c r="I38" s="990">
        <f>-'CF Intergrated'!N$31/'Acquistion Multiples'!$C$6</f>
        <v>37.146313891904263</v>
      </c>
      <c r="J38" s="990">
        <f>-'CF Intergrated'!O$31/'Acquistion Multiples'!$C$6</f>
        <v>48.91107710333381</v>
      </c>
      <c r="K38" s="990">
        <f>-'CF Intergrated'!P$31/'Acquistion Multiples'!$C$6</f>
        <v>61.106918924297609</v>
      </c>
    </row>
    <row r="39" spans="3:12">
      <c r="C39" s="262" t="s">
        <v>5</v>
      </c>
      <c r="E39" s="989">
        <v>0</v>
      </c>
      <c r="F39" s="990">
        <f>-'CF Intergrated'!K$31/'Acquistion Multiples'!$C$6</f>
        <v>48.776924637476625</v>
      </c>
      <c r="G39" s="990">
        <f>-'CF Intergrated'!L$31/'Acquistion Multiples'!$C$6</f>
        <v>19.441551239486209</v>
      </c>
      <c r="H39" s="990">
        <f>-'CF Intergrated'!M$31/'Acquistion Multiples'!$C$6</f>
        <v>27.169974159798937</v>
      </c>
      <c r="I39" s="990">
        <f>-'CF Intergrated'!N$31/'Acquistion Multiples'!$C$6</f>
        <v>37.146313891904263</v>
      </c>
      <c r="J39" s="990">
        <f>-'CF Intergrated'!O$31/'Acquistion Multiples'!$C$6</f>
        <v>48.91107710333381</v>
      </c>
      <c r="K39" s="990">
        <f>-'CF Intergrated'!P$31/'Acquistion Multiples'!$C$6</f>
        <v>61.106918924297609</v>
      </c>
    </row>
    <row r="40" spans="3:12">
      <c r="C40" s="262" t="s">
        <v>667</v>
      </c>
      <c r="E40" s="838">
        <v>0</v>
      </c>
      <c r="F40" s="990">
        <f>-'CF Intergrated'!K$31/'Acquistion Multiples'!$C$6</f>
        <v>48.776924637476625</v>
      </c>
      <c r="G40" s="990">
        <f>-'CF Intergrated'!L$31/'Acquistion Multiples'!$C$6</f>
        <v>19.441551239486209</v>
      </c>
      <c r="H40" s="990">
        <f>-'CF Intergrated'!M$31/'Acquistion Multiples'!$C$6</f>
        <v>27.169974159798937</v>
      </c>
      <c r="I40" s="990">
        <f>-'CF Intergrated'!N$31/'Acquistion Multiples'!$C$6</f>
        <v>37.146313891904263</v>
      </c>
      <c r="J40" s="990">
        <f>-'CF Intergrated'!O$31/'Acquistion Multiples'!$C$6</f>
        <v>48.91107710333381</v>
      </c>
      <c r="K40" s="990">
        <f>-'CF Intergrated'!P$31/'Acquistion Multiples'!$C$6</f>
        <v>61.106918924297609</v>
      </c>
    </row>
    <row r="41" spans="3:12">
      <c r="C41" s="262" t="s">
        <v>668</v>
      </c>
      <c r="E41" s="838">
        <v>0</v>
      </c>
      <c r="F41" s="990">
        <f>-'CF Intergrated'!K$31/'Acquistion Multiples'!$C$6</f>
        <v>48.776924637476625</v>
      </c>
      <c r="G41" s="990">
        <f>-'CF Intergrated'!L$31/'Acquistion Multiples'!$C$6</f>
        <v>19.441551239486209</v>
      </c>
      <c r="H41" s="990">
        <f>-'CF Intergrated'!M$31/'Acquistion Multiples'!$C$6</f>
        <v>27.169974159798937</v>
      </c>
      <c r="I41" s="990">
        <f>-'CF Intergrated'!N$31/'Acquistion Multiples'!$C$6</f>
        <v>37.146313891904263</v>
      </c>
      <c r="J41" s="990">
        <f>-'CF Intergrated'!O$31/'Acquistion Multiples'!$C$6</f>
        <v>48.91107710333381</v>
      </c>
      <c r="K41" s="990">
        <f>-'CF Intergrated'!P$31/'Acquistion Multiples'!$C$6</f>
        <v>61.106918924297609</v>
      </c>
    </row>
    <row r="45" spans="3:12">
      <c r="G45" s="230">
        <f>'CF Intergrated'!L31</f>
        <v>-489.80612158289568</v>
      </c>
    </row>
  </sheetData>
  <mergeCells count="4">
    <mergeCell ref="E6:K6"/>
    <mergeCell ref="E24:K24"/>
    <mergeCell ref="E15:K15"/>
    <mergeCell ref="E34:K34"/>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89A0F7-202F-4FB6-90BC-61AEA6CB5AFE}">
  <sheetPr codeName="Sheet21">
    <tabColor rgb="FF7030A0"/>
  </sheetPr>
  <dimension ref="A1:Y45"/>
  <sheetViews>
    <sheetView zoomScale="104" workbookViewId="0">
      <selection activeCell="X27" sqref="X27"/>
    </sheetView>
  </sheetViews>
  <sheetFormatPr defaultColWidth="8.7265625" defaultRowHeight="12"/>
  <cols>
    <col min="1" max="1" width="17.1796875" style="230" bestFit="1" customWidth="1"/>
    <col min="2" max="16" width="8.7265625" style="230"/>
    <col min="17" max="17" width="16.1796875" style="230" bestFit="1" customWidth="1"/>
    <col min="18" max="23" width="15.1796875" style="230" bestFit="1" customWidth="1"/>
    <col min="24" max="24" width="9.1796875" style="230" bestFit="1" customWidth="1"/>
    <col min="25" max="16384" width="8.7265625" style="230"/>
  </cols>
  <sheetData>
    <row r="1" spans="1:25">
      <c r="A1" s="265" t="s">
        <v>709</v>
      </c>
    </row>
    <row r="2" spans="1:25">
      <c r="A2" s="265" t="s">
        <v>89</v>
      </c>
    </row>
    <row r="3" spans="1:25">
      <c r="A3" s="926" t="s">
        <v>15</v>
      </c>
      <c r="B3" s="923" t="str">
        <f>Cover!E5</f>
        <v>Base Case</v>
      </c>
    </row>
    <row r="4" spans="1:25">
      <c r="D4" s="214">
        <v>45809</v>
      </c>
      <c r="E4" s="214">
        <v>46174</v>
      </c>
      <c r="F4" s="214">
        <v>46539</v>
      </c>
      <c r="G4" s="214">
        <v>46905</v>
      </c>
      <c r="H4" s="214">
        <v>47270</v>
      </c>
      <c r="I4" s="214">
        <v>47635</v>
      </c>
      <c r="J4" s="214">
        <v>48000</v>
      </c>
      <c r="K4" s="214">
        <v>48366</v>
      </c>
    </row>
    <row r="5" spans="1:25">
      <c r="D5" s="261" t="s">
        <v>523</v>
      </c>
      <c r="E5" s="227" t="s">
        <v>17</v>
      </c>
      <c r="F5" s="227" t="s">
        <v>17</v>
      </c>
      <c r="G5" s="227" t="s">
        <v>17</v>
      </c>
      <c r="H5" s="227" t="s">
        <v>17</v>
      </c>
      <c r="I5" s="227" t="s">
        <v>17</v>
      </c>
      <c r="J5" s="227" t="s">
        <v>17</v>
      </c>
      <c r="K5" s="227" t="s">
        <v>17</v>
      </c>
    </row>
    <row r="7" spans="1:25">
      <c r="E7" s="509" t="s">
        <v>662</v>
      </c>
      <c r="S7" s="230" t="s">
        <v>711</v>
      </c>
      <c r="T7" s="230" t="s">
        <v>714</v>
      </c>
      <c r="U7" s="230" t="s">
        <v>725</v>
      </c>
      <c r="V7" s="230" t="s">
        <v>1081</v>
      </c>
    </row>
    <row r="8" spans="1:25">
      <c r="E8" s="1120" t="s">
        <v>710</v>
      </c>
      <c r="F8" s="1120"/>
      <c r="G8" s="1120"/>
      <c r="H8" s="1120"/>
      <c r="I8" s="1120"/>
      <c r="J8" s="1120"/>
      <c r="K8" s="1120"/>
      <c r="S8" s="303">
        <f>O10</f>
        <v>367.85500000000002</v>
      </c>
      <c r="T8" s="303">
        <f>O15</f>
        <v>557.43899999999996</v>
      </c>
      <c r="U8" s="303">
        <v>544.82799999999997</v>
      </c>
      <c r="V8" s="303">
        <v>101.999</v>
      </c>
    </row>
    <row r="9" spans="1:25">
      <c r="E9" s="654" cm="1">
        <f t="array" ref="E9:K9">_xlfn.XLOOKUP($B$3,$C$11:$C$15,E11:K15)</f>
        <v>0</v>
      </c>
      <c r="F9" s="654">
        <v>0</v>
      </c>
      <c r="G9" s="654">
        <v>0</v>
      </c>
      <c r="H9" s="654">
        <v>0</v>
      </c>
      <c r="I9" s="654">
        <v>0</v>
      </c>
      <c r="J9" s="654">
        <v>0</v>
      </c>
      <c r="K9" s="654">
        <v>0</v>
      </c>
      <c r="N9" s="265" t="s">
        <v>711</v>
      </c>
      <c r="S9" s="303">
        <f>S10-S8</f>
        <v>120.49099999999999</v>
      </c>
      <c r="T9" s="303">
        <f t="shared" ref="T9:U9" si="0">T10-T8</f>
        <v>162.923</v>
      </c>
      <c r="U9" s="303">
        <f t="shared" si="0"/>
        <v>340.79600000000005</v>
      </c>
      <c r="V9" s="303">
        <f>V10-V8</f>
        <v>54.551000000000016</v>
      </c>
    </row>
    <row r="10" spans="1:25">
      <c r="E10" s="509"/>
      <c r="F10" s="509"/>
      <c r="G10" s="509"/>
      <c r="H10" s="509"/>
      <c r="I10" s="509"/>
      <c r="J10" s="509"/>
      <c r="K10" s="509"/>
      <c r="N10" s="230" t="s">
        <v>600</v>
      </c>
      <c r="O10" s="230">
        <v>367.85500000000002</v>
      </c>
      <c r="S10" s="230">
        <f>O11</f>
        <v>488.346</v>
      </c>
      <c r="T10" s="230">
        <f>O16</f>
        <v>720.36199999999997</v>
      </c>
      <c r="U10" s="768">
        <v>885.62400000000002</v>
      </c>
      <c r="V10" s="230">
        <v>156.55000000000001</v>
      </c>
    </row>
    <row r="11" spans="1:25">
      <c r="C11" s="262" t="s">
        <v>665</v>
      </c>
      <c r="E11" s="655">
        <v>0</v>
      </c>
      <c r="F11" s="655">
        <v>0</v>
      </c>
      <c r="G11" s="655">
        <v>0</v>
      </c>
      <c r="H11" s="655">
        <v>0</v>
      </c>
      <c r="I11" s="655">
        <v>0</v>
      </c>
      <c r="J11" s="655">
        <v>0</v>
      </c>
      <c r="K11" s="655">
        <v>0</v>
      </c>
      <c r="N11" s="230" t="s">
        <v>712</v>
      </c>
      <c r="O11" s="230">
        <v>488.346</v>
      </c>
    </row>
    <row r="12" spans="1:25">
      <c r="C12" s="262" t="s">
        <v>666</v>
      </c>
      <c r="E12" s="655">
        <v>0</v>
      </c>
      <c r="F12" s="655">
        <v>0</v>
      </c>
      <c r="G12" s="655">
        <v>0</v>
      </c>
      <c r="H12" s="655">
        <v>0</v>
      </c>
      <c r="I12" s="655">
        <v>0</v>
      </c>
      <c r="J12" s="655">
        <v>0</v>
      </c>
      <c r="K12" s="655">
        <v>0</v>
      </c>
      <c r="N12" s="230" t="s">
        <v>713</v>
      </c>
      <c r="O12" s="976">
        <f>O10/O11</f>
        <v>0.75326715074967343</v>
      </c>
      <c r="Q12" s="296">
        <f>AVERAGE(O12,O17)</f>
        <v>0.76354945933317986</v>
      </c>
      <c r="S12" s="744"/>
      <c r="T12" s="744"/>
      <c r="U12" s="744"/>
      <c r="V12" s="744"/>
      <c r="W12" s="744"/>
      <c r="X12" s="744"/>
      <c r="Y12" s="744"/>
    </row>
    <row r="13" spans="1:25">
      <c r="C13" s="262" t="s">
        <v>5</v>
      </c>
      <c r="E13" s="655">
        <v>0</v>
      </c>
      <c r="F13" s="655">
        <v>0</v>
      </c>
      <c r="G13" s="655">
        <v>0</v>
      </c>
      <c r="H13" s="655">
        <v>0</v>
      </c>
      <c r="I13" s="655">
        <v>0</v>
      </c>
      <c r="J13" s="655">
        <v>0</v>
      </c>
      <c r="K13" s="655">
        <v>0</v>
      </c>
      <c r="Q13" s="230">
        <f>1/Q12</f>
        <v>1.3096728545565552</v>
      </c>
      <c r="S13" s="770"/>
      <c r="T13" s="770"/>
      <c r="U13" s="770"/>
      <c r="V13" s="770"/>
      <c r="W13" s="770"/>
      <c r="X13" s="770"/>
      <c r="Y13" s="770"/>
    </row>
    <row r="14" spans="1:25">
      <c r="C14" s="262" t="s">
        <v>667</v>
      </c>
      <c r="E14" s="655">
        <v>0</v>
      </c>
      <c r="F14" s="655">
        <v>0</v>
      </c>
      <c r="G14" s="655">
        <v>0</v>
      </c>
      <c r="H14" s="655">
        <v>0</v>
      </c>
      <c r="I14" s="655">
        <v>0</v>
      </c>
      <c r="J14" s="655">
        <v>0</v>
      </c>
      <c r="K14" s="655">
        <v>0</v>
      </c>
      <c r="N14" s="265" t="s">
        <v>714</v>
      </c>
      <c r="Q14" s="296">
        <f>'BS Assumptions'!E199*$Q$13</f>
        <v>8.5073673841576727E-2</v>
      </c>
      <c r="R14" s="296"/>
      <c r="S14" s="296"/>
      <c r="T14" s="296"/>
      <c r="U14" s="296"/>
      <c r="V14" s="296"/>
      <c r="W14" s="296"/>
      <c r="X14" s="296"/>
    </row>
    <row r="15" spans="1:25">
      <c r="C15" s="262" t="s">
        <v>668</v>
      </c>
      <c r="E15" s="655">
        <v>0</v>
      </c>
      <c r="F15" s="655">
        <v>0</v>
      </c>
      <c r="G15" s="655">
        <v>0</v>
      </c>
      <c r="H15" s="655">
        <v>0</v>
      </c>
      <c r="I15" s="655">
        <v>0</v>
      </c>
      <c r="J15" s="655">
        <v>0</v>
      </c>
      <c r="K15" s="655">
        <v>0</v>
      </c>
      <c r="N15" s="230" t="s">
        <v>600</v>
      </c>
      <c r="O15" s="230">
        <v>557.43899999999996</v>
      </c>
      <c r="Q15" s="296">
        <f>Q14*(1-$Q$12)</f>
        <v>2.0115716176353531E-2</v>
      </c>
      <c r="R15" s="296"/>
      <c r="S15" s="296"/>
      <c r="T15" s="296"/>
      <c r="U15" s="296"/>
      <c r="V15" s="296"/>
      <c r="W15" s="296"/>
    </row>
    <row r="16" spans="1:25">
      <c r="N16" s="230" t="s">
        <v>715</v>
      </c>
      <c r="O16" s="230">
        <v>720.36199999999997</v>
      </c>
    </row>
    <row r="17" spans="3:15">
      <c r="N17" s="230" t="s">
        <v>713</v>
      </c>
      <c r="O17" s="976">
        <f>O15/O16</f>
        <v>0.77383176791668629</v>
      </c>
    </row>
    <row r="18" spans="3:15">
      <c r="E18" s="1120" t="s">
        <v>645</v>
      </c>
      <c r="F18" s="1120"/>
      <c r="G18" s="1120"/>
      <c r="H18" s="1120"/>
      <c r="I18" s="1120"/>
      <c r="J18" s="1120"/>
      <c r="K18" s="1120"/>
    </row>
    <row r="19" spans="3:15">
      <c r="E19" s="654" cm="1">
        <f t="array" ref="E19:K19">_xlfn.XLOOKUP($B$3,$C$11:$C$15,E21:K25)</f>
        <v>0</v>
      </c>
      <c r="F19" s="654">
        <v>0</v>
      </c>
      <c r="G19" s="654">
        <v>0</v>
      </c>
      <c r="H19" s="654">
        <v>0</v>
      </c>
      <c r="I19" s="654">
        <v>0</v>
      </c>
      <c r="J19" s="654">
        <v>0</v>
      </c>
      <c r="K19" s="654">
        <v>0</v>
      </c>
    </row>
    <row r="20" spans="3:15">
      <c r="E20" s="509"/>
      <c r="F20" s="509"/>
      <c r="G20" s="509"/>
      <c r="H20" s="509"/>
      <c r="I20" s="509"/>
      <c r="J20" s="509"/>
      <c r="K20" s="509"/>
      <c r="O20" s="230" t="s">
        <v>716</v>
      </c>
    </row>
    <row r="21" spans="3:15">
      <c r="C21" s="262" t="s">
        <v>665</v>
      </c>
      <c r="E21" s="655">
        <v>0</v>
      </c>
      <c r="F21" s="655">
        <v>0</v>
      </c>
      <c r="G21" s="655">
        <v>0</v>
      </c>
      <c r="H21" s="655">
        <v>0</v>
      </c>
      <c r="I21" s="655">
        <v>0</v>
      </c>
      <c r="J21" s="655">
        <v>0</v>
      </c>
      <c r="K21" s="655">
        <v>0</v>
      </c>
      <c r="N21" s="230" t="s">
        <v>717</v>
      </c>
      <c r="O21" s="230">
        <f>'IS Intergrated'!K25*0.85</f>
        <v>2778.8684499999999</v>
      </c>
    </row>
    <row r="22" spans="3:15">
      <c r="C22" s="262" t="s">
        <v>666</v>
      </c>
      <c r="E22" s="655">
        <v>0</v>
      </c>
      <c r="F22" s="655">
        <v>0</v>
      </c>
      <c r="G22" s="655">
        <v>0</v>
      </c>
      <c r="H22" s="655">
        <v>0</v>
      </c>
      <c r="I22" s="655">
        <v>0</v>
      </c>
      <c r="J22" s="655">
        <v>0</v>
      </c>
      <c r="K22" s="655">
        <v>0</v>
      </c>
      <c r="N22" s="230" t="s">
        <v>718</v>
      </c>
      <c r="O22" s="230">
        <f>O21/10000</f>
        <v>0.27788684499999999</v>
      </c>
    </row>
    <row r="23" spans="3:15">
      <c r="C23" s="262" t="s">
        <v>5</v>
      </c>
      <c r="E23" s="655">
        <v>0</v>
      </c>
      <c r="F23" s="655">
        <v>0</v>
      </c>
      <c r="G23" s="655">
        <v>0</v>
      </c>
      <c r="H23" s="655">
        <v>0</v>
      </c>
      <c r="I23" s="655">
        <v>0</v>
      </c>
      <c r="J23" s="655">
        <v>0</v>
      </c>
      <c r="K23" s="655">
        <v>0</v>
      </c>
      <c r="N23" s="230" t="s">
        <v>719</v>
      </c>
      <c r="O23" s="230">
        <f>O22*900</f>
        <v>250.09816050000001</v>
      </c>
    </row>
    <row r="24" spans="3:15">
      <c r="C24" s="262" t="s">
        <v>667</v>
      </c>
      <c r="E24" s="655">
        <v>0</v>
      </c>
      <c r="F24" s="655">
        <v>0</v>
      </c>
      <c r="G24" s="655">
        <v>0</v>
      </c>
      <c r="H24" s="655">
        <v>0</v>
      </c>
      <c r="I24" s="655">
        <v>0</v>
      </c>
      <c r="J24" s="655">
        <v>0</v>
      </c>
      <c r="K24" s="655">
        <v>0</v>
      </c>
      <c r="N24" s="230" t="s">
        <v>720</v>
      </c>
      <c r="O24" s="303">
        <f>'IS Intergrated'!L25-'Additional Assumptions'!O23</f>
        <v>3238.0905078219494</v>
      </c>
    </row>
    <row r="25" spans="3:15">
      <c r="C25" s="262" t="s">
        <v>668</v>
      </c>
      <c r="E25" s="655">
        <v>0</v>
      </c>
      <c r="F25" s="655">
        <v>0</v>
      </c>
      <c r="G25" s="655">
        <v>0</v>
      </c>
      <c r="H25" s="655">
        <v>0</v>
      </c>
      <c r="I25" s="655">
        <v>0</v>
      </c>
      <c r="J25" s="655">
        <v>0</v>
      </c>
      <c r="K25" s="655">
        <v>0</v>
      </c>
      <c r="O25" s="270">
        <v>0.46260265411325757</v>
      </c>
    </row>
    <row r="28" spans="3:15">
      <c r="E28" s="1120" t="s">
        <v>721</v>
      </c>
      <c r="F28" s="1120"/>
      <c r="G28" s="1120"/>
      <c r="H28" s="1120"/>
      <c r="I28" s="1120"/>
      <c r="J28" s="1120"/>
      <c r="K28" s="1120"/>
    </row>
    <row r="29" spans="3:15">
      <c r="E29" s="654" cm="1">
        <f t="array" ref="E29:K29">_xlfn.XLOOKUP($B$3,$C$11:$C$15,E31:K35)</f>
        <v>87</v>
      </c>
      <c r="F29" s="654">
        <v>104.4</v>
      </c>
      <c r="G29" s="654">
        <v>121.80000000000001</v>
      </c>
      <c r="H29" s="654">
        <v>139.20000000000002</v>
      </c>
      <c r="I29" s="654">
        <v>156.60000000000002</v>
      </c>
      <c r="J29" s="654">
        <v>174.00000000000003</v>
      </c>
      <c r="K29" s="654">
        <v>191.40000000000003</v>
      </c>
    </row>
    <row r="30" spans="3:15">
      <c r="E30" s="509"/>
      <c r="F30" s="509"/>
      <c r="G30" s="509"/>
      <c r="H30" s="509"/>
      <c r="I30" s="509"/>
      <c r="J30" s="509"/>
      <c r="K30" s="509"/>
    </row>
    <row r="31" spans="3:15">
      <c r="C31" s="262" t="s">
        <v>665</v>
      </c>
      <c r="E31" s="655">
        <f>87</f>
        <v>87</v>
      </c>
      <c r="F31" s="655">
        <f>E31+($E$31/5)</f>
        <v>104.4</v>
      </c>
      <c r="G31" s="655">
        <f t="shared" ref="G31:J31" si="1">F31+($E$31/5)</f>
        <v>121.80000000000001</v>
      </c>
      <c r="H31" s="655">
        <f t="shared" si="1"/>
        <v>139.20000000000002</v>
      </c>
      <c r="I31" s="655">
        <f t="shared" si="1"/>
        <v>156.60000000000002</v>
      </c>
      <c r="J31" s="655">
        <f t="shared" si="1"/>
        <v>174.00000000000003</v>
      </c>
      <c r="K31" s="655">
        <f>J31+($E$31/5)</f>
        <v>191.40000000000003</v>
      </c>
    </row>
    <row r="32" spans="3:15">
      <c r="C32" s="262" t="s">
        <v>666</v>
      </c>
      <c r="E32" s="655">
        <v>87</v>
      </c>
      <c r="F32" s="655">
        <f t="shared" ref="F32:K35" si="2">E32+($E$31/5)</f>
        <v>104.4</v>
      </c>
      <c r="G32" s="655">
        <f t="shared" si="2"/>
        <v>121.80000000000001</v>
      </c>
      <c r="H32" s="655">
        <f t="shared" si="2"/>
        <v>139.20000000000002</v>
      </c>
      <c r="I32" s="655">
        <f t="shared" si="2"/>
        <v>156.60000000000002</v>
      </c>
      <c r="J32" s="655">
        <f t="shared" si="2"/>
        <v>174.00000000000003</v>
      </c>
      <c r="K32" s="655">
        <f t="shared" si="2"/>
        <v>191.40000000000003</v>
      </c>
    </row>
    <row r="33" spans="3:11">
      <c r="C33" s="262" t="s">
        <v>5</v>
      </c>
      <c r="E33" s="655">
        <v>87</v>
      </c>
      <c r="F33" s="655">
        <f t="shared" si="2"/>
        <v>104.4</v>
      </c>
      <c r="G33" s="655">
        <f t="shared" si="2"/>
        <v>121.80000000000001</v>
      </c>
      <c r="H33" s="655">
        <f t="shared" si="2"/>
        <v>139.20000000000002</v>
      </c>
      <c r="I33" s="655">
        <f t="shared" si="2"/>
        <v>156.60000000000002</v>
      </c>
      <c r="J33" s="655">
        <f t="shared" si="2"/>
        <v>174.00000000000003</v>
      </c>
      <c r="K33" s="655">
        <f t="shared" si="2"/>
        <v>191.40000000000003</v>
      </c>
    </row>
    <row r="34" spans="3:11">
      <c r="C34" s="262" t="s">
        <v>667</v>
      </c>
      <c r="E34" s="655">
        <v>87</v>
      </c>
      <c r="F34" s="655">
        <f t="shared" si="2"/>
        <v>104.4</v>
      </c>
      <c r="G34" s="655">
        <f t="shared" si="2"/>
        <v>121.80000000000001</v>
      </c>
      <c r="H34" s="655">
        <f t="shared" si="2"/>
        <v>139.20000000000002</v>
      </c>
      <c r="I34" s="655">
        <f t="shared" si="2"/>
        <v>156.60000000000002</v>
      </c>
      <c r="J34" s="655">
        <f t="shared" si="2"/>
        <v>174.00000000000003</v>
      </c>
      <c r="K34" s="655">
        <f t="shared" si="2"/>
        <v>191.40000000000003</v>
      </c>
    </row>
    <row r="35" spans="3:11">
      <c r="C35" s="262" t="s">
        <v>668</v>
      </c>
      <c r="E35" s="655">
        <v>87</v>
      </c>
      <c r="F35" s="655">
        <f t="shared" si="2"/>
        <v>104.4</v>
      </c>
      <c r="G35" s="655">
        <f t="shared" si="2"/>
        <v>121.80000000000001</v>
      </c>
      <c r="H35" s="655">
        <f t="shared" si="2"/>
        <v>139.20000000000002</v>
      </c>
      <c r="I35" s="655">
        <f t="shared" si="2"/>
        <v>156.60000000000002</v>
      </c>
      <c r="J35" s="655">
        <f t="shared" si="2"/>
        <v>174.00000000000003</v>
      </c>
      <c r="K35" s="655">
        <f t="shared" si="2"/>
        <v>191.40000000000003</v>
      </c>
    </row>
    <row r="38" spans="3:11">
      <c r="E38" s="1120" t="s">
        <v>60</v>
      </c>
      <c r="F38" s="1120"/>
      <c r="G38" s="1120"/>
      <c r="H38" s="1120"/>
      <c r="I38" s="1120"/>
      <c r="J38" s="1120"/>
      <c r="K38" s="1120"/>
    </row>
    <row r="39" spans="3:11">
      <c r="E39" s="514" cm="1">
        <f t="array" ref="E39:K39">_xlfn.XLOOKUP($B$3,$C$11:$C$15,E41:K45)</f>
        <v>3.5409072686342349E-3</v>
      </c>
      <c r="F39" s="514">
        <v>1422.9781891940286</v>
      </c>
      <c r="G39" s="514">
        <v>1666.699254130275</v>
      </c>
      <c r="H39" s="514">
        <v>1955.0252387412022</v>
      </c>
      <c r="I39" s="514">
        <v>2406.4261848976957</v>
      </c>
      <c r="J39" s="514">
        <v>3018.2831360984392</v>
      </c>
      <c r="K39" s="514">
        <v>3846.4394212337556</v>
      </c>
    </row>
    <row r="40" spans="3:11">
      <c r="E40" s="515"/>
      <c r="F40" s="515"/>
      <c r="G40" s="515"/>
      <c r="H40" s="515"/>
      <c r="I40" s="515"/>
      <c r="J40" s="515"/>
      <c r="K40" s="515"/>
    </row>
    <row r="41" spans="3:11">
      <c r="C41" s="262" t="s">
        <v>665</v>
      </c>
      <c r="E41" s="514" cm="1">
        <f t="array" ref="E41">AVERAGE(SMALL('BS Ratios'!$E$9:$K$9,_xlfn.SEQUENCE(6)))</f>
        <v>3.134469721206247E-3</v>
      </c>
      <c r="F41" s="514">
        <v>816.15364771906798</v>
      </c>
      <c r="G41" s="514">
        <v>985.91401366429272</v>
      </c>
      <c r="H41" s="514">
        <v>1192.2053610068997</v>
      </c>
      <c r="I41" s="514">
        <v>1613.8034890608619</v>
      </c>
      <c r="J41" s="514">
        <v>2172.9700727519476</v>
      </c>
      <c r="K41" s="514">
        <v>2950.2382923782279</v>
      </c>
    </row>
    <row r="42" spans="3:11">
      <c r="C42" s="262" t="s">
        <v>666</v>
      </c>
      <c r="E42" s="514">
        <f>'BS Ratios'!$C$9</f>
        <v>3.5409072686342349E-3</v>
      </c>
      <c r="F42" s="514">
        <v>1223.8066032143554</v>
      </c>
      <c r="G42" s="514">
        <v>1351.5169755604527</v>
      </c>
      <c r="H42" s="514">
        <v>1504.6012176471261</v>
      </c>
      <c r="I42" s="514">
        <v>1831.4982431411793</v>
      </c>
      <c r="J42" s="514">
        <v>2287.1218436688159</v>
      </c>
      <c r="K42" s="514">
        <v>2949.7141582230556</v>
      </c>
    </row>
    <row r="43" spans="3:11">
      <c r="C43" s="262" t="s">
        <v>5</v>
      </c>
      <c r="E43" s="514">
        <f>'BS Ratios'!$C$9</f>
        <v>3.5409072686342349E-3</v>
      </c>
      <c r="F43" s="514">
        <v>1422.9781891940286</v>
      </c>
      <c r="G43" s="514">
        <v>1666.699254130275</v>
      </c>
      <c r="H43" s="514">
        <v>1955.0252387412022</v>
      </c>
      <c r="I43" s="514">
        <v>2406.4261848976957</v>
      </c>
      <c r="J43" s="514">
        <v>3018.2831360984392</v>
      </c>
      <c r="K43" s="514">
        <v>3846.4394212337556</v>
      </c>
    </row>
    <row r="44" spans="3:11">
      <c r="C44" s="262" t="s">
        <v>667</v>
      </c>
      <c r="E44" s="514">
        <f>'BS Ratios'!$C$9</f>
        <v>3.5409072686342349E-3</v>
      </c>
      <c r="F44" s="514">
        <v>1986.9596390308061</v>
      </c>
      <c r="G44" s="514">
        <v>2301.6846426870075</v>
      </c>
      <c r="H44" s="514">
        <v>2651.8412785781252</v>
      </c>
      <c r="I44" s="514">
        <v>3133.0099598940583</v>
      </c>
      <c r="J44" s="514">
        <v>3805.5662796359088</v>
      </c>
      <c r="K44" s="514">
        <v>4710.9761414844961</v>
      </c>
    </row>
    <row r="45" spans="3:11">
      <c r="C45" s="262" t="s">
        <v>668</v>
      </c>
      <c r="E45" s="514">
        <f>'BS Ratios'!$C$9</f>
        <v>3.5409072686342349E-3</v>
      </c>
      <c r="F45" s="514">
        <v>2484.5682330725922</v>
      </c>
      <c r="G45" s="514">
        <v>2949.6199760019977</v>
      </c>
      <c r="H45" s="514">
        <v>3467.5522180309858</v>
      </c>
      <c r="I45" s="514">
        <v>4105.9053056356506</v>
      </c>
      <c r="J45" s="514">
        <v>4997.337148408109</v>
      </c>
      <c r="K45" s="514">
        <v>6151.3982680053623</v>
      </c>
    </row>
  </sheetData>
  <mergeCells count="4">
    <mergeCell ref="E8:K8"/>
    <mergeCell ref="E18:K18"/>
    <mergeCell ref="E28:K28"/>
    <mergeCell ref="E38:K38"/>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2F9831-0DA1-4BB5-97F8-30708B0FCE6F}">
  <sheetPr>
    <tabColor rgb="FF7030A0"/>
  </sheetPr>
  <dimension ref="A1:G11"/>
  <sheetViews>
    <sheetView zoomScale="88" workbookViewId="0">
      <selection activeCell="C6" sqref="C6:G6"/>
    </sheetView>
  </sheetViews>
  <sheetFormatPr defaultRowHeight="14.5"/>
  <cols>
    <col min="2" max="2" width="14" bestFit="1" customWidth="1"/>
  </cols>
  <sheetData>
    <row r="1" spans="1:7">
      <c r="A1" t="s">
        <v>722</v>
      </c>
    </row>
    <row r="2" spans="1:7">
      <c r="C2" t="s">
        <v>714</v>
      </c>
      <c r="D2" t="s">
        <v>723</v>
      </c>
      <c r="E2" t="s">
        <v>724</v>
      </c>
      <c r="F2" t="s">
        <v>725</v>
      </c>
      <c r="G2" t="s">
        <v>726</v>
      </c>
    </row>
    <row r="3" spans="1:7">
      <c r="B3" t="s">
        <v>727</v>
      </c>
      <c r="C3">
        <v>720.4</v>
      </c>
      <c r="D3">
        <v>425</v>
      </c>
      <c r="E3">
        <v>295.5</v>
      </c>
      <c r="F3">
        <v>975</v>
      </c>
      <c r="G3">
        <v>2407</v>
      </c>
    </row>
    <row r="4" spans="1:7">
      <c r="B4" t="s">
        <v>728</v>
      </c>
      <c r="C4">
        <v>40</v>
      </c>
      <c r="D4">
        <v>10</v>
      </c>
      <c r="E4">
        <v>13.5</v>
      </c>
      <c r="F4">
        <v>50</v>
      </c>
      <c r="G4">
        <v>100</v>
      </c>
    </row>
    <row r="5" spans="1:7">
      <c r="B5" t="s">
        <v>729</v>
      </c>
      <c r="C5" s="58">
        <f>C3/C4</f>
        <v>18.009999999999998</v>
      </c>
      <c r="D5" s="58">
        <f t="shared" ref="D5:G5" si="0">D3/D4</f>
        <v>42.5</v>
      </c>
      <c r="E5" s="58">
        <f t="shared" si="0"/>
        <v>21.888888888888889</v>
      </c>
      <c r="F5" s="58">
        <f t="shared" si="0"/>
        <v>19.5</v>
      </c>
      <c r="G5" s="58">
        <f t="shared" si="0"/>
        <v>24.07</v>
      </c>
    </row>
    <row r="6" spans="1:7">
      <c r="B6" t="s">
        <v>730</v>
      </c>
      <c r="C6" s="58">
        <f>AVERAGE($C$10:$G$10)</f>
        <v>25.193777777777779</v>
      </c>
      <c r="D6" s="58">
        <f t="shared" ref="D6:G6" si="1">AVERAGE($C$10:$G$10)</f>
        <v>25.193777777777779</v>
      </c>
      <c r="E6" s="58">
        <f t="shared" si="1"/>
        <v>25.193777777777779</v>
      </c>
      <c r="F6" s="58">
        <f t="shared" si="1"/>
        <v>25.193777777777779</v>
      </c>
      <c r="G6" s="58">
        <f t="shared" si="1"/>
        <v>25.193777777777779</v>
      </c>
    </row>
    <row r="7" spans="1:7">
      <c r="B7" t="s">
        <v>731</v>
      </c>
      <c r="C7" s="58"/>
    </row>
    <row r="9" spans="1:7">
      <c r="C9" t="str">
        <f>C2</f>
        <v>DX</v>
      </c>
      <c r="D9" t="str">
        <f t="shared" ref="D9:G9" si="2">D2</f>
        <v>Trello</v>
      </c>
      <c r="E9" t="str">
        <f t="shared" si="2"/>
        <v>OpsGenie</v>
      </c>
      <c r="F9" t="str">
        <f t="shared" si="2"/>
        <v>Loom</v>
      </c>
      <c r="G9" t="str">
        <f t="shared" si="2"/>
        <v>Moveworks</v>
      </c>
    </row>
    <row r="10" spans="1:7">
      <c r="C10" s="58">
        <f>C5</f>
        <v>18.009999999999998</v>
      </c>
      <c r="D10" s="58">
        <f t="shared" ref="D10:G10" si="3">D5</f>
        <v>42.5</v>
      </c>
      <c r="E10" s="58">
        <f t="shared" si="3"/>
        <v>21.888888888888889</v>
      </c>
      <c r="F10" s="58">
        <f t="shared" si="3"/>
        <v>19.5</v>
      </c>
      <c r="G10" s="58">
        <f t="shared" si="3"/>
        <v>24.07</v>
      </c>
    </row>
    <row r="11" spans="1:7">
      <c r="C11" s="58">
        <f>AVERAGE($C$10:$G$10)</f>
        <v>25.193777777777779</v>
      </c>
      <c r="D11" s="58">
        <f t="shared" ref="D11:G11" si="4">AVERAGE($C$10:$G$10)</f>
        <v>25.193777777777779</v>
      </c>
      <c r="E11" s="58">
        <f t="shared" si="4"/>
        <v>25.193777777777779</v>
      </c>
      <c r="F11" s="58">
        <f t="shared" si="4"/>
        <v>25.193777777777779</v>
      </c>
      <c r="G11" s="58">
        <f t="shared" si="4"/>
        <v>25.193777777777779</v>
      </c>
    </row>
  </sheetData>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DBBEC-EC19-45F6-AE38-117AF6E8FDBA}">
  <sheetPr codeName="Sheet22">
    <tabColor rgb="FF00B050"/>
  </sheetPr>
  <dimension ref="A1:Q31"/>
  <sheetViews>
    <sheetView showGridLines="0" topLeftCell="A2" zoomScale="108" zoomScaleNormal="100" workbookViewId="0">
      <selection activeCell="B27" sqref="B27"/>
    </sheetView>
  </sheetViews>
  <sheetFormatPr defaultColWidth="8.7265625" defaultRowHeight="12"/>
  <cols>
    <col min="1" max="1" width="26.1796875" style="230" bestFit="1" customWidth="1"/>
    <col min="2" max="2" width="10" style="230" customWidth="1"/>
    <col min="3" max="3" width="8.7265625" style="342"/>
    <col min="4" max="16384" width="8.7265625" style="230"/>
  </cols>
  <sheetData>
    <row r="1" spans="1:17">
      <c r="A1" s="265" t="s">
        <v>732</v>
      </c>
      <c r="C1" s="230"/>
    </row>
    <row r="2" spans="1:17">
      <c r="A2" s="265" t="s">
        <v>89</v>
      </c>
      <c r="C2" s="230"/>
    </row>
    <row r="3" spans="1:17">
      <c r="C3" s="230"/>
    </row>
    <row r="4" spans="1:17">
      <c r="C4" s="230"/>
    </row>
    <row r="5" spans="1:17">
      <c r="C5" s="230"/>
    </row>
    <row r="6" spans="1:17">
      <c r="C6" s="230"/>
      <c r="E6" s="317">
        <v>43983</v>
      </c>
      <c r="F6" s="312">
        <v>44377</v>
      </c>
      <c r="G6" s="312">
        <f>EDATE(F6,12)</f>
        <v>44742</v>
      </c>
      <c r="H6" s="312">
        <f t="shared" ref="H6:Q6" si="0">EDATE(G6,12)</f>
        <v>45107</v>
      </c>
      <c r="I6" s="312">
        <f t="shared" si="0"/>
        <v>45473</v>
      </c>
      <c r="J6" s="312">
        <f t="shared" si="0"/>
        <v>45838</v>
      </c>
      <c r="K6" s="312">
        <f t="shared" si="0"/>
        <v>46203</v>
      </c>
      <c r="L6" s="312">
        <f t="shared" si="0"/>
        <v>46568</v>
      </c>
      <c r="M6" s="312">
        <f t="shared" si="0"/>
        <v>46934</v>
      </c>
      <c r="N6" s="312">
        <f t="shared" si="0"/>
        <v>47299</v>
      </c>
      <c r="O6" s="312">
        <f t="shared" si="0"/>
        <v>47664</v>
      </c>
      <c r="P6" s="312">
        <f t="shared" si="0"/>
        <v>48029</v>
      </c>
      <c r="Q6" s="312">
        <f t="shared" si="0"/>
        <v>48395</v>
      </c>
    </row>
    <row r="7" spans="1:17">
      <c r="C7" s="230"/>
      <c r="E7" s="321" t="s">
        <v>16</v>
      </c>
      <c r="F7" s="321" t="s">
        <v>16</v>
      </c>
      <c r="G7" s="321" t="s">
        <v>16</v>
      </c>
      <c r="H7" s="321" t="s">
        <v>16</v>
      </c>
      <c r="I7" s="321" t="s">
        <v>16</v>
      </c>
      <c r="J7" s="321" t="s">
        <v>16</v>
      </c>
      <c r="K7" s="321" t="s">
        <v>16</v>
      </c>
      <c r="L7" s="322" t="s">
        <v>17</v>
      </c>
      <c r="M7" s="322" t="s">
        <v>17</v>
      </c>
      <c r="N7" s="322" t="s">
        <v>17</v>
      </c>
      <c r="O7" s="322" t="s">
        <v>17</v>
      </c>
      <c r="P7" s="322" t="s">
        <v>17</v>
      </c>
      <c r="Q7" s="322" t="s">
        <v>17</v>
      </c>
    </row>
    <row r="8" spans="1:17" ht="24">
      <c r="C8" s="319" t="s">
        <v>733</v>
      </c>
    </row>
    <row r="9" spans="1:17">
      <c r="A9" s="315"/>
      <c r="B9" s="315"/>
      <c r="C9" s="315"/>
      <c r="D9" s="315"/>
      <c r="E9" s="316"/>
      <c r="F9" s="316"/>
      <c r="G9" s="316"/>
      <c r="H9" s="316"/>
      <c r="I9" s="316"/>
      <c r="J9" s="316"/>
      <c r="K9" s="316"/>
      <c r="L9" s="316"/>
      <c r="M9" s="316"/>
      <c r="N9" s="316"/>
      <c r="O9" s="320"/>
      <c r="P9" s="320"/>
      <c r="Q9" s="320"/>
    </row>
    <row r="10" spans="1:17">
      <c r="A10" s="265" t="s">
        <v>734</v>
      </c>
      <c r="C10" s="314"/>
      <c r="E10" s="230">
        <f>'IS Historical'!E10</f>
        <v>1614.173</v>
      </c>
      <c r="F10" s="230">
        <f>'IS Historical'!F10</f>
        <v>2089.1320000000001</v>
      </c>
      <c r="G10" s="230">
        <f>'IS Historical'!G10</f>
        <v>2802.8819999999996</v>
      </c>
      <c r="H10" s="230">
        <f>'IS Historical'!H10</f>
        <v>3534.6469999999999</v>
      </c>
      <c r="I10" s="230">
        <f>'IS Historical'!I10</f>
        <v>4358.6030000000001</v>
      </c>
      <c r="J10" s="230">
        <f>'IS Historical'!J10</f>
        <v>5215.3040000000001</v>
      </c>
      <c r="K10" s="230">
        <f>'IS Historical'!K10</f>
        <v>6572.308</v>
      </c>
    </row>
    <row r="11" spans="1:17">
      <c r="C11" s="230"/>
    </row>
    <row r="12" spans="1:17">
      <c r="A12" s="265" t="s">
        <v>735</v>
      </c>
      <c r="C12" s="756">
        <f>AVERAGE(E12:K12)</f>
        <v>0.14273799881718291</v>
      </c>
      <c r="E12" s="296">
        <f>'IS Historical'!E16/'IS Historical'!E10</f>
        <v>0.11375980145870361</v>
      </c>
      <c r="F12" s="296">
        <f>'IS Historical'!F16/'IS Historical'!F10</f>
        <v>0.12151410250764433</v>
      </c>
      <c r="G12" s="296">
        <f>'IS Historical'!G16/'IS Historical'!G10</f>
        <v>0.1464043081371246</v>
      </c>
      <c r="H12" s="296">
        <f>'IS Historical'!H16/'IS Historical'!H10</f>
        <v>0.16445348007877447</v>
      </c>
      <c r="I12" s="296">
        <f>'IS Historical'!I16/'IS Historical'!I10</f>
        <v>0.16628194859683254</v>
      </c>
      <c r="J12" s="296">
        <f>'IS Historical'!J16/'IS Historical'!J10</f>
        <v>0.15648426247060576</v>
      </c>
      <c r="K12" s="296">
        <f>'IS Historical'!K16/'IS Historical'!K10</f>
        <v>0.13026808847059512</v>
      </c>
      <c r="L12" s="296"/>
      <c r="M12" s="296"/>
      <c r="N12" s="296"/>
      <c r="O12" s="296"/>
      <c r="P12" s="296"/>
      <c r="Q12" s="296"/>
    </row>
    <row r="13" spans="1:17">
      <c r="A13" s="265" t="s">
        <v>736</v>
      </c>
      <c r="B13" s="323"/>
      <c r="C13" s="756">
        <f t="shared" ref="C13:C20" si="1">AVERAGE(E13:K13)</f>
        <v>0.12494690055909889</v>
      </c>
      <c r="D13" s="323"/>
      <c r="E13" s="324" t="s">
        <v>269</v>
      </c>
      <c r="F13" s="324" t="s">
        <v>269</v>
      </c>
      <c r="G13" s="324">
        <f>'IS Historical'!G18/'BS Historical Updated'!F17</f>
        <v>0.13323620913818723</v>
      </c>
      <c r="H13" s="324">
        <f>'IS Historical'!H18/'BS Historical Updated'!G17</f>
        <v>0.10349363893538406</v>
      </c>
      <c r="I13" s="324">
        <f>'IS Historical'!I18/'BS Historical Updated'!H17</f>
        <v>0.13474946546434879</v>
      </c>
      <c r="J13" s="324">
        <f>'IS Historical'!J18/'BS Historical Updated'!I17</f>
        <v>9.181998995638517E-2</v>
      </c>
      <c r="K13" s="324">
        <f>'IS Historical'!K18/'BS Historical Updated'!J17</f>
        <v>0.16143519930118916</v>
      </c>
      <c r="L13" s="296"/>
      <c r="M13" s="296"/>
      <c r="N13" s="296"/>
      <c r="O13" s="296"/>
      <c r="P13" s="296"/>
      <c r="Q13" s="296"/>
    </row>
    <row r="14" spans="1:17">
      <c r="A14" s="265"/>
      <c r="C14" s="756"/>
    </row>
    <row r="15" spans="1:17">
      <c r="A15" s="265" t="s">
        <v>716</v>
      </c>
      <c r="C15" s="756">
        <f t="shared" si="1"/>
        <v>0.49598655891705939</v>
      </c>
      <c r="E15" s="270">
        <f>'IS Historical'!E24/'IS Historical'!E10</f>
        <v>0.47280434005524807</v>
      </c>
      <c r="F15" s="270">
        <f>'IS Historical'!F24/'IS Historical'!F10</f>
        <v>0.46111303641895296</v>
      </c>
      <c r="G15" s="270">
        <f>'IS Historical'!G24/'IS Historical'!G10</f>
        <v>0.49861820797307921</v>
      </c>
      <c r="H15" s="270">
        <f>'IS Historical'!H24/'IS Historical'!H10</f>
        <v>0.52901492001888739</v>
      </c>
      <c r="I15" s="270">
        <f>'IS Historical'!I24/'IS Historical'!I10</f>
        <v>0.50110344988979261</v>
      </c>
      <c r="J15" s="270">
        <f>'IS Historical'!J24/'IS Historical'!J10</f>
        <v>0.51182289661350511</v>
      </c>
      <c r="K15" s="270">
        <f>'IS Historical'!K24/'IS Historical'!K10</f>
        <v>0.4974290614499503</v>
      </c>
      <c r="L15" s="270"/>
      <c r="M15" s="270"/>
      <c r="N15" s="270"/>
      <c r="O15" s="270"/>
      <c r="P15" s="270"/>
      <c r="Q15" s="270"/>
    </row>
    <row r="16" spans="1:17">
      <c r="A16" s="265" t="s">
        <v>31</v>
      </c>
      <c r="C16" s="756">
        <f t="shared" si="1"/>
        <v>0.20540855458032237</v>
      </c>
      <c r="E16" s="270">
        <f>'IS Historical'!E25/'IS Historical'!E10</f>
        <v>0.18565729943444723</v>
      </c>
      <c r="F16" s="270">
        <f>'IS Historical'!F25/'IS Historical'!F10</f>
        <v>0.17849949165490739</v>
      </c>
      <c r="G16" s="270">
        <f>'IS Historical'!G25/'IS Historical'!G10</f>
        <v>0.20253831591911473</v>
      </c>
      <c r="H16" s="270">
        <f>'IS Historical'!H25/'IS Historical'!H10</f>
        <v>0.21780421071750589</v>
      </c>
      <c r="I16" s="270">
        <f>'IS Historical'!I25/'IS Historical'!I10</f>
        <v>0.20132528702430572</v>
      </c>
      <c r="J16" s="270">
        <f>'IS Historical'!J25/'IS Historical'!J10</f>
        <v>0.21753957199810406</v>
      </c>
      <c r="K16" s="270">
        <f>'IS Historical'!K25/'IS Historical'!K10</f>
        <v>0.23449570531387148</v>
      </c>
      <c r="L16" s="270"/>
      <c r="M16" s="270"/>
      <c r="N16" s="270"/>
      <c r="O16" s="270"/>
      <c r="P16" s="270"/>
      <c r="Q16" s="270"/>
    </row>
    <row r="17" spans="1:17">
      <c r="A17" s="265" t="s">
        <v>32</v>
      </c>
      <c r="C17" s="756">
        <f t="shared" si="1"/>
        <v>0.14833861317887537</v>
      </c>
      <c r="E17" s="270">
        <f>'IS Historical'!E26/'IS Historical'!E10</f>
        <v>0.16628267230340241</v>
      </c>
      <c r="F17" s="270">
        <f>'IS Historical'!F26/'IS Historical'!F10</f>
        <v>0.15089616165948347</v>
      </c>
      <c r="G17" s="270">
        <f>'IS Historical'!G26/'IS Historical'!G10</f>
        <v>0.17067182992362862</v>
      </c>
      <c r="H17" s="270">
        <f>'IS Historical'!H26/'IS Historical'!H10</f>
        <v>0.17154810650115837</v>
      </c>
      <c r="I17" s="270">
        <f>'IS Historical'!I26/'IS Historical'!I10</f>
        <v>0.14008548151781661</v>
      </c>
      <c r="J17" s="270">
        <f>'IS Historical'!J26/'IS Historical'!J10</f>
        <v>0.12405758130302663</v>
      </c>
      <c r="K17" s="270">
        <f>'IS Historical'!K26/'IS Historical'!K10</f>
        <v>0.11482845904361147</v>
      </c>
    </row>
    <row r="18" spans="1:17">
      <c r="A18" s="265"/>
      <c r="C18" s="756"/>
    </row>
    <row r="19" spans="1:17">
      <c r="A19" s="265" t="s">
        <v>737</v>
      </c>
      <c r="C19" s="756">
        <f t="shared" si="1"/>
        <v>2.5663334877886624E-2</v>
      </c>
      <c r="E19" s="270">
        <f>'IS Historical'!E31/('BS Historical Updated'!D7+'BS Historical Updated'!D8)</f>
        <v>1.2894467220243027E-2</v>
      </c>
      <c r="F19" s="270">
        <f>'IS Historical'!F31/('BS Historical Updated'!E7+'BS Historical Updated'!E8)</f>
        <v>5.8219745047182825E-3</v>
      </c>
      <c r="G19" s="270">
        <f>'IS Historical'!G31/('BS Historical Updated'!F7+'BS Historical Updated'!F8)</f>
        <v>1.5748420187321869E-3</v>
      </c>
      <c r="H19" s="270">
        <f>'IS Historical'!H31/('BS Historical Updated'!G7+'BS Historical Updated'!G8)</f>
        <v>2.3541217959338237E-2</v>
      </c>
      <c r="I19" s="270">
        <f>'IS Historical'!I31/('BS Historical Updated'!H7+'BS Historical Updated'!H8)</f>
        <v>4.1328349230387071E-2</v>
      </c>
      <c r="J19" s="270">
        <f>'IS Historical'!J31/('BS Historical Updated'!I7+'BS Historical Updated'!I8)</f>
        <v>3.8242618164188183E-2</v>
      </c>
      <c r="K19" s="270">
        <f>'IS Historical'!K31/('BS Historical Updated'!J7+'BS Historical Updated'!J8)</f>
        <v>5.6239875047599377E-2</v>
      </c>
      <c r="L19" s="270"/>
      <c r="M19" s="270"/>
      <c r="N19" s="270"/>
      <c r="O19" s="270"/>
      <c r="P19" s="270"/>
      <c r="Q19" s="270"/>
    </row>
    <row r="20" spans="1:17">
      <c r="A20" s="265" t="s">
        <v>738</v>
      </c>
      <c r="C20" s="756">
        <f t="shared" si="1"/>
        <v>-6.0121917756676682E-3</v>
      </c>
      <c r="E20" s="270" t="s">
        <v>269</v>
      </c>
      <c r="F20" s="270" t="s">
        <v>269</v>
      </c>
      <c r="G20" s="270" t="s">
        <v>269</v>
      </c>
      <c r="H20" s="270" t="s">
        <v>269</v>
      </c>
      <c r="I20" s="270">
        <f>'IS Intergrated'!I33/'IS Intergrated'!I10</f>
        <v>-7.0930984079073042E-3</v>
      </c>
      <c r="J20" s="270">
        <f>'IS Intergrated'!J33/'IS Intergrated'!J10</f>
        <v>-9.6402817553876054E-3</v>
      </c>
      <c r="K20" s="270">
        <f>'IS Intergrated'!K33/'IS Intergrated'!K10</f>
        <v>-1.3031951637080916E-3</v>
      </c>
      <c r="L20" s="296"/>
      <c r="M20" s="296"/>
      <c r="N20" s="296"/>
      <c r="O20" s="296"/>
      <c r="P20" s="296"/>
      <c r="Q20" s="296"/>
    </row>
    <row r="21" spans="1:17">
      <c r="A21" s="265"/>
      <c r="C21" s="756"/>
      <c r="E21" s="385"/>
      <c r="F21" s="385"/>
      <c r="G21" s="385"/>
      <c r="H21" s="385"/>
      <c r="I21" s="385"/>
      <c r="J21" s="385"/>
      <c r="K21" s="270"/>
      <c r="L21" s="270"/>
      <c r="M21" s="270"/>
      <c r="N21" s="270"/>
      <c r="O21" s="270"/>
      <c r="P21" s="270"/>
      <c r="Q21" s="270"/>
    </row>
    <row r="22" spans="1:17">
      <c r="A22" s="265"/>
    </row>
    <row r="23" spans="1:17">
      <c r="A23" s="265"/>
    </row>
    <row r="24" spans="1:17">
      <c r="A24" s="265"/>
    </row>
    <row r="25" spans="1:17">
      <c r="A25" s="265"/>
    </row>
    <row r="26" spans="1:17">
      <c r="A26" s="265"/>
    </row>
    <row r="27" spans="1:17">
      <c r="A27" s="265"/>
    </row>
    <row r="28" spans="1:17">
      <c r="A28" s="265"/>
    </row>
    <row r="29" spans="1:17">
      <c r="A29" s="265"/>
    </row>
    <row r="30" spans="1:17">
      <c r="A30" s="265"/>
    </row>
    <row r="31" spans="1:17">
      <c r="A31" s="265"/>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6F0D7-333B-4EA9-97E9-60EFAC5D8C6B}">
  <sheetPr codeName="Sheet23">
    <tabColor rgb="FF00B050"/>
  </sheetPr>
  <dimension ref="A1:Q30"/>
  <sheetViews>
    <sheetView showGridLines="0" topLeftCell="A5" zoomScale="148" workbookViewId="0">
      <selection activeCell="E26" sqref="E26"/>
    </sheetView>
  </sheetViews>
  <sheetFormatPr defaultColWidth="8.7265625" defaultRowHeight="12"/>
  <cols>
    <col min="1" max="1" width="19.453125" style="230" bestFit="1" customWidth="1"/>
    <col min="2" max="16384" width="8.7265625" style="230"/>
  </cols>
  <sheetData>
    <row r="1" spans="1:17">
      <c r="E1" s="317">
        <v>43983</v>
      </c>
      <c r="F1" s="312">
        <v>44377</v>
      </c>
      <c r="G1" s="312">
        <f>EDATE(F1,12)</f>
        <v>44742</v>
      </c>
      <c r="H1" s="312">
        <f t="shared" ref="H1:Q1" si="0">EDATE(G1,12)</f>
        <v>45107</v>
      </c>
      <c r="I1" s="312">
        <f t="shared" si="0"/>
        <v>45473</v>
      </c>
      <c r="J1" s="312">
        <f t="shared" si="0"/>
        <v>45838</v>
      </c>
      <c r="K1" s="312">
        <f t="shared" si="0"/>
        <v>46203</v>
      </c>
      <c r="L1" s="312">
        <f t="shared" si="0"/>
        <v>46568</v>
      </c>
      <c r="M1" s="312">
        <f t="shared" si="0"/>
        <v>46934</v>
      </c>
      <c r="N1" s="312">
        <f t="shared" si="0"/>
        <v>47299</v>
      </c>
      <c r="O1" s="312">
        <f t="shared" si="0"/>
        <v>47664</v>
      </c>
      <c r="P1" s="312">
        <f t="shared" si="0"/>
        <v>48029</v>
      </c>
      <c r="Q1" s="312">
        <f t="shared" si="0"/>
        <v>48395</v>
      </c>
    </row>
    <row r="2" spans="1:17">
      <c r="E2" s="313" t="s">
        <v>16</v>
      </c>
      <c r="F2" s="313" t="s">
        <v>16</v>
      </c>
      <c r="G2" s="313" t="s">
        <v>16</v>
      </c>
      <c r="H2" s="313" t="s">
        <v>16</v>
      </c>
      <c r="I2" s="313" t="s">
        <v>16</v>
      </c>
      <c r="J2" s="313" t="s">
        <v>16</v>
      </c>
      <c r="K2" s="313" t="s">
        <v>16</v>
      </c>
      <c r="L2" s="318" t="s">
        <v>17</v>
      </c>
      <c r="M2" s="318" t="s">
        <v>17</v>
      </c>
      <c r="N2" s="318" t="s">
        <v>17</v>
      </c>
      <c r="O2" s="318" t="s">
        <v>17</v>
      </c>
      <c r="P2" s="318" t="s">
        <v>17</v>
      </c>
      <c r="Q2" s="318" t="s">
        <v>17</v>
      </c>
    </row>
    <row r="3" spans="1:17" ht="24">
      <c r="C3" s="319" t="s">
        <v>733</v>
      </c>
    </row>
    <row r="4" spans="1:17">
      <c r="A4" s="315"/>
      <c r="B4" s="315"/>
      <c r="C4" s="315"/>
      <c r="D4" s="315"/>
      <c r="E4" s="316"/>
      <c r="F4" s="316"/>
      <c r="G4" s="316"/>
      <c r="H4" s="316"/>
      <c r="I4" s="316"/>
      <c r="J4" s="316"/>
      <c r="K4" s="316"/>
      <c r="L4" s="316"/>
      <c r="M4" s="316"/>
      <c r="N4" s="316"/>
      <c r="O4" s="320"/>
      <c r="P4" s="320"/>
      <c r="Q4" s="320"/>
    </row>
    <row r="5" spans="1:17">
      <c r="A5" s="265"/>
    </row>
    <row r="6" spans="1:17">
      <c r="A6" s="230" t="s">
        <v>585</v>
      </c>
      <c r="C6" s="270">
        <f>AVERAGE(E6:K6)</f>
        <v>0.11513921236957413</v>
      </c>
      <c r="E6" s="270">
        <f>'BS Historical Updated'!D9/'IS Intergrated'!E10</f>
        <v>6.9397146402523147E-2</v>
      </c>
      <c r="F6" s="270">
        <f>'BS Historical Updated'!E9/'IS Intergrated'!F10</f>
        <v>8.3035921138539831E-2</v>
      </c>
      <c r="G6" s="270">
        <f>'BS Historical Updated'!F9/'IS Intergrated'!G10</f>
        <v>0.10993220549420206</v>
      </c>
      <c r="H6" s="270">
        <f>'BS Historical Updated'!G9/'IS Intergrated'!H10</f>
        <v>0.13514164214983845</v>
      </c>
      <c r="I6" s="270">
        <f>'BS Historical Updated'!H9/'IS Intergrated'!I10</f>
        <v>0.14409410538193085</v>
      </c>
      <c r="J6" s="270">
        <f>'BS Historical Updated'!I9/'IS Intergrated'!J10</f>
        <v>0.1492342536504104</v>
      </c>
      <c r="K6" s="270" t="s">
        <v>269</v>
      </c>
    </row>
    <row r="7" spans="1:17">
      <c r="A7" s="453" t="s">
        <v>739</v>
      </c>
      <c r="C7" s="270">
        <f>AVERAGE(E7:K7)</f>
        <v>4.3601357418514043E-2</v>
      </c>
      <c r="E7" s="270">
        <f>'BS Historical Updated'!D12/'IS Historical'!E23</f>
        <v>3.5101556396851141E-2</v>
      </c>
      <c r="F7" s="270">
        <f>'BS Historical Updated'!E12/'IS Historical'!F23</f>
        <v>5.5705892361807036E-2</v>
      </c>
      <c r="G7" s="270">
        <f>'BS Historical Updated'!F12/'IS Historical'!G23</f>
        <v>4.8428732313212465E-2</v>
      </c>
      <c r="H7" s="270">
        <f>'BS Historical Updated'!G12/'IS Historical'!H23</f>
        <v>4.5018890337462994E-2</v>
      </c>
      <c r="I7" s="270">
        <f>'BS Historical Updated'!H12/'IS Historical'!I23</f>
        <v>2.9767563453366324E-2</v>
      </c>
      <c r="J7" s="270">
        <f>'BS Historical Updated'!I12/'IS Historical'!J23</f>
        <v>3.9496545038077049E-2</v>
      </c>
      <c r="K7" s="270">
        <f>'BS Historical Updated'!J12/'IS Historical'!K23</f>
        <v>5.1690322028821283E-2</v>
      </c>
    </row>
    <row r="8" spans="1:17">
      <c r="A8" s="657" t="s">
        <v>740</v>
      </c>
      <c r="C8" s="270"/>
      <c r="E8" s="270"/>
      <c r="F8" s="270"/>
      <c r="G8" s="270"/>
      <c r="H8" s="270"/>
      <c r="I8" s="270"/>
      <c r="J8" s="270"/>
      <c r="K8" s="270"/>
    </row>
    <row r="9" spans="1:17">
      <c r="A9" s="218" t="s">
        <v>592</v>
      </c>
      <c r="C9" s="270">
        <f t="shared" ref="C9:C20" si="1">AVERAGE(E9:K9)</f>
        <v>3.5409072686342349E-3</v>
      </c>
      <c r="E9" s="270">
        <f>'BS Historical Updated'!D18/'IS Intergrated'!E10</f>
        <v>5.9795325532021656E-3</v>
      </c>
      <c r="F9" s="270">
        <f>'BS Historical Updated'!E18/'IS Intergrated'!F10</f>
        <v>4.9925040638887346E-3</v>
      </c>
      <c r="G9" s="270">
        <f>'BS Historical Updated'!F18/'IS Intergrated'!G10</f>
        <v>3.2609292863559729E-3</v>
      </c>
      <c r="H9" s="270">
        <f>'BS Historical Updated'!G18/'IS Intergrated'!H10</f>
        <v>2.6305314222325456E-3</v>
      </c>
      <c r="I9" s="270">
        <f>'BS Historical Updated'!H18/'IS Intergrated'!I10</f>
        <v>2.5696306821245247E-3</v>
      </c>
      <c r="J9" s="270">
        <f>'BS Historical Updated'!I18/'IS Intergrated'!J10</f>
        <v>2.8776845990185805E-3</v>
      </c>
      <c r="K9" s="270">
        <f>'BS Historical Updated'!J18/'IS Intergrated'!K10</f>
        <v>2.4755382736171218E-3</v>
      </c>
    </row>
    <row r="10" spans="1:17">
      <c r="A10" s="218" t="s">
        <v>593</v>
      </c>
      <c r="C10" s="270">
        <f t="shared" si="1"/>
        <v>8.3883747246029684E-3</v>
      </c>
      <c r="E10" s="270">
        <f>'BS Historical Updated'!D19/'IS Intergrated'!E10</f>
        <v>7.4744156915027074E-3</v>
      </c>
      <c r="F10" s="270">
        <f>'BS Historical Updated'!E19/'IS Intergrated'!F10</f>
        <v>4.5650538118223267E-3</v>
      </c>
      <c r="G10" s="270">
        <f>'BS Historical Updated'!F19/'IS Intergrated'!G10</f>
        <v>6.5375567005674885E-3</v>
      </c>
      <c r="H10" s="270">
        <f>'BS Historical Updated'!G19/'IS Intergrated'!H10</f>
        <v>8.4311106597066126E-3</v>
      </c>
      <c r="I10" s="270">
        <f>'BS Historical Updated'!H19/'IS Intergrated'!I10</f>
        <v>9.3663038363438929E-3</v>
      </c>
      <c r="J10" s="270">
        <f>'BS Historical Updated'!I19/'IS Intergrated'!J10</f>
        <v>1.1228300402047512E-2</v>
      </c>
      <c r="K10" s="270">
        <f>'BS Historical Updated'!J19/'IS Intergrated'!K10</f>
        <v>1.1115881970230244E-2</v>
      </c>
    </row>
    <row r="11" spans="1:17">
      <c r="A11" s="218" t="s">
        <v>594</v>
      </c>
      <c r="C11" s="270">
        <f t="shared" si="1"/>
        <v>7.5939514351897486E-3</v>
      </c>
      <c r="E11" s="270">
        <f>'BS Historical Updated'!D20/'IS Intergrated'!E10</f>
        <v>1.2196338310701518E-2</v>
      </c>
      <c r="F11" s="270">
        <f>'BS Historical Updated'!E20/'IS Intergrated'!F10</f>
        <v>1.0142011131895926E-2</v>
      </c>
      <c r="G11" s="270">
        <f>'BS Historical Updated'!F20/'IS Intergrated'!G10</f>
        <v>8.9754046014066963E-3</v>
      </c>
      <c r="H11" s="270">
        <f>'BS Historical Updated'!G20/'IS Intergrated'!H10</f>
        <v>7.0086206628271509E-3</v>
      </c>
      <c r="I11" s="270">
        <f>'BS Historical Updated'!H20/'IS Intergrated'!I10</f>
        <v>5.7752449580748691E-3</v>
      </c>
      <c r="J11" s="270">
        <f>'BS Historical Updated'!I20/'IS Intergrated'!J10</f>
        <v>4.8351927327726241E-3</v>
      </c>
      <c r="K11" s="270">
        <f>'BS Historical Updated'!J20/'IS Intergrated'!K10</f>
        <v>4.2248476486494548E-3</v>
      </c>
    </row>
    <row r="12" spans="1:17">
      <c r="A12" s="218" t="s">
        <v>595</v>
      </c>
      <c r="C12" s="270">
        <f t="shared" si="1"/>
        <v>3.8989310908900419E-2</v>
      </c>
      <c r="E12" s="270">
        <f>'BS Historical Updated'!D21/'IS Intergrated'!E10</f>
        <v>6.3871716352584262E-2</v>
      </c>
      <c r="F12" s="270">
        <f>'BS Historical Updated'!E21/'IS Intergrated'!F10</f>
        <v>5.1215528745909782E-2</v>
      </c>
      <c r="G12" s="270">
        <f>'BS Historical Updated'!F21/'IS Intergrated'!G10</f>
        <v>4.2694269683846847E-2</v>
      </c>
      <c r="H12" s="270">
        <f>'BS Historical Updated'!G21/'IS Intergrated'!H10</f>
        <v>3.4833747188898923E-2</v>
      </c>
      <c r="I12" s="270">
        <f>'BS Historical Updated'!H21/'IS Intergrated'!I10</f>
        <v>3.1648672751337981E-2</v>
      </c>
      <c r="J12" s="270">
        <f>'BS Historical Updated'!I21/'IS Intergrated'!J10</f>
        <v>2.955014702882133E-2</v>
      </c>
      <c r="K12" s="270">
        <f>'BS Historical Updated'!J21/'IS Intergrated'!K10</f>
        <v>1.9111094610903809E-2</v>
      </c>
    </row>
    <row r="13" spans="1:17">
      <c r="A13" s="537" t="s">
        <v>603</v>
      </c>
      <c r="C13" s="270">
        <f t="shared" si="1"/>
        <v>2.7824149531039549E-2</v>
      </c>
      <c r="E13" s="270">
        <f>'BS Historical Updated'!D34/'IS Historical'!E10</f>
        <v>7.7299025569130445E-2</v>
      </c>
      <c r="F13" s="270">
        <f>'BS Historical Updated'!E34/'IS Historical'!F10</f>
        <v>1.8015137387201959E-2</v>
      </c>
      <c r="G13" s="270">
        <f>'BS Historical Updated'!F34/'IS Historical'!G10</f>
        <v>2.1670551953310916E-2</v>
      </c>
      <c r="H13" s="270">
        <f>'BS Historical Updated'!G34/'IS Historical'!H10</f>
        <v>2.0667410352434065E-2</v>
      </c>
      <c r="I13" s="270">
        <f>'BS Historical Updated'!H34/'IS Historical'!I10</f>
        <v>1.4251814170733146E-2</v>
      </c>
      <c r="J13" s="270">
        <f>'BS Historical Updated'!I34/'IS Historical'!J10</f>
        <v>1.9461761001851471E-2</v>
      </c>
      <c r="K13" s="270">
        <f>'BS Historical Updated'!J34/'IS Historical'!K10</f>
        <v>2.3403346282614874E-2</v>
      </c>
    </row>
    <row r="14" spans="1:17">
      <c r="A14" s="453"/>
      <c r="C14" s="270"/>
    </row>
    <row r="15" spans="1:17">
      <c r="A15" s="537" t="s">
        <v>609</v>
      </c>
      <c r="C15" s="270">
        <f t="shared" si="1"/>
        <v>8.0837361322670248E-2</v>
      </c>
      <c r="E15" s="270">
        <f>'BS Historical Updated'!D43/'IS Historical'!E10</f>
        <v>0.12549460311874874</v>
      </c>
      <c r="F15" s="270">
        <f>'BS Historical Updated'!E43/'IS Historical'!F10</f>
        <v>0.12756350484315976</v>
      </c>
      <c r="G15" s="270">
        <f>'BS Historical Updated'!F43/'IS Historical'!G10</f>
        <v>0.14446130803936807</v>
      </c>
      <c r="H15" s="270">
        <f>'BS Historical Updated'!G43/'IS Historical'!H10</f>
        <v>4.5066169266690569E-2</v>
      </c>
      <c r="I15" s="270">
        <f>'BS Historical Updated'!H43/'IS Historical'!I10</f>
        <v>4.0734382094446311E-2</v>
      </c>
      <c r="J15" s="270">
        <f>'BS Historical Updated'!I43/'IS Historical'!J10</f>
        <v>4.2584670040327469E-2</v>
      </c>
      <c r="K15" s="270">
        <f>'BS Historical Updated'!J43/'IS Historical'!K10</f>
        <v>3.9956891855950756E-2</v>
      </c>
    </row>
    <row r="16" spans="1:17">
      <c r="A16" s="537" t="s">
        <v>639</v>
      </c>
      <c r="C16" s="270">
        <f t="shared" si="1"/>
        <v>0.39023007496672185</v>
      </c>
      <c r="E16" s="270">
        <f>'BS Historical Updated'!D46/'IS Historical'!E10</f>
        <v>0.35548420150752119</v>
      </c>
      <c r="F16" s="270">
        <f>'BS Historical Updated'!E46/'IS Historical'!F10</f>
        <v>0.38912955236911789</v>
      </c>
      <c r="G16" s="270">
        <f>'BS Historical Updated'!F46/'IS Historical'!G10</f>
        <v>0.38034387462618835</v>
      </c>
      <c r="H16" s="270">
        <f>'BS Historical Updated'!G46/'IS Historical'!H10</f>
        <v>0.38553666037938161</v>
      </c>
      <c r="I16" s="270">
        <f>'BS Historical Updated'!H46/'IS Historical'!I10</f>
        <v>0.41441466451521281</v>
      </c>
      <c r="J16" s="270">
        <f>'BS Historical Updated'!I46/'IS Historical'!J10</f>
        <v>0.42701288362097395</v>
      </c>
      <c r="K16" s="270">
        <f>'BS Historical Updated'!J46/'IS Historical'!K10</f>
        <v>0.37968868774865694</v>
      </c>
    </row>
    <row r="17" spans="1:11">
      <c r="A17" s="537" t="s">
        <v>741</v>
      </c>
      <c r="C17" s="270">
        <f t="shared" si="1"/>
        <v>0.11752678589964463</v>
      </c>
      <c r="E17" s="270" t="s">
        <v>269</v>
      </c>
      <c r="F17" s="270" t="s">
        <v>269</v>
      </c>
      <c r="G17" s="270">
        <f>'BS Historical Updated'!F48/'IS Historical'!G23</f>
        <v>9.5300765418033489E-3</v>
      </c>
      <c r="H17" s="270">
        <f>'BS Historical Updated'!G48/'IS Historical'!H23</f>
        <v>0.13035041391156904</v>
      </c>
      <c r="I17" s="270">
        <f>'BS Historical Updated'!H48/'IS Historical'!I23</f>
        <v>0.15722492194701523</v>
      </c>
      <c r="J17" s="270">
        <f>'BS Historical Updated'!I48/'IS Historical'!J23</f>
        <v>0.15314035874086834</v>
      </c>
      <c r="K17" s="270">
        <f>'BS Historical Updated'!J48/'IS Historical'!K23</f>
        <v>0.13738815835696713</v>
      </c>
    </row>
    <row r="18" spans="1:11">
      <c r="A18" s="453"/>
      <c r="C18" s="270"/>
    </row>
    <row r="19" spans="1:11">
      <c r="A19" s="537" t="s">
        <v>616</v>
      </c>
      <c r="C19" s="270">
        <f t="shared" si="1"/>
        <v>4.2213450939984638E-2</v>
      </c>
      <c r="E19" s="270">
        <f>'BS Historical Updated'!D52/'IS Historical'!E10</f>
        <v>1.6845777992817376E-2</v>
      </c>
      <c r="F19" s="270">
        <f>'BS Historical Updated'!E52/'IS Historical'!F10</f>
        <v>4.0520177758035396E-2</v>
      </c>
      <c r="G19" s="270">
        <f>'BS Historical Updated'!F52/'IS Historical'!G10</f>
        <v>4.1607531105483576E-2</v>
      </c>
      <c r="H19" s="270">
        <f>'BS Historical Updated'!G52/'IS Historical'!H10</f>
        <v>5.1700495127236186E-2</v>
      </c>
      <c r="I19" s="270">
        <f>'BS Historical Updated'!H52/'IS Historical'!I10</f>
        <v>7.0771988180616585E-2</v>
      </c>
      <c r="J19" s="270">
        <f>'BS Historical Updated'!I52/'IS Historical'!J10</f>
        <v>4.8751137038224424E-2</v>
      </c>
      <c r="K19" s="270">
        <f>'BS Historical Updated'!J52/'IS Historical'!K10</f>
        <v>2.529704937747896E-2</v>
      </c>
    </row>
    <row r="20" spans="1:11">
      <c r="A20" s="537" t="s">
        <v>742</v>
      </c>
      <c r="C20" s="270">
        <f t="shared" si="1"/>
        <v>7.4265950703917205E-3</v>
      </c>
      <c r="E20" s="270">
        <f>'BS Historical Updated'!D57/'IS Historical'!E23</f>
        <v>1.6322636860765577E-3</v>
      </c>
      <c r="F20" s="270">
        <f>'BS Historical Updated'!E57/'IS Historical'!F23</f>
        <v>1.5767703697962491E-3</v>
      </c>
      <c r="G20" s="270">
        <f>'BS Historical Updated'!F57/'IS Historical'!G23</f>
        <v>3.3229226004570246E-4</v>
      </c>
      <c r="H20" s="270">
        <f>'BS Historical Updated'!G57/'IS Historical'!H23</f>
        <v>9.6044365799740229E-3</v>
      </c>
      <c r="I20" s="270">
        <f>'BS Historical Updated'!H57/'IS Historical'!I23</f>
        <v>1.0870095052400684E-2</v>
      </c>
      <c r="J20" s="270">
        <f>'BS Historical Updated'!I57/'IS Historical'!J23</f>
        <v>1.0819743217299187E-2</v>
      </c>
      <c r="K20" s="270">
        <f>'BS Historical Updated'!J57/'IS Historical'!K23</f>
        <v>1.7150564327149641E-2</v>
      </c>
    </row>
    <row r="21" spans="1:11">
      <c r="C21" s="270"/>
    </row>
    <row r="22" spans="1:11">
      <c r="A22" s="230" t="s">
        <v>743</v>
      </c>
      <c r="C22" s="270">
        <f>AVERAGE(F22:K22)</f>
        <v>5.387488722058812E-2</v>
      </c>
      <c r="E22" s="270"/>
      <c r="F22" s="270">
        <f>('BS Historical Updated'!E31-'BS Historical Updated'!D31)/'IS Historical'!F10</f>
        <v>3.858923227445659E-2</v>
      </c>
      <c r="G22" s="270">
        <f>('BS Historical Updated'!F31-'BS Historical Updated'!E31)/'IS Historical'!G10</f>
        <v>2.4646060733202525E-3</v>
      </c>
      <c r="H22" s="270">
        <f>('BS Historical Updated'!G31-'BS Historical Updated'!F31)/'IS Historical'!H10</f>
        <v>-1.5404650025872598E-3</v>
      </c>
      <c r="I22" s="270">
        <f>('BS Historical Updated'!H31-'BS Historical Updated'!G31)/'IS Historical'!I10</f>
        <v>0.12883371116846384</v>
      </c>
      <c r="J22" s="270">
        <f>('BS Historical Updated'!I31-'BS Historical Updated'!H31)/'IS Historical'!J10</f>
        <v>3.0082618386195418E-3</v>
      </c>
      <c r="K22" s="270">
        <f>('BS Historical Updated'!J31-'BS Historical Updated'!I31)/'IS Historical'!K10</f>
        <v>0.15189397697125578</v>
      </c>
    </row>
    <row r="23" spans="1:11">
      <c r="C23" s="270"/>
    </row>
    <row r="24" spans="1:11">
      <c r="C24" s="270"/>
    </row>
    <row r="25" spans="1:11">
      <c r="C25" s="270"/>
    </row>
    <row r="26" spans="1:11">
      <c r="C26" s="270"/>
    </row>
    <row r="27" spans="1:11">
      <c r="C27" s="270"/>
    </row>
    <row r="28" spans="1:11">
      <c r="C28" s="270"/>
    </row>
    <row r="29" spans="1:11">
      <c r="C29" s="270"/>
    </row>
    <row r="30" spans="1:11">
      <c r="C30" s="270"/>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9292D-F3D1-4A13-93BD-6FA6C0EB39C6}">
  <sheetPr codeName="Sheet24">
    <tabColor rgb="FF00B050"/>
  </sheetPr>
  <dimension ref="A1:Q22"/>
  <sheetViews>
    <sheetView showGridLines="0" topLeftCell="A2" zoomScale="122" workbookViewId="0">
      <selection activeCell="K10" sqref="K10"/>
    </sheetView>
  </sheetViews>
  <sheetFormatPr defaultColWidth="8.7265625" defaultRowHeight="12"/>
  <cols>
    <col min="1" max="1" width="18.81640625" style="230" bestFit="1" customWidth="1"/>
    <col min="2" max="2" width="8.7265625" style="230"/>
    <col min="3" max="3" width="14.1796875" style="230" customWidth="1"/>
    <col min="4" max="16384" width="8.7265625" style="230"/>
  </cols>
  <sheetData>
    <row r="1" spans="1:17">
      <c r="A1" s="265" t="s">
        <v>744</v>
      </c>
    </row>
    <row r="2" spans="1:17">
      <c r="A2" s="265" t="s">
        <v>89</v>
      </c>
    </row>
    <row r="4" spans="1:17">
      <c r="E4" s="230">
        <v>0</v>
      </c>
      <c r="F4" s="230">
        <v>1</v>
      </c>
      <c r="G4" s="230">
        <v>2</v>
      </c>
      <c r="H4" s="230">
        <v>3</v>
      </c>
      <c r="I4" s="230">
        <v>4</v>
      </c>
      <c r="J4" s="230">
        <v>5</v>
      </c>
      <c r="K4" s="230">
        <v>6</v>
      </c>
    </row>
    <row r="5" spans="1:17">
      <c r="E5" s="317">
        <v>43983</v>
      </c>
      <c r="F5" s="312">
        <v>44377</v>
      </c>
      <c r="G5" s="312">
        <f>EDATE(F5,12)</f>
        <v>44742</v>
      </c>
      <c r="H5" s="312">
        <f t="shared" ref="H5:O5" si="0">EDATE(G5,12)</f>
        <v>45107</v>
      </c>
      <c r="I5" s="312">
        <f t="shared" si="0"/>
        <v>45473</v>
      </c>
      <c r="J5" s="312">
        <f t="shared" si="0"/>
        <v>45838</v>
      </c>
      <c r="K5" s="312">
        <f t="shared" si="0"/>
        <v>46203</v>
      </c>
      <c r="L5" s="312">
        <f t="shared" si="0"/>
        <v>46568</v>
      </c>
      <c r="M5" s="312">
        <f t="shared" si="0"/>
        <v>46934</v>
      </c>
      <c r="N5" s="312">
        <f t="shared" si="0"/>
        <v>47299</v>
      </c>
      <c r="O5" s="312">
        <f t="shared" si="0"/>
        <v>47664</v>
      </c>
      <c r="P5" s="312">
        <f t="shared" ref="P5" si="1">EDATE(O5,12)</f>
        <v>48029</v>
      </c>
      <c r="Q5" s="312">
        <f t="shared" ref="Q5" si="2">EDATE(P5,12)</f>
        <v>48395</v>
      </c>
    </row>
    <row r="6" spans="1:17">
      <c r="E6" s="313" t="s">
        <v>16</v>
      </c>
      <c r="F6" s="313" t="s">
        <v>16</v>
      </c>
      <c r="G6" s="313" t="s">
        <v>16</v>
      </c>
      <c r="H6" s="313" t="s">
        <v>16</v>
      </c>
      <c r="I6" s="313" t="s">
        <v>16</v>
      </c>
      <c r="J6" s="313" t="s">
        <v>16</v>
      </c>
      <c r="K6" s="313" t="s">
        <v>16</v>
      </c>
      <c r="L6" s="318" t="s">
        <v>17</v>
      </c>
      <c r="M6" s="318" t="s">
        <v>17</v>
      </c>
      <c r="N6" s="318" t="s">
        <v>17</v>
      </c>
      <c r="O6" s="318" t="s">
        <v>17</v>
      </c>
      <c r="P6" s="318" t="s">
        <v>17</v>
      </c>
      <c r="Q6" s="318" t="s">
        <v>17</v>
      </c>
    </row>
    <row r="7" spans="1:17">
      <c r="C7" s="319" t="s">
        <v>733</v>
      </c>
    </row>
    <row r="8" spans="1:17">
      <c r="A8" s="315"/>
      <c r="B8" s="315"/>
      <c r="C8" s="315"/>
      <c r="D8" s="315"/>
      <c r="E8" s="315"/>
      <c r="F8" s="315"/>
      <c r="G8" s="315"/>
      <c r="H8" s="315"/>
      <c r="I8" s="315"/>
      <c r="J8" s="315"/>
      <c r="K8" s="315"/>
      <c r="L8" s="315"/>
      <c r="M8" s="315"/>
      <c r="N8" s="315"/>
      <c r="O8" s="320"/>
      <c r="P8" s="320"/>
      <c r="Q8" s="320"/>
    </row>
    <row r="9" spans="1:17">
      <c r="C9" s="314"/>
    </row>
    <row r="10" spans="1:17">
      <c r="A10" s="265" t="s">
        <v>745</v>
      </c>
      <c r="C10" s="639">
        <f>AVERAGE(E10:K10)</f>
        <v>-1.3338389808860287E-2</v>
      </c>
      <c r="E10" s="521">
        <f>'CF Historical'!D28/'IS Historical'!E10</f>
        <v>-2.212216410508663E-2</v>
      </c>
      <c r="F10" s="521">
        <f>'CF Historical'!E28/'IS Historical'!F10</f>
        <v>-1.5949207613496896E-2</v>
      </c>
      <c r="G10" s="521">
        <f>'CF Historical'!F28/'IS Historical'!G10</f>
        <v>-2.6615819003440035E-2</v>
      </c>
      <c r="H10" s="521">
        <f>'CF Historical'!G28/'IS Historical'!H10</f>
        <v>-7.3025679792069762E-3</v>
      </c>
      <c r="I10" s="521">
        <f>'CF Historical'!H28/'IS Historical'!I10</f>
        <v>-7.5969295666524347E-3</v>
      </c>
      <c r="J10" s="521">
        <f>'CF Historical'!I28/'IS Historical'!J10</f>
        <v>-8.5996904494924937E-3</v>
      </c>
      <c r="K10" s="521">
        <f>'CF Historical'!J28/'IS Historical'!K10</f>
        <v>-5.1823499446465382E-3</v>
      </c>
      <c r="L10" s="296"/>
      <c r="M10" s="296"/>
      <c r="N10" s="296"/>
    </row>
    <row r="11" spans="1:17">
      <c r="A11" s="265" t="s">
        <v>746</v>
      </c>
      <c r="B11" s="341"/>
      <c r="C11" s="639">
        <f>_xlfn.RRI(K4,'CF Historical'!D49,'CF Historical'!J49)</f>
        <v>0.16103906710902338</v>
      </c>
      <c r="D11" s="805"/>
      <c r="E11" s="640"/>
      <c r="F11" s="641">
        <f>'CF Historical'!E49/'CF Historical'!D49-1</f>
        <v>0.50048003624877202</v>
      </c>
      <c r="G11" s="641">
        <f>'CF Historical'!F49/'CF Historical'!E49-1</f>
        <v>1.0952834742143924E-3</v>
      </c>
      <c r="H11" s="641">
        <f>'CF Historical'!G49/'CF Historical'!F49-1</f>
        <v>4.1295841858337567E-2</v>
      </c>
      <c r="I11" s="641">
        <f>'CF Historical'!H49/'CF Historical'!G49-1</f>
        <v>0.67998181168445049</v>
      </c>
      <c r="J11" s="641">
        <f>'CF Historical'!I49/'CF Historical'!H49-1</f>
        <v>3.50518392675081E-4</v>
      </c>
      <c r="K11" s="641">
        <f>'CF Historical'!J49/'CF Historical'!I49-1</f>
        <v>-6.8153351752649916E-2</v>
      </c>
      <c r="L11" s="296"/>
      <c r="M11" s="296"/>
      <c r="N11" s="296"/>
    </row>
    <row r="12" spans="1:17">
      <c r="C12" s="639"/>
      <c r="E12" s="509"/>
      <c r="F12" s="509"/>
      <c r="G12" s="509"/>
      <c r="H12" s="509"/>
      <c r="I12" s="509"/>
      <c r="J12" s="509"/>
      <c r="K12" s="509"/>
    </row>
    <row r="13" spans="1:17">
      <c r="A13" s="230" t="s">
        <v>747</v>
      </c>
      <c r="C13" s="639">
        <f t="shared" ref="C13:C18" si="3">AVERAGE(E13:K13)</f>
        <v>-7.9264607495533657E-2</v>
      </c>
      <c r="E13" s="642">
        <f>'CF Historical'!D35/'IS Historical'!E10</f>
        <v>1.1163611335340141E-3</v>
      </c>
      <c r="F13" s="642">
        <f>'CF Historical'!E35/'IS Historical'!F10</f>
        <v>5.5669052984684553E-4</v>
      </c>
      <c r="G13" s="642">
        <f>'CF Historical'!F35/'IS Historical'!G10</f>
        <v>0</v>
      </c>
      <c r="H13" s="642">
        <f>'CF Historical'!G35/'IS Historical'!H10</f>
        <v>-4.2438749894968299E-2</v>
      </c>
      <c r="I13" s="642">
        <f>'CF Historical'!H35/'IS Historical'!I10</f>
        <v>-9.0684102222661697E-2</v>
      </c>
      <c r="J13" s="642">
        <f>'CF Historical'!I35/'IS Historical'!J10</f>
        <v>-0.14945226586983232</v>
      </c>
      <c r="K13" s="642">
        <f>'CF Historical'!J35/'IS Historical'!K10</f>
        <v>-0.27395018614465422</v>
      </c>
    </row>
    <row r="14" spans="1:17">
      <c r="C14" s="639"/>
      <c r="E14" s="509"/>
      <c r="F14" s="509"/>
      <c r="G14" s="509"/>
      <c r="H14" s="509"/>
      <c r="I14" s="509"/>
      <c r="J14" s="509"/>
      <c r="K14" s="509"/>
    </row>
    <row r="15" spans="1:17">
      <c r="A15" s="230" t="s">
        <v>637</v>
      </c>
      <c r="C15" s="639">
        <f t="shared" si="3"/>
        <v>1.4610497619376042E-2</v>
      </c>
      <c r="E15" s="509"/>
      <c r="F15" s="642">
        <f>'CF Intergrated'!E20/'IS Intergrated'!F10</f>
        <v>0</v>
      </c>
      <c r="G15" s="642">
        <f>'CF Intergrated'!F20/'IS Intergrated'!G10</f>
        <v>0</v>
      </c>
      <c r="H15" s="642">
        <f>'CF Intergrated'!G20/'IS Intergrated'!H10</f>
        <v>2.6381700916668624E-2</v>
      </c>
      <c r="I15" s="642">
        <f>'CF Intergrated'!H20/'IS Intergrated'!I10</f>
        <v>1.7118099537856511E-2</v>
      </c>
      <c r="J15" s="642">
        <f>'CF Intergrated'!I20/'IS Intergrated'!J10</f>
        <v>3.0319037969790446E-2</v>
      </c>
      <c r="K15" s="642">
        <f>'CF Intergrated'!J20/'IS Intergrated'!K10</f>
        <v>1.3844147291940671E-2</v>
      </c>
    </row>
    <row r="16" spans="1:17">
      <c r="C16" s="639"/>
    </row>
    <row r="17" spans="1:11">
      <c r="A17" s="230" t="s">
        <v>691</v>
      </c>
      <c r="C17" s="639">
        <f t="shared" si="3"/>
        <v>-1.0117400804745116E-2</v>
      </c>
      <c r="E17" s="270">
        <f>'CF Historical'!D22/'IS Historical'!E10</f>
        <v>-6.5717862955209884E-3</v>
      </c>
      <c r="F17" s="270">
        <f>'CF Historical'!E22/'IS Historical'!F10</f>
        <v>-4.8125250103870885E-3</v>
      </c>
      <c r="G17" s="270">
        <f>'CF Historical'!F22/'IS Historical'!G10</f>
        <v>-7.8230193065566087E-3</v>
      </c>
      <c r="H17" s="270">
        <f>'CF Historical'!G22/'IS Historical'!H10</f>
        <v>-1.0815790091627253E-2</v>
      </c>
      <c r="I17" s="270">
        <f>'CF Historical'!H22/'IS Historical'!I10</f>
        <v>-7.1628455264221126E-4</v>
      </c>
      <c r="J17" s="270">
        <f>'CF Historical'!I22/'IS Historical'!J10</f>
        <v>-1.6372008228091785E-2</v>
      </c>
      <c r="K17" s="270">
        <f>'CF Historical'!J22/'IS Historical'!K10</f>
        <v>-2.3710392148389881E-2</v>
      </c>
    </row>
    <row r="18" spans="1:11">
      <c r="A18" s="230" t="s">
        <v>748</v>
      </c>
      <c r="C18" s="639">
        <f t="shared" si="3"/>
        <v>9.2426463151723731E-2</v>
      </c>
      <c r="E18" s="270">
        <f>'CF Historical'!D23/'IS Historical'!E10</f>
        <v>8.1487548112872663E-2</v>
      </c>
      <c r="F18" s="270">
        <f>'CF Historical'!E23/'IS Historical'!F10</f>
        <v>0.14090588818705566</v>
      </c>
      <c r="G18" s="270">
        <f>'CF Historical'!F23/'IS Historical'!G10</f>
        <v>0.10165857856306475</v>
      </c>
      <c r="H18" s="270">
        <f>'CF Historical'!G23/'IS Historical'!H10</f>
        <v>0.10264080118891646</v>
      </c>
      <c r="I18" s="270">
        <f>'CF Historical'!H23/'IS Historical'!I10</f>
        <v>0.12671651903144196</v>
      </c>
      <c r="J18" s="270">
        <f>'CF Historical'!I23/'IS Historical'!J10</f>
        <v>7.0248637471564457E-2</v>
      </c>
      <c r="K18" s="270">
        <f>'CF Historical'!J23/'IS Historical'!K10</f>
        <v>2.3327269507150302E-2</v>
      </c>
    </row>
    <row r="22" spans="1:11">
      <c r="A22" s="230" t="s">
        <v>747</v>
      </c>
      <c r="C22" s="639">
        <f t="shared" ref="C22" si="4">AVERAGE(E22:K22)</f>
        <v>-0.31540529886367935</v>
      </c>
      <c r="E22" s="642">
        <f>'CF Historical'!D35/'SBC Ratios'!E6</f>
        <v>5.7499321941958236E-3</v>
      </c>
      <c r="F22" s="642">
        <f>'CF Historical'!E35/'SBC Ratios'!F6</f>
        <v>3.0150467163730255E-3</v>
      </c>
      <c r="G22" s="642">
        <f>'CF Historical'!F35/'SBC Ratios'!G6</f>
        <v>0</v>
      </c>
      <c r="H22" s="642">
        <f>'CF Historical'!G35/'SBC Ratios'!H6</f>
        <v>-0.15821965705678909</v>
      </c>
      <c r="I22" s="642">
        <f>'CF Historical'!H35/'SBC Ratios'!I6</f>
        <v>-0.36549282294880958</v>
      </c>
      <c r="J22" s="642">
        <f>'CF Historical'!I35/'SBC Ratios'!J6</f>
        <v>-0.57218206724014142</v>
      </c>
      <c r="K22" s="642">
        <f>'CF Historical'!J35/'SBC Ratios'!K6</f>
        <v>-1.1207075237105844</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50205-69CC-4A2B-8C02-FAFE8CC2D7D7}">
  <sheetPr codeName="Sheet25">
    <tabColor rgb="FF00B050"/>
  </sheetPr>
  <dimension ref="A1:K19"/>
  <sheetViews>
    <sheetView zoomScale="104" workbookViewId="0">
      <selection activeCell="D33" sqref="D33"/>
    </sheetView>
  </sheetViews>
  <sheetFormatPr defaultColWidth="8.81640625" defaultRowHeight="14.5"/>
  <cols>
    <col min="1" max="1" width="27.453125" bestFit="1" customWidth="1"/>
    <col min="5" max="5" width="9.81640625" bestFit="1" customWidth="1"/>
  </cols>
  <sheetData>
    <row r="1" spans="1:11">
      <c r="A1" s="3" t="s">
        <v>749</v>
      </c>
    </row>
    <row r="2" spans="1:11">
      <c r="A2" s="3" t="s">
        <v>89</v>
      </c>
    </row>
    <row r="3" spans="1:11">
      <c r="A3" s="3"/>
      <c r="K3">
        <v>6</v>
      </c>
    </row>
    <row r="4" spans="1:11">
      <c r="E4" s="229">
        <v>43983</v>
      </c>
      <c r="F4" s="214">
        <v>44377</v>
      </c>
      <c r="G4" s="214">
        <f>EDATE(F4,12)</f>
        <v>44742</v>
      </c>
      <c r="H4" s="214">
        <f t="shared" ref="H4:K4" si="0">EDATE(G4,12)</f>
        <v>45107</v>
      </c>
      <c r="I4" s="214">
        <f t="shared" si="0"/>
        <v>45473</v>
      </c>
      <c r="J4" s="214">
        <f t="shared" si="0"/>
        <v>45838</v>
      </c>
      <c r="K4" s="214">
        <f t="shared" si="0"/>
        <v>46203</v>
      </c>
    </row>
    <row r="5" spans="1:11">
      <c r="B5" t="s">
        <v>730</v>
      </c>
      <c r="E5" s="228" t="s">
        <v>16</v>
      </c>
      <c r="F5" s="215" t="s">
        <v>16</v>
      </c>
      <c r="G5" s="215" t="s">
        <v>16</v>
      </c>
      <c r="H5" s="215" t="s">
        <v>16</v>
      </c>
      <c r="I5" s="215" t="s">
        <v>16</v>
      </c>
      <c r="J5" s="215" t="s">
        <v>16</v>
      </c>
      <c r="K5" s="215" t="s">
        <v>16</v>
      </c>
    </row>
    <row r="6" spans="1:11">
      <c r="A6" t="s">
        <v>750</v>
      </c>
      <c r="E6" s="310">
        <f>313395/1000</f>
        <v>313.39499999999998</v>
      </c>
      <c r="F6" s="310">
        <f>385732/1000</f>
        <v>385.73200000000003</v>
      </c>
      <c r="G6" s="310">
        <f>707087/1000</f>
        <v>707.08699999999999</v>
      </c>
      <c r="H6" s="310">
        <f>948087/1000</f>
        <v>948.08699999999999</v>
      </c>
      <c r="I6" s="310">
        <f>1081433/1000</f>
        <v>1081.433</v>
      </c>
      <c r="J6" s="310">
        <f>1362222/1000</f>
        <v>1362.222</v>
      </c>
      <c r="K6" s="310">
        <v>1606.5609999999999</v>
      </c>
    </row>
    <row r="7" spans="1:11">
      <c r="A7" s="336" t="s">
        <v>751</v>
      </c>
      <c r="B7" s="337">
        <f>_xlfn.RRI(K3,E6,K6)</f>
        <v>0.31310924634430437</v>
      </c>
      <c r="E7" s="311"/>
      <c r="F7" s="309">
        <f>F6/E6-1</f>
        <v>0.23081733914070113</v>
      </c>
      <c r="G7" s="309">
        <f t="shared" ref="G7:K7" si="1">G6/F6-1</f>
        <v>0.83310433150477525</v>
      </c>
      <c r="H7" s="309">
        <f t="shared" si="1"/>
        <v>0.34083500333056604</v>
      </c>
      <c r="I7" s="309">
        <f t="shared" si="1"/>
        <v>0.14064743003542923</v>
      </c>
      <c r="J7" s="309">
        <f t="shared" si="1"/>
        <v>0.25964530396242758</v>
      </c>
      <c r="K7" s="309">
        <f t="shared" si="1"/>
        <v>0.17936797379575431</v>
      </c>
    </row>
    <row r="8" spans="1:11">
      <c r="A8" t="s">
        <v>752</v>
      </c>
      <c r="B8" s="338">
        <f>AVERAGE(E8:K8)</f>
        <v>0.23614904202688841</v>
      </c>
      <c r="E8" s="309">
        <f>(E6)/'IS Historical'!E10</f>
        <v>0.19415205185565609</v>
      </c>
      <c r="F8" s="309">
        <f>(F6)/'IS Historical'!F10</f>
        <v>0.1846374475140872</v>
      </c>
      <c r="G8" s="309">
        <f>(G6)/'IS Historical'!G10</f>
        <v>0.25227141206800718</v>
      </c>
      <c r="H8" s="309">
        <f>(H6)/'IS Historical'!H10</f>
        <v>0.26822678473974915</v>
      </c>
      <c r="I8" s="309">
        <f>(I6)/'IS Historical'!I10</f>
        <v>0.24811459084481885</v>
      </c>
      <c r="J8" s="309">
        <f>(J6)/'IS Historical'!J10</f>
        <v>0.26119704623162904</v>
      </c>
      <c r="K8" s="309">
        <f>(K6)/'IS Historical'!K10</f>
        <v>0.24444396093427148</v>
      </c>
    </row>
    <row r="11" spans="1:11">
      <c r="A11" s="217"/>
      <c r="B11" s="213"/>
      <c r="C11" s="213"/>
      <c r="D11" s="213"/>
      <c r="E11" s="229">
        <v>46539</v>
      </c>
      <c r="F11" s="214">
        <v>46934</v>
      </c>
      <c r="G11" s="214">
        <f>EDATE(F11,12)</f>
        <v>47299</v>
      </c>
      <c r="H11" s="214">
        <f t="shared" ref="H11" si="2">EDATE(G11,12)</f>
        <v>47664</v>
      </c>
      <c r="I11" s="214">
        <f t="shared" ref="I11" si="3">EDATE(H11,12)</f>
        <v>48029</v>
      </c>
      <c r="J11" s="214">
        <f t="shared" ref="J11" si="4">EDATE(I11,12)</f>
        <v>48395</v>
      </c>
      <c r="K11" s="214">
        <f t="shared" ref="K11" si="5">EDATE(J11,12)</f>
        <v>48760</v>
      </c>
    </row>
    <row r="12" spans="1:11">
      <c r="A12" s="260"/>
      <c r="B12" s="378"/>
      <c r="C12" s="378"/>
      <c r="D12" s="378" t="s">
        <v>753</v>
      </c>
      <c r="E12" s="378"/>
      <c r="F12" s="378"/>
    </row>
    <row r="13" spans="1:11">
      <c r="A13" s="306"/>
      <c r="B13" s="378"/>
      <c r="C13" s="307"/>
      <c r="D13" s="307"/>
      <c r="E13" s="307"/>
      <c r="F13" s="307"/>
    </row>
    <row r="14" spans="1:11">
      <c r="A14" s="260"/>
      <c r="B14" s="378"/>
      <c r="C14" s="378"/>
      <c r="D14" s="378"/>
      <c r="E14" s="378"/>
      <c r="F14" s="378"/>
    </row>
    <row r="15" spans="1:11">
      <c r="A15" s="306"/>
      <c r="B15" s="378"/>
      <c r="C15" s="307"/>
      <c r="D15" s="307"/>
      <c r="E15" s="307"/>
      <c r="F15" s="307"/>
    </row>
    <row r="16" spans="1:11">
      <c r="A16" s="260"/>
      <c r="B16" s="378"/>
      <c r="C16" s="378"/>
      <c r="D16" s="378"/>
      <c r="E16" s="378"/>
      <c r="F16" s="378"/>
    </row>
    <row r="17" spans="1:6">
      <c r="A17" s="306"/>
      <c r="B17" s="378"/>
      <c r="C17" s="378"/>
      <c r="D17" s="378"/>
      <c r="E17" s="378"/>
      <c r="F17" s="378"/>
    </row>
    <row r="18" spans="1:6">
      <c r="A18" s="260"/>
      <c r="B18" s="378"/>
      <c r="C18" s="378"/>
      <c r="D18" s="378"/>
      <c r="E18" s="378"/>
      <c r="F18" s="378"/>
    </row>
    <row r="19" spans="1:6">
      <c r="A19" s="306"/>
      <c r="B19" s="378"/>
      <c r="C19" s="307"/>
      <c r="D19" s="307"/>
      <c r="E19" s="307"/>
      <c r="F19" s="307"/>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D4621-7C45-46CD-9F56-CEB55BA7986D}">
  <sheetPr codeName="Sheet26">
    <tabColor theme="2" tint="-0.249977111117893"/>
  </sheetPr>
  <dimension ref="A1:Q88"/>
  <sheetViews>
    <sheetView zoomScale="96" workbookViewId="0">
      <selection activeCell="I12" sqref="I12"/>
    </sheetView>
  </sheetViews>
  <sheetFormatPr defaultColWidth="8.81640625" defaultRowHeight="14.5"/>
  <cols>
    <col min="1" max="1" width="2.453125" style="213" customWidth="1"/>
    <col min="2" max="5" width="8.26953125" style="213" customWidth="1"/>
    <col min="6" max="6" width="9.453125" style="213" customWidth="1"/>
    <col min="7" max="15" width="8.26953125" style="213" customWidth="1"/>
    <col min="16" max="16" width="10" style="213" customWidth="1"/>
  </cols>
  <sheetData>
    <row r="1" spans="1:17">
      <c r="A1" s="217" t="s">
        <v>754</v>
      </c>
    </row>
    <row r="2" spans="1:17">
      <c r="A2" s="217" t="s">
        <v>89</v>
      </c>
    </row>
    <row r="5" spans="1:17">
      <c r="E5" s="229">
        <v>43983</v>
      </c>
      <c r="F5" s="214">
        <v>44377</v>
      </c>
      <c r="G5" s="214">
        <f>EDATE(F5,12)</f>
        <v>44742</v>
      </c>
      <c r="H5" s="214">
        <f t="shared" ref="H5:O5" si="0">EDATE(G5,12)</f>
        <v>45107</v>
      </c>
      <c r="I5" s="214">
        <f t="shared" si="0"/>
        <v>45473</v>
      </c>
      <c r="J5" s="214">
        <f t="shared" si="0"/>
        <v>45838</v>
      </c>
      <c r="K5" s="214">
        <v>46174</v>
      </c>
      <c r="L5" s="214">
        <f t="shared" si="0"/>
        <v>46539</v>
      </c>
      <c r="M5" s="214">
        <f t="shared" si="0"/>
        <v>46905</v>
      </c>
      <c r="N5" s="214">
        <f t="shared" si="0"/>
        <v>47270</v>
      </c>
      <c r="O5" s="214">
        <f t="shared" si="0"/>
        <v>47635</v>
      </c>
      <c r="P5" s="214">
        <f t="shared" ref="P5" si="1">EDATE(O5,12)</f>
        <v>48000</v>
      </c>
      <c r="Q5" s="214">
        <f t="shared" ref="Q5" si="2">EDATE(P5,12)</f>
        <v>48366</v>
      </c>
    </row>
    <row r="6" spans="1:17">
      <c r="E6" s="215" t="s">
        <v>16</v>
      </c>
      <c r="F6" s="215" t="s">
        <v>16</v>
      </c>
      <c r="G6" s="215" t="s">
        <v>16</v>
      </c>
      <c r="H6" s="215" t="s">
        <v>16</v>
      </c>
      <c r="I6" s="215" t="s">
        <v>16</v>
      </c>
      <c r="J6" s="215" t="s">
        <v>16</v>
      </c>
      <c r="K6" s="215" t="s">
        <v>16</v>
      </c>
      <c r="L6" s="244" t="s">
        <v>17</v>
      </c>
      <c r="M6" s="244" t="s">
        <v>17</v>
      </c>
      <c r="N6" s="244" t="s">
        <v>17</v>
      </c>
      <c r="O6" s="244" t="s">
        <v>17</v>
      </c>
      <c r="P6" s="244" t="s">
        <v>17</v>
      </c>
      <c r="Q6" s="244" t="s">
        <v>17</v>
      </c>
    </row>
    <row r="7" spans="1:17">
      <c r="E7" s="213">
        <v>1</v>
      </c>
      <c r="F7" s="213">
        <v>2</v>
      </c>
      <c r="G7" s="213">
        <v>3</v>
      </c>
      <c r="H7" s="213">
        <v>4</v>
      </c>
      <c r="I7" s="213">
        <v>5</v>
      </c>
      <c r="J7" s="213">
        <v>6</v>
      </c>
      <c r="K7" s="213">
        <v>0</v>
      </c>
    </row>
    <row r="8" spans="1:17">
      <c r="A8" s="225"/>
      <c r="B8" s="225"/>
      <c r="C8" s="225"/>
      <c r="D8" s="225"/>
      <c r="E8" s="225"/>
      <c r="F8" s="225"/>
      <c r="G8" s="225"/>
      <c r="H8" s="225"/>
      <c r="I8" s="225"/>
      <c r="J8" s="225"/>
      <c r="K8" s="225"/>
      <c r="L8" s="225"/>
      <c r="M8" s="225"/>
      <c r="N8" s="225"/>
      <c r="O8" s="225"/>
      <c r="P8" s="225"/>
      <c r="Q8" s="225"/>
    </row>
    <row r="10" spans="1:17">
      <c r="A10" s="239"/>
      <c r="B10" s="236" t="s">
        <v>492</v>
      </c>
      <c r="C10" s="236"/>
      <c r="D10" s="236"/>
      <c r="E10" s="246">
        <v>1614.173</v>
      </c>
      <c r="F10" s="247">
        <v>2089.1320000000001</v>
      </c>
      <c r="G10" s="247">
        <f>SUM(G11:G14)</f>
        <v>2802.8819999999996</v>
      </c>
      <c r="H10" s="809">
        <f>SUM(H11:H14)</f>
        <v>3534.6469999999999</v>
      </c>
      <c r="I10" s="247">
        <f>SUM(I11:I14)</f>
        <v>4358.6030000000001</v>
      </c>
      <c r="J10" s="247">
        <f>SUM(J11:J14)</f>
        <v>5215.3040000000001</v>
      </c>
      <c r="K10" s="246">
        <v>6572.308</v>
      </c>
      <c r="L10" s="241"/>
      <c r="M10" s="241"/>
      <c r="N10" s="241"/>
      <c r="O10" s="241"/>
      <c r="P10" s="241"/>
      <c r="Q10" s="241"/>
    </row>
    <row r="11" spans="1:17">
      <c r="A11" s="239"/>
      <c r="B11" s="260" t="s">
        <v>374</v>
      </c>
      <c r="E11" s="777" t="s">
        <v>676</v>
      </c>
      <c r="F11" s="777" t="s">
        <v>676</v>
      </c>
      <c r="G11" s="777">
        <v>1515.424</v>
      </c>
      <c r="H11" s="776">
        <v>2085.5</v>
      </c>
      <c r="I11" s="776">
        <v>2698.9</v>
      </c>
      <c r="J11" s="776">
        <v>3447.4</v>
      </c>
      <c r="K11" s="777">
        <v>4410.6270000000004</v>
      </c>
      <c r="L11" s="241"/>
      <c r="M11" s="241"/>
      <c r="N11" s="241"/>
      <c r="O11" s="241"/>
      <c r="P11" s="241"/>
      <c r="Q11" s="241"/>
    </row>
    <row r="12" spans="1:17">
      <c r="A12" s="239"/>
      <c r="B12" s="260" t="s">
        <v>375</v>
      </c>
      <c r="E12" s="775" t="s">
        <v>676</v>
      </c>
      <c r="F12" s="775" t="s">
        <v>676</v>
      </c>
      <c r="G12" s="775">
        <v>560.31899999999996</v>
      </c>
      <c r="H12" s="232">
        <v>819.25099999999998</v>
      </c>
      <c r="I12" s="232">
        <v>1208.498</v>
      </c>
      <c r="J12" s="232">
        <v>1467.1669999999999</v>
      </c>
      <c r="K12" s="775">
        <v>1830.941</v>
      </c>
      <c r="L12" s="241"/>
      <c r="M12" s="241"/>
      <c r="N12" s="241"/>
      <c r="O12" s="241"/>
      <c r="P12" s="241"/>
      <c r="Q12" s="241"/>
    </row>
    <row r="13" spans="1:17">
      <c r="A13" s="239"/>
      <c r="B13" s="260" t="s">
        <v>376</v>
      </c>
      <c r="E13" s="775" t="s">
        <v>676</v>
      </c>
      <c r="F13" s="775" t="s">
        <v>676</v>
      </c>
      <c r="G13" s="775">
        <v>525.02800000000002</v>
      </c>
      <c r="H13" s="232">
        <v>400.517</v>
      </c>
      <c r="I13" s="232">
        <v>177.64500000000001</v>
      </c>
      <c r="J13" s="232" t="s">
        <v>269</v>
      </c>
      <c r="K13" s="511" t="s">
        <v>269</v>
      </c>
      <c r="L13" s="241"/>
      <c r="M13" s="241"/>
      <c r="N13" s="241"/>
      <c r="O13" s="241"/>
      <c r="P13" s="241"/>
      <c r="Q13" s="241"/>
    </row>
    <row r="14" spans="1:17">
      <c r="A14" s="239"/>
      <c r="B14" s="260" t="s">
        <v>377</v>
      </c>
      <c r="E14" s="775" t="s">
        <v>676</v>
      </c>
      <c r="F14" s="775" t="s">
        <v>676</v>
      </c>
      <c r="G14" s="775">
        <v>202.11099999999999</v>
      </c>
      <c r="H14" s="232">
        <v>229.37899999999999</v>
      </c>
      <c r="I14" s="232">
        <v>273.56</v>
      </c>
      <c r="J14" s="232">
        <v>300.73700000000002</v>
      </c>
      <c r="K14" s="775">
        <v>330.74</v>
      </c>
      <c r="L14" s="241"/>
      <c r="M14" s="241"/>
      <c r="N14" s="241"/>
      <c r="O14" s="241"/>
      <c r="P14" s="241"/>
      <c r="Q14" s="241"/>
    </row>
    <row r="15" spans="1:17">
      <c r="A15" s="231"/>
      <c r="B15" s="231"/>
      <c r="C15" s="231"/>
      <c r="D15" s="231"/>
      <c r="E15" s="231"/>
      <c r="F15" s="233"/>
      <c r="G15" s="233"/>
      <c r="H15" s="233"/>
      <c r="I15" s="233"/>
      <c r="J15" s="233"/>
      <c r="K15" s="231"/>
      <c r="L15"/>
      <c r="M15"/>
      <c r="N15"/>
      <c r="O15"/>
      <c r="P15"/>
    </row>
    <row r="16" spans="1:17">
      <c r="A16" s="239"/>
      <c r="B16" s="236" t="s">
        <v>494</v>
      </c>
      <c r="C16" s="236"/>
      <c r="D16" s="236"/>
      <c r="E16" s="246">
        <v>183.62799999999999</v>
      </c>
      <c r="F16" s="247">
        <v>253.85900000000001</v>
      </c>
      <c r="G16" s="247">
        <v>410.35399999999998</v>
      </c>
      <c r="H16" s="247">
        <v>581.28499999999997</v>
      </c>
      <c r="I16" s="247">
        <v>724.75700000000006</v>
      </c>
      <c r="J16" s="247">
        <v>816.11300000000006</v>
      </c>
      <c r="K16" s="246">
        <v>856.16200000000003</v>
      </c>
      <c r="L16" s="241"/>
      <c r="M16" s="241"/>
      <c r="N16" s="241"/>
      <c r="O16" s="241"/>
      <c r="P16" s="241"/>
      <c r="Q16" s="241"/>
    </row>
    <row r="17" spans="1:17">
      <c r="A17" s="231"/>
      <c r="B17" s="248" t="s">
        <v>36</v>
      </c>
      <c r="C17" s="231"/>
      <c r="D17" s="231"/>
      <c r="E17" s="231">
        <f t="shared" ref="E17:K17" si="3">SUM(E18:E19)</f>
        <v>85.17900000000003</v>
      </c>
      <c r="F17" s="231">
        <f t="shared" si="3"/>
        <v>82.162000000000006</v>
      </c>
      <c r="G17" s="231">
        <f t="shared" si="3"/>
        <v>55.353000000000009</v>
      </c>
      <c r="H17" s="231">
        <f t="shared" si="3"/>
        <v>52.480000000000018</v>
      </c>
      <c r="I17" s="231">
        <f t="shared" si="3"/>
        <v>78.738</v>
      </c>
      <c r="J17" s="231">
        <f t="shared" si="3"/>
        <v>78.737999999999943</v>
      </c>
      <c r="K17" s="231">
        <f t="shared" si="3"/>
        <v>140.66999999999999</v>
      </c>
      <c r="L17" s="241"/>
      <c r="M17" s="241"/>
      <c r="N17" s="241"/>
      <c r="O17" s="241"/>
      <c r="P17" s="241"/>
      <c r="Q17" s="241"/>
    </row>
    <row r="18" spans="1:17">
      <c r="A18" s="231"/>
      <c r="B18" s="235" t="s">
        <v>496</v>
      </c>
      <c r="C18" s="231"/>
      <c r="D18" s="231"/>
      <c r="E18" s="231">
        <v>42.644000000000034</v>
      </c>
      <c r="F18" s="233">
        <v>50.408000000000001</v>
      </c>
      <c r="G18" s="233">
        <v>22.955000000000005</v>
      </c>
      <c r="H18" s="233">
        <v>19.353000000000016</v>
      </c>
      <c r="I18" s="233">
        <v>28.99</v>
      </c>
      <c r="J18" s="233">
        <v>23.22099999999994</v>
      </c>
      <c r="K18" s="231">
        <v>39.18</v>
      </c>
      <c r="L18" s="241"/>
      <c r="M18" s="241"/>
      <c r="N18" s="241"/>
      <c r="O18" s="241"/>
      <c r="P18" s="241"/>
      <c r="Q18" s="241"/>
    </row>
    <row r="19" spans="1:17">
      <c r="A19" s="231"/>
      <c r="B19" s="235" t="s">
        <v>498</v>
      </c>
      <c r="C19" s="231"/>
      <c r="D19" s="231"/>
      <c r="E19" s="231">
        <v>42.534999999999997</v>
      </c>
      <c r="F19" s="233">
        <v>31.754000000000001</v>
      </c>
      <c r="G19" s="233">
        <v>32.398000000000003</v>
      </c>
      <c r="H19" s="233">
        <v>33.127000000000002</v>
      </c>
      <c r="I19" s="233">
        <v>49.747999999999998</v>
      </c>
      <c r="J19" s="233">
        <v>55.517000000000003</v>
      </c>
      <c r="K19" s="231">
        <v>101.49</v>
      </c>
      <c r="L19" s="241"/>
      <c r="M19" s="241"/>
      <c r="N19" s="241"/>
      <c r="O19" s="241"/>
      <c r="P19" s="241"/>
      <c r="Q19" s="241"/>
    </row>
    <row r="20" spans="1:17">
      <c r="A20" s="231"/>
      <c r="B20" s="231"/>
      <c r="C20" s="231"/>
      <c r="D20" s="231"/>
      <c r="E20" s="231"/>
      <c r="F20" s="233"/>
      <c r="G20" s="233"/>
      <c r="H20" s="233"/>
      <c r="I20" s="233"/>
      <c r="J20" s="233"/>
      <c r="K20" s="231"/>
      <c r="L20" s="241"/>
      <c r="M20" s="241"/>
      <c r="N20" s="241"/>
      <c r="O20" s="241"/>
      <c r="P20" s="241"/>
      <c r="Q20" s="241"/>
    </row>
    <row r="21" spans="1:17">
      <c r="A21" s="239"/>
      <c r="B21" s="236" t="s">
        <v>500</v>
      </c>
      <c r="C21" s="236"/>
      <c r="D21" s="236"/>
      <c r="E21" s="234">
        <f>E10-E16-E17</f>
        <v>1345.366</v>
      </c>
      <c r="F21" s="234">
        <f t="shared" ref="F21:K21" si="4">F10-F16-F17</f>
        <v>1753.1110000000001</v>
      </c>
      <c r="G21" s="234">
        <f t="shared" si="4"/>
        <v>2337.1749999999997</v>
      </c>
      <c r="H21" s="234">
        <f t="shared" si="4"/>
        <v>2900.8820000000001</v>
      </c>
      <c r="I21" s="234">
        <f t="shared" si="4"/>
        <v>3555.1080000000002</v>
      </c>
      <c r="J21" s="234">
        <f t="shared" si="4"/>
        <v>4320.4529999999995</v>
      </c>
      <c r="K21" s="234">
        <f t="shared" si="4"/>
        <v>5575.4759999999997</v>
      </c>
      <c r="L21" s="241"/>
      <c r="M21" s="241"/>
      <c r="N21" s="241"/>
      <c r="O21" s="241"/>
      <c r="P21" s="241"/>
      <c r="Q21" s="241"/>
    </row>
    <row r="22" spans="1:17">
      <c r="A22" s="231"/>
      <c r="B22" s="231"/>
      <c r="C22" s="231"/>
      <c r="D22" s="231"/>
      <c r="E22" s="231"/>
      <c r="F22" s="231"/>
      <c r="G22" s="231"/>
      <c r="H22" s="231"/>
      <c r="I22" s="231"/>
      <c r="J22" s="231"/>
      <c r="K22" s="231"/>
      <c r="L22"/>
      <c r="M22"/>
      <c r="N22"/>
      <c r="O22"/>
      <c r="P22"/>
    </row>
    <row r="23" spans="1:17">
      <c r="A23" s="231"/>
      <c r="B23" s="231" t="s">
        <v>755</v>
      </c>
      <c r="C23" s="231"/>
      <c r="D23" s="231"/>
      <c r="E23" s="231">
        <f>SUM(E24:E26)</f>
        <v>1331.2800000000002</v>
      </c>
      <c r="F23" s="231">
        <f t="shared" ref="F23:K23" si="5">SUM(F24:F26)</f>
        <v>1651.4770000000001</v>
      </c>
      <c r="G23" s="231">
        <f t="shared" si="5"/>
        <v>2443.6320000000001</v>
      </c>
      <c r="H23" s="231">
        <f t="shared" si="5"/>
        <v>3246.1040000000003</v>
      </c>
      <c r="I23" s="231">
        <f t="shared" si="5"/>
        <v>3672.1849999999995</v>
      </c>
      <c r="J23" s="231">
        <f t="shared" si="5"/>
        <v>4450.8449999999993</v>
      </c>
      <c r="K23" s="231">
        <f t="shared" si="5"/>
        <v>5565.1230000000005</v>
      </c>
      <c r="L23" s="241"/>
      <c r="M23" s="241"/>
      <c r="N23" s="241"/>
      <c r="O23" s="241"/>
      <c r="P23" s="241"/>
      <c r="Q23" s="241"/>
    </row>
    <row r="24" spans="1:17">
      <c r="A24" s="231"/>
      <c r="B24" s="235" t="s">
        <v>29</v>
      </c>
      <c r="C24" s="231"/>
      <c r="D24" s="231"/>
      <c r="E24" s="231">
        <v>763.18799999999999</v>
      </c>
      <c r="F24" s="232">
        <v>963.32600000000002</v>
      </c>
      <c r="G24" s="232">
        <v>1397.568</v>
      </c>
      <c r="H24" s="232">
        <v>1869.8810000000001</v>
      </c>
      <c r="I24" s="232">
        <v>2184.1109999999999</v>
      </c>
      <c r="J24" s="232">
        <v>2669.3119999999999</v>
      </c>
      <c r="K24" s="231">
        <v>3269.2570000000001</v>
      </c>
      <c r="L24" s="241"/>
      <c r="M24" s="241"/>
      <c r="N24" s="241"/>
      <c r="O24" s="241"/>
      <c r="P24" s="241"/>
      <c r="Q24" s="241"/>
    </row>
    <row r="25" spans="1:17">
      <c r="A25" s="231"/>
      <c r="B25" s="235" t="s">
        <v>31</v>
      </c>
      <c r="C25" s="231"/>
      <c r="D25" s="231"/>
      <c r="E25" s="231">
        <v>299.68299999999999</v>
      </c>
      <c r="F25" s="232">
        <v>372.90899999999999</v>
      </c>
      <c r="G25" s="232">
        <v>567.69100000000003</v>
      </c>
      <c r="H25" s="232">
        <v>769.86099999999999</v>
      </c>
      <c r="I25" s="232">
        <v>877.49699999999996</v>
      </c>
      <c r="J25" s="232">
        <v>1134.5350000000001</v>
      </c>
      <c r="K25" s="231">
        <v>1541.1780000000001</v>
      </c>
      <c r="L25" s="241"/>
      <c r="M25" s="241"/>
      <c r="N25" s="241"/>
      <c r="O25" s="241"/>
      <c r="P25" s="241"/>
      <c r="Q25" s="241"/>
    </row>
    <row r="26" spans="1:17">
      <c r="A26" s="231"/>
      <c r="B26" s="235" t="s">
        <v>32</v>
      </c>
      <c r="C26" s="231"/>
      <c r="D26" s="231"/>
      <c r="E26" s="231">
        <v>268.40899999999999</v>
      </c>
      <c r="F26" s="232">
        <v>315.24200000000002</v>
      </c>
      <c r="G26" s="232">
        <v>478.37299999999999</v>
      </c>
      <c r="H26" s="232">
        <v>606.36199999999997</v>
      </c>
      <c r="I26" s="232">
        <v>610.577</v>
      </c>
      <c r="J26" s="232">
        <v>646.99800000000005</v>
      </c>
      <c r="K26" s="231">
        <v>754.68799999999999</v>
      </c>
      <c r="L26" s="241"/>
      <c r="M26" s="241"/>
      <c r="N26" s="241"/>
      <c r="O26" s="241"/>
      <c r="P26" s="241"/>
      <c r="Q26" s="241"/>
    </row>
    <row r="27" spans="1:17">
      <c r="A27" s="231"/>
      <c r="B27" s="231"/>
      <c r="C27" s="231"/>
      <c r="D27" s="231"/>
      <c r="E27" s="231"/>
      <c r="F27" s="233"/>
      <c r="G27" s="233"/>
      <c r="H27" s="233"/>
      <c r="I27" s="233"/>
      <c r="J27" s="233"/>
      <c r="K27" s="231"/>
      <c r="L27"/>
      <c r="M27"/>
      <c r="N27"/>
      <c r="O27"/>
      <c r="P27"/>
    </row>
    <row r="28" spans="1:17">
      <c r="A28" s="239"/>
      <c r="B28" s="236" t="s">
        <v>38</v>
      </c>
      <c r="C28" s="236"/>
      <c r="D28" s="236"/>
      <c r="E28" s="234">
        <f t="shared" ref="E28:J28" si="6">E21-E23</f>
        <v>14.085999999999785</v>
      </c>
      <c r="F28" s="234">
        <f t="shared" si="6"/>
        <v>101.63400000000001</v>
      </c>
      <c r="G28" s="234">
        <f t="shared" si="6"/>
        <v>-106.45700000000033</v>
      </c>
      <c r="H28" s="234">
        <f t="shared" si="6"/>
        <v>-345.22200000000021</v>
      </c>
      <c r="I28" s="234">
        <f t="shared" si="6"/>
        <v>-117.07699999999932</v>
      </c>
      <c r="J28" s="234">
        <f t="shared" si="6"/>
        <v>-130.39199999999983</v>
      </c>
      <c r="K28" s="234">
        <f>K21-K23</f>
        <v>10.352999999999156</v>
      </c>
      <c r="L28" s="241"/>
      <c r="M28" s="241"/>
      <c r="N28" s="241"/>
      <c r="O28" s="241"/>
      <c r="P28" s="241"/>
      <c r="Q28" s="241"/>
    </row>
    <row r="29" spans="1:17">
      <c r="A29" s="239"/>
      <c r="B29" s="236"/>
      <c r="C29" s="236"/>
      <c r="D29" s="236"/>
      <c r="E29" s="249"/>
      <c r="F29" s="249"/>
      <c r="G29" s="249"/>
      <c r="H29" s="249"/>
      <c r="I29" s="249"/>
      <c r="J29" s="249"/>
      <c r="K29" s="240"/>
      <c r="L29" s="241"/>
      <c r="M29" s="241"/>
      <c r="N29" s="241"/>
      <c r="O29" s="241"/>
      <c r="P29" s="241"/>
      <c r="Q29" s="241"/>
    </row>
    <row r="30" spans="1:17">
      <c r="A30" s="231"/>
      <c r="B30" s="231" t="s">
        <v>502</v>
      </c>
      <c r="C30" s="231"/>
      <c r="D30" s="231"/>
      <c r="E30" s="231">
        <f>SUM(E31:E33)</f>
        <v>-360.29500000000002</v>
      </c>
      <c r="F30" s="231">
        <f>SUM(F31:F33)</f>
        <v>-736.298</v>
      </c>
      <c r="G30" s="231">
        <f t="shared" ref="G30:K30" si="7">SUM(G31:G33)</f>
        <v>-458.08499999999998</v>
      </c>
      <c r="H30" s="231">
        <f t="shared" si="7"/>
        <v>34.086000000000006</v>
      </c>
      <c r="I30" s="231">
        <f t="shared" si="7"/>
        <v>31.67</v>
      </c>
      <c r="J30" s="231">
        <f t="shared" si="7"/>
        <v>31.496999999999996</v>
      </c>
      <c r="K30" s="231">
        <f t="shared" si="7"/>
        <v>11.694999999999993</v>
      </c>
      <c r="L30"/>
      <c r="M30"/>
      <c r="N30"/>
      <c r="O30"/>
      <c r="P30"/>
    </row>
    <row r="31" spans="1:17">
      <c r="A31" s="231"/>
      <c r="B31" s="235" t="s">
        <v>756</v>
      </c>
      <c r="C31" s="231"/>
      <c r="D31" s="231"/>
      <c r="E31" s="231">
        <v>27.800999999999998</v>
      </c>
      <c r="F31" s="233">
        <v>7.1740000000000004</v>
      </c>
      <c r="G31" s="233">
        <v>2.2970000000000002</v>
      </c>
      <c r="H31" s="233">
        <v>49.731999999999999</v>
      </c>
      <c r="I31" s="233">
        <v>96.662999999999997</v>
      </c>
      <c r="J31" s="233">
        <v>112.324</v>
      </c>
      <c r="K31" s="231">
        <v>69.709999999999994</v>
      </c>
      <c r="L31"/>
      <c r="M31"/>
      <c r="N31"/>
      <c r="O31"/>
      <c r="P31"/>
    </row>
    <row r="32" spans="1:17">
      <c r="A32" s="231"/>
      <c r="B32" s="235" t="s">
        <v>757</v>
      </c>
      <c r="C32" s="231"/>
      <c r="D32" s="231"/>
      <c r="E32" s="231">
        <v>-338.48599999999999</v>
      </c>
      <c r="F32" s="231">
        <v>-620.75900000000001</v>
      </c>
      <c r="G32" s="231">
        <v>-434.55799999999999</v>
      </c>
      <c r="H32" s="233">
        <v>14.500999999999999</v>
      </c>
      <c r="I32" s="233">
        <v>-30.916</v>
      </c>
      <c r="J32" s="233">
        <v>-50.277000000000001</v>
      </c>
      <c r="K32" s="232">
        <v>-8.5649999999999995</v>
      </c>
      <c r="L32" s="241"/>
      <c r="M32" s="241"/>
      <c r="N32" s="241"/>
      <c r="O32" s="241"/>
      <c r="P32" s="241"/>
      <c r="Q32" s="241"/>
    </row>
    <row r="33" spans="1:17">
      <c r="A33" s="231"/>
      <c r="B33" s="248" t="s">
        <v>758</v>
      </c>
      <c r="C33" s="231"/>
      <c r="D33" s="231"/>
      <c r="E33" s="231">
        <v>-49.61</v>
      </c>
      <c r="F33" s="233">
        <v>-122.71299999999999</v>
      </c>
      <c r="G33" s="231">
        <v>-25.824000000000002</v>
      </c>
      <c r="H33" s="231">
        <v>-30.146999999999998</v>
      </c>
      <c r="I33" s="231">
        <v>-34.076999999999998</v>
      </c>
      <c r="J33" s="231">
        <v>-30.55</v>
      </c>
      <c r="K33" s="231">
        <v>-49.45</v>
      </c>
      <c r="L33" s="241"/>
      <c r="M33" s="241"/>
      <c r="N33" s="241"/>
      <c r="O33" s="241"/>
      <c r="P33" s="241"/>
      <c r="Q33" s="241"/>
    </row>
    <row r="34" spans="1:17">
      <c r="A34" s="231"/>
      <c r="B34" s="231"/>
      <c r="C34" s="231"/>
      <c r="D34" s="231"/>
      <c r="E34" s="231"/>
      <c r="F34" s="233"/>
      <c r="G34" s="233"/>
      <c r="H34" s="233"/>
      <c r="I34" s="233"/>
      <c r="J34" s="233"/>
      <c r="K34" s="231"/>
      <c r="L34"/>
      <c r="M34"/>
      <c r="N34"/>
      <c r="O34"/>
      <c r="P34"/>
    </row>
    <row r="35" spans="1:17">
      <c r="A35" s="239"/>
      <c r="B35" s="236" t="s">
        <v>509</v>
      </c>
      <c r="C35" s="236"/>
      <c r="D35" s="236"/>
      <c r="E35" s="236">
        <f>E28+E30</f>
        <v>-346.20900000000023</v>
      </c>
      <c r="F35" s="236">
        <f>F28+F30</f>
        <v>-634.66399999999999</v>
      </c>
      <c r="G35" s="236">
        <f t="shared" ref="G35:K35" si="8">G28+G30</f>
        <v>-564.54200000000037</v>
      </c>
      <c r="H35" s="236">
        <f t="shared" si="8"/>
        <v>-311.13600000000019</v>
      </c>
      <c r="I35" s="236">
        <f t="shared" si="8"/>
        <v>-85.406999999999314</v>
      </c>
      <c r="J35" s="236">
        <f t="shared" si="8"/>
        <v>-98.894999999999825</v>
      </c>
      <c r="K35" s="236">
        <f t="shared" si="8"/>
        <v>22.047999999999149</v>
      </c>
      <c r="L35" s="241"/>
      <c r="M35" s="241"/>
      <c r="N35" s="241"/>
      <c r="O35" s="241"/>
      <c r="P35" s="241"/>
      <c r="Q35" s="241"/>
    </row>
    <row r="36" spans="1:17">
      <c r="A36" s="231"/>
      <c r="B36" s="231"/>
      <c r="C36" s="231"/>
      <c r="D36" s="231"/>
      <c r="E36" s="231"/>
      <c r="F36" s="233"/>
      <c r="G36" s="233"/>
      <c r="H36" s="233"/>
      <c r="I36" s="233"/>
      <c r="J36" s="233"/>
      <c r="K36" s="231"/>
      <c r="L36"/>
      <c r="M36"/>
      <c r="N36"/>
      <c r="O36"/>
      <c r="P36"/>
    </row>
    <row r="37" spans="1:17">
      <c r="A37" s="231"/>
      <c r="B37" s="248" t="s">
        <v>510</v>
      </c>
      <c r="C37" s="231"/>
      <c r="D37" s="231"/>
      <c r="E37" s="231">
        <v>4.4450000000000003</v>
      </c>
      <c r="F37" s="233">
        <v>61.651000000000003</v>
      </c>
      <c r="G37" s="233">
        <v>49.582000000000001</v>
      </c>
      <c r="H37" s="233">
        <v>175.625</v>
      </c>
      <c r="I37" s="233">
        <v>215.11199999999999</v>
      </c>
      <c r="J37" s="233">
        <v>157.792</v>
      </c>
      <c r="K37" s="231">
        <v>75.878</v>
      </c>
      <c r="L37" s="241"/>
      <c r="M37" s="241"/>
      <c r="N37" s="241"/>
      <c r="O37" s="241"/>
      <c r="P37" s="241"/>
      <c r="Q37" s="241"/>
    </row>
    <row r="38" spans="1:17">
      <c r="A38" s="231"/>
      <c r="B38" s="235"/>
      <c r="C38" s="231"/>
      <c r="D38" s="231"/>
      <c r="E38" s="231"/>
      <c r="F38" s="233"/>
      <c r="G38" s="233"/>
      <c r="H38" s="233"/>
      <c r="I38" s="233"/>
      <c r="J38" s="233"/>
      <c r="K38" s="231"/>
      <c r="L38"/>
      <c r="M38"/>
      <c r="N38"/>
      <c r="O38"/>
      <c r="P38"/>
    </row>
    <row r="39" spans="1:17">
      <c r="A39" s="231"/>
      <c r="B39" s="236" t="s">
        <v>44</v>
      </c>
      <c r="C39" s="236"/>
      <c r="D39" s="236"/>
      <c r="E39" s="234">
        <f t="shared" ref="E39:K39" si="9">E35-E37+E38</f>
        <v>-350.65400000000022</v>
      </c>
      <c r="F39" s="234">
        <f t="shared" si="9"/>
        <v>-696.31499999999994</v>
      </c>
      <c r="G39" s="234">
        <f t="shared" si="9"/>
        <v>-614.12400000000036</v>
      </c>
      <c r="H39" s="234">
        <f t="shared" si="9"/>
        <v>-486.76100000000019</v>
      </c>
      <c r="I39" s="234">
        <f t="shared" si="9"/>
        <v>-300.51899999999932</v>
      </c>
      <c r="J39" s="234">
        <f t="shared" si="9"/>
        <v>-256.68699999999984</v>
      </c>
      <c r="K39" s="234">
        <f t="shared" si="9"/>
        <v>-53.830000000000851</v>
      </c>
      <c r="L39" s="241"/>
      <c r="M39" s="241"/>
      <c r="N39" s="241"/>
      <c r="O39" s="241"/>
      <c r="P39" s="241"/>
      <c r="Q39" s="241"/>
    </row>
    <row r="40" spans="1:17">
      <c r="A40" s="239"/>
      <c r="B40" s="231"/>
      <c r="C40" s="231"/>
      <c r="D40" s="231"/>
      <c r="E40" s="231"/>
      <c r="F40" s="233"/>
      <c r="G40" s="233"/>
      <c r="H40" s="233"/>
      <c r="I40" s="233"/>
      <c r="J40" s="233"/>
      <c r="K40" s="231"/>
      <c r="L40"/>
      <c r="M40"/>
      <c r="N40"/>
      <c r="O40"/>
      <c r="P40"/>
    </row>
    <row r="41" spans="1:17">
      <c r="A41" s="231"/>
      <c r="B41" s="239" t="s">
        <v>512</v>
      </c>
      <c r="C41" s="231"/>
      <c r="D41" s="231"/>
      <c r="E41" s="231"/>
      <c r="F41" s="233"/>
      <c r="G41" s="233"/>
      <c r="H41" s="233"/>
      <c r="I41" s="233"/>
      <c r="J41" s="233"/>
      <c r="K41" s="231"/>
      <c r="L41"/>
      <c r="M41"/>
      <c r="N41"/>
      <c r="O41"/>
      <c r="P41"/>
    </row>
    <row r="42" spans="1:17">
      <c r="A42" s="231"/>
      <c r="B42" s="248" t="s">
        <v>513</v>
      </c>
      <c r="C42" s="231"/>
      <c r="D42" s="231"/>
      <c r="E42" s="231">
        <f t="shared" ref="E42:J42" si="10">E39/E43</f>
        <v>-1.4321527176487896</v>
      </c>
      <c r="F42" s="231">
        <f t="shared" si="10"/>
        <v>-2.7888408716792359</v>
      </c>
      <c r="G42" s="231">
        <f t="shared" si="10"/>
        <v>-2.4243778423446196</v>
      </c>
      <c r="H42" s="231">
        <f t="shared" si="10"/>
        <v>-1.8991326807305309</v>
      </c>
      <c r="I42" s="231">
        <f t="shared" si="10"/>
        <v>-1.1597094928087095</v>
      </c>
      <c r="J42" s="231">
        <f t="shared" si="10"/>
        <v>-0.98051851314236327</v>
      </c>
      <c r="K42" s="231">
        <v>-0.20684578720787403</v>
      </c>
      <c r="L42" s="241"/>
      <c r="M42" s="241"/>
      <c r="N42" s="241"/>
      <c r="O42" s="241"/>
      <c r="P42" s="241"/>
      <c r="Q42" s="241"/>
    </row>
    <row r="43" spans="1:17">
      <c r="A43" s="231"/>
      <c r="B43" s="248" t="s">
        <v>514</v>
      </c>
      <c r="C43" s="231"/>
      <c r="D43" s="231"/>
      <c r="E43" s="231">
        <v>244.84399999999999</v>
      </c>
      <c r="F43" s="231">
        <v>249.679</v>
      </c>
      <c r="G43" s="231">
        <v>253.31200000000001</v>
      </c>
      <c r="H43" s="233">
        <v>256.30700000000002</v>
      </c>
      <c r="I43" s="233">
        <v>259.13299999999998</v>
      </c>
      <c r="J43" s="233">
        <v>261.78699999999998</v>
      </c>
      <c r="K43" s="231">
        <v>260.16000000000003</v>
      </c>
      <c r="L43" s="241"/>
      <c r="M43" s="241"/>
      <c r="N43" s="241"/>
      <c r="O43" s="241"/>
      <c r="P43" s="241"/>
      <c r="Q43" s="241"/>
    </row>
    <row r="44" spans="1:17">
      <c r="A44" s="231"/>
      <c r="B44" s="250" t="s">
        <v>515</v>
      </c>
      <c r="C44" s="231"/>
      <c r="D44" s="231"/>
      <c r="E44" s="231">
        <f t="shared" ref="E44:J44" si="11">E39/E45</f>
        <v>-1.4321527176487896</v>
      </c>
      <c r="F44" s="231">
        <f t="shared" si="11"/>
        <v>-2.7888408716792359</v>
      </c>
      <c r="G44" s="231">
        <f t="shared" si="11"/>
        <v>-2.4243778423446196</v>
      </c>
      <c r="H44" s="231">
        <f t="shared" si="11"/>
        <v>-1.8991326807305309</v>
      </c>
      <c r="I44" s="231">
        <f t="shared" si="11"/>
        <v>-1.1597094928087095</v>
      </c>
      <c r="J44" s="231">
        <f t="shared" si="11"/>
        <v>-0.98051851314236327</v>
      </c>
      <c r="K44" s="231">
        <v>-0.20684578720787403</v>
      </c>
      <c r="L44" s="241"/>
      <c r="M44" s="241"/>
      <c r="N44" s="241"/>
      <c r="O44" s="241"/>
      <c r="P44" s="241"/>
      <c r="Q44" s="241"/>
    </row>
    <row r="45" spans="1:17">
      <c r="A45" s="231"/>
      <c r="B45" s="235" t="s">
        <v>516</v>
      </c>
      <c r="C45" s="231"/>
      <c r="D45" s="231"/>
      <c r="E45" s="231">
        <v>244.84399999999999</v>
      </c>
      <c r="F45" s="231">
        <v>249.679</v>
      </c>
      <c r="G45" s="231">
        <v>253.31200000000001</v>
      </c>
      <c r="H45" s="233">
        <v>256.30700000000002</v>
      </c>
      <c r="I45" s="233">
        <v>259.13299999999998</v>
      </c>
      <c r="J45" s="233">
        <v>261.78699999999998</v>
      </c>
      <c r="K45" s="231">
        <v>260.16000000000003</v>
      </c>
      <c r="L45"/>
      <c r="M45"/>
      <c r="N45"/>
      <c r="O45"/>
      <c r="P45"/>
    </row>
    <row r="46" spans="1:17">
      <c r="A46" s="231"/>
      <c r="B46" s="235" t="s">
        <v>517</v>
      </c>
      <c r="C46" s="231"/>
      <c r="D46" s="231"/>
      <c r="E46" s="231">
        <v>244.84399999999999</v>
      </c>
      <c r="F46" s="231">
        <v>249.679</v>
      </c>
      <c r="G46" s="231">
        <v>253.31200000000001</v>
      </c>
      <c r="H46" s="233">
        <v>256.30700000000002</v>
      </c>
      <c r="I46" s="233">
        <v>259.13299999999998</v>
      </c>
      <c r="J46" s="233">
        <v>261.78699999999998</v>
      </c>
      <c r="K46" s="231">
        <v>260.16000000000003</v>
      </c>
      <c r="L46" s="241"/>
      <c r="M46" s="241"/>
      <c r="N46" s="241"/>
      <c r="O46" s="241"/>
      <c r="P46" s="241"/>
      <c r="Q46" s="241"/>
    </row>
    <row r="47" spans="1:17">
      <c r="A47" s="231"/>
      <c r="B47" s="250"/>
      <c r="C47" s="231"/>
      <c r="D47" s="231"/>
      <c r="E47" s="231"/>
      <c r="F47" s="231"/>
      <c r="G47" s="231"/>
      <c r="H47" s="233"/>
      <c r="I47" s="233"/>
      <c r="J47" s="233"/>
      <c r="K47" s="231"/>
      <c r="L47" s="241"/>
      <c r="M47" s="241"/>
      <c r="N47" s="241"/>
      <c r="O47" s="241"/>
      <c r="P47" s="241"/>
      <c r="Q47" s="241"/>
    </row>
    <row r="48" spans="1:17">
      <c r="A48" s="231"/>
      <c r="B48" s="231"/>
      <c r="C48" s="231"/>
      <c r="D48" s="231"/>
      <c r="E48" s="231"/>
      <c r="F48" s="233"/>
      <c r="G48" s="233"/>
      <c r="H48" s="233"/>
      <c r="I48" s="233"/>
      <c r="J48" s="233"/>
      <c r="K48" s="231"/>
      <c r="L48"/>
      <c r="M48"/>
      <c r="N48"/>
      <c r="O48"/>
      <c r="P48"/>
    </row>
    <row r="49" spans="1:17">
      <c r="A49" s="231"/>
      <c r="B49" s="236" t="s">
        <v>38</v>
      </c>
      <c r="C49" s="236"/>
      <c r="D49" s="236"/>
      <c r="E49" s="234">
        <f>E28</f>
        <v>14.085999999999785</v>
      </c>
      <c r="F49" s="234">
        <f>F28</f>
        <v>101.63400000000001</v>
      </c>
      <c r="G49" s="234">
        <f>G28</f>
        <v>-106.45700000000033</v>
      </c>
      <c r="H49" s="234">
        <f>H28</f>
        <v>-345.22200000000021</v>
      </c>
      <c r="I49" s="234">
        <f t="shared" ref="I49:K49" si="12">I28</f>
        <v>-117.07699999999932</v>
      </c>
      <c r="J49" s="234">
        <f t="shared" si="12"/>
        <v>-130.39199999999983</v>
      </c>
      <c r="K49" s="234">
        <f t="shared" si="12"/>
        <v>10.352999999999156</v>
      </c>
      <c r="L49" s="241"/>
      <c r="M49" s="241"/>
      <c r="N49" s="241"/>
      <c r="O49" s="241"/>
      <c r="P49" s="241"/>
      <c r="Q49" s="241"/>
    </row>
    <row r="50" spans="1:17">
      <c r="A50" s="231"/>
      <c r="B50" s="231" t="s">
        <v>36</v>
      </c>
      <c r="C50" s="231"/>
      <c r="D50" s="231"/>
      <c r="E50" s="233">
        <f>E17</f>
        <v>85.17900000000003</v>
      </c>
      <c r="F50" s="233">
        <f t="shared" ref="F50:K50" si="13">F17</f>
        <v>82.162000000000006</v>
      </c>
      <c r="G50" s="233">
        <f t="shared" si="13"/>
        <v>55.353000000000009</v>
      </c>
      <c r="H50" s="233">
        <f t="shared" si="13"/>
        <v>52.480000000000018</v>
      </c>
      <c r="I50" s="233">
        <f t="shared" si="13"/>
        <v>78.738</v>
      </c>
      <c r="J50" s="233">
        <f t="shared" si="13"/>
        <v>78.737999999999943</v>
      </c>
      <c r="K50" s="233">
        <f t="shared" si="13"/>
        <v>140.66999999999999</v>
      </c>
      <c r="L50" s="241"/>
      <c r="M50" s="241"/>
      <c r="N50" s="241"/>
      <c r="O50" s="241"/>
      <c r="P50" s="241"/>
      <c r="Q50" s="241"/>
    </row>
    <row r="51" spans="1:17">
      <c r="A51" s="231"/>
      <c r="B51" s="231"/>
      <c r="C51" s="231"/>
      <c r="D51" s="231"/>
      <c r="E51" s="231"/>
      <c r="F51" s="233"/>
      <c r="G51" s="233"/>
      <c r="H51" s="233"/>
      <c r="I51" s="233"/>
      <c r="J51" s="233"/>
      <c r="K51" s="231"/>
      <c r="L51"/>
      <c r="M51"/>
      <c r="N51"/>
      <c r="O51"/>
      <c r="P51"/>
    </row>
    <row r="52" spans="1:17">
      <c r="A52" s="231"/>
      <c r="B52" s="236" t="s">
        <v>34</v>
      </c>
      <c r="C52" s="236"/>
      <c r="D52" s="236"/>
      <c r="E52" s="234">
        <f>SUM(E49:E50)</f>
        <v>99.264999999999816</v>
      </c>
      <c r="F52" s="234">
        <f>SUM(F49:F50)</f>
        <v>183.79600000000002</v>
      </c>
      <c r="G52" s="234">
        <f t="shared" ref="G52:I52" si="14">SUM(G49:G50)</f>
        <v>-51.104000000000326</v>
      </c>
      <c r="H52" s="234">
        <f t="shared" si="14"/>
        <v>-292.74200000000019</v>
      </c>
      <c r="I52" s="234">
        <f t="shared" si="14"/>
        <v>-38.338999999999317</v>
      </c>
      <c r="J52" s="234">
        <f>SUM(J49:J50)</f>
        <v>-51.653999999999883</v>
      </c>
      <c r="K52" s="237">
        <v>151.0449999999995</v>
      </c>
      <c r="L52" s="241"/>
      <c r="M52" s="241"/>
      <c r="N52" s="241"/>
      <c r="O52" s="241"/>
      <c r="P52" s="241"/>
      <c r="Q52" s="241"/>
    </row>
    <row r="53" spans="1:17">
      <c r="A53" s="231"/>
    </row>
    <row r="54" spans="1:17">
      <c r="A54" s="239"/>
    </row>
    <row r="55" spans="1:17">
      <c r="P55" s="259"/>
      <c r="Q55" s="259"/>
    </row>
    <row r="56" spans="1:17">
      <c r="B56" s="217" t="s">
        <v>759</v>
      </c>
      <c r="C56" s="217"/>
      <c r="E56" s="570">
        <f>_xlfn.RRI(J7,E10,J10)</f>
        <v>0.21587312262499769</v>
      </c>
      <c r="P56" s="259"/>
      <c r="Q56" s="259"/>
    </row>
    <row r="57" spans="1:17">
      <c r="A57" s="217"/>
      <c r="B57" s="1123" t="s">
        <v>760</v>
      </c>
      <c r="C57" s="1123"/>
      <c r="D57" s="572"/>
      <c r="E57" s="573"/>
      <c r="F57" s="572"/>
      <c r="G57" s="574"/>
      <c r="H57" s="574"/>
      <c r="I57" s="574"/>
      <c r="J57" s="574"/>
      <c r="P57" s="259"/>
      <c r="Q57" s="259"/>
    </row>
    <row r="58" spans="1:17">
      <c r="B58" s="217" t="s">
        <v>374</v>
      </c>
      <c r="C58" s="306"/>
      <c r="F58" s="213">
        <v>1515.424</v>
      </c>
      <c r="G58" s="213">
        <v>2085.5</v>
      </c>
      <c r="H58" s="569">
        <v>2698.9</v>
      </c>
      <c r="I58" s="569">
        <v>3447.4</v>
      </c>
      <c r="J58" s="569">
        <v>4429.9090000000006</v>
      </c>
      <c r="K58" s="308"/>
      <c r="Q58" s="213"/>
    </row>
    <row r="59" spans="1:17">
      <c r="B59" s="217" t="s">
        <v>761</v>
      </c>
      <c r="C59" s="260"/>
      <c r="G59" s="307">
        <v>0.37618250733788039</v>
      </c>
      <c r="H59" s="307">
        <v>0.29412610884679946</v>
      </c>
      <c r="I59" s="307">
        <v>0.27733521064137245</v>
      </c>
      <c r="J59" s="307">
        <v>0.28500000000000014</v>
      </c>
      <c r="P59" s="259"/>
      <c r="Q59" s="259"/>
    </row>
    <row r="60" spans="1:17">
      <c r="B60" s="217" t="s">
        <v>375</v>
      </c>
      <c r="C60" s="306"/>
      <c r="F60" s="213">
        <v>560.31899999999996</v>
      </c>
      <c r="G60" s="213">
        <v>819.25099999999998</v>
      </c>
      <c r="H60" s="569">
        <v>1208.498</v>
      </c>
      <c r="I60" s="569">
        <v>1467.1669999999999</v>
      </c>
      <c r="J60" s="569">
        <v>1782.6079050000001</v>
      </c>
      <c r="K60" s="308"/>
      <c r="Q60" s="213"/>
    </row>
    <row r="61" spans="1:17">
      <c r="B61" s="217" t="s">
        <v>761</v>
      </c>
      <c r="C61" s="260"/>
      <c r="G61" s="307">
        <v>0.46211533073124422</v>
      </c>
      <c r="H61" s="307">
        <v>0.47512544995367723</v>
      </c>
      <c r="I61" s="307">
        <v>0.21404172783074515</v>
      </c>
      <c r="J61" s="307">
        <v>0.38376083617188889</v>
      </c>
      <c r="Q61" s="213"/>
    </row>
    <row r="62" spans="1:17">
      <c r="B62" s="217" t="s">
        <v>376</v>
      </c>
      <c r="C62" s="306"/>
      <c r="F62" s="213">
        <v>525.02800000000002</v>
      </c>
      <c r="G62" s="213">
        <v>400.51900000000001</v>
      </c>
      <c r="H62" s="213">
        <v>177.64500000000001</v>
      </c>
      <c r="I62" s="213" t="s">
        <v>269</v>
      </c>
      <c r="J62" s="213" t="s">
        <v>269</v>
      </c>
      <c r="P62" s="259"/>
      <c r="Q62" s="259"/>
    </row>
    <row r="63" spans="1:17">
      <c r="B63" s="217" t="s">
        <v>676</v>
      </c>
      <c r="C63" s="260"/>
      <c r="G63" s="231"/>
      <c r="H63" s="231"/>
      <c r="I63" s="231"/>
      <c r="J63" s="231"/>
      <c r="P63" s="259"/>
      <c r="Q63" s="259"/>
    </row>
    <row r="64" spans="1:17">
      <c r="B64" s="217" t="s">
        <v>377</v>
      </c>
      <c r="C64" s="306"/>
      <c r="F64" s="571">
        <v>202.11099999999999</v>
      </c>
      <c r="G64" s="571">
        <v>229.37899999999999</v>
      </c>
      <c r="H64" s="569">
        <v>273.56099999999998</v>
      </c>
      <c r="I64" s="569">
        <v>300.7</v>
      </c>
      <c r="J64" s="569">
        <v>320.24549999999999</v>
      </c>
      <c r="K64" s="308"/>
      <c r="P64" s="259"/>
      <c r="Q64" s="259"/>
    </row>
    <row r="65" spans="2:17">
      <c r="B65" s="217" t="s">
        <v>761</v>
      </c>
      <c r="G65" s="307">
        <v>0.13491596202086975</v>
      </c>
      <c r="H65" s="307">
        <v>0.19261571460334204</v>
      </c>
      <c r="I65" s="307">
        <v>9.9206392724109138E-2</v>
      </c>
      <c r="J65" s="307">
        <v>0.14224602311610698</v>
      </c>
      <c r="P65" s="259"/>
      <c r="Q65" s="259"/>
    </row>
    <row r="66" spans="2:17">
      <c r="P66" s="259"/>
      <c r="Q66" s="259"/>
    </row>
    <row r="67" spans="2:17">
      <c r="P67" s="259"/>
      <c r="Q67" s="259"/>
    </row>
    <row r="68" spans="2:17">
      <c r="P68" s="259"/>
      <c r="Q68" s="259"/>
    </row>
    <row r="69" spans="2:17">
      <c r="P69" s="259"/>
      <c r="Q69" s="259"/>
    </row>
    <row r="70" spans="2:17">
      <c r="Q70" s="213"/>
    </row>
    <row r="71" spans="2:17">
      <c r="P71" s="259"/>
      <c r="Q71" s="259"/>
    </row>
    <row r="72" spans="2:17">
      <c r="Q72" s="213"/>
    </row>
    <row r="73" spans="2:17">
      <c r="P73" s="259"/>
      <c r="Q73" s="259"/>
    </row>
    <row r="74" spans="2:17">
      <c r="Q74" s="213"/>
    </row>
    <row r="75" spans="2:17">
      <c r="Q75" s="213"/>
    </row>
    <row r="76" spans="2:17">
      <c r="P76" s="259"/>
      <c r="Q76" s="259"/>
    </row>
    <row r="77" spans="2:17">
      <c r="P77" s="259"/>
      <c r="Q77" s="259"/>
    </row>
    <row r="78" spans="2:17">
      <c r="P78" s="259"/>
      <c r="Q78" s="259"/>
    </row>
    <row r="79" spans="2:17">
      <c r="P79" s="259"/>
      <c r="Q79" s="259"/>
    </row>
    <row r="80" spans="2:17">
      <c r="P80" s="259"/>
      <c r="Q80" s="259"/>
    </row>
    <row r="81" spans="16:17">
      <c r="P81" s="259"/>
      <c r="Q81" s="259"/>
    </row>
    <row r="82" spans="16:17">
      <c r="P82" s="259"/>
      <c r="Q82" s="259"/>
    </row>
    <row r="83" spans="16:17">
      <c r="Q83" s="213"/>
    </row>
    <row r="84" spans="16:17">
      <c r="P84" s="259"/>
      <c r="Q84" s="259"/>
    </row>
    <row r="85" spans="16:17">
      <c r="Q85" s="213"/>
    </row>
    <row r="86" spans="16:17">
      <c r="P86" s="259"/>
      <c r="Q86" s="259"/>
    </row>
    <row r="87" spans="16:17">
      <c r="Q87" s="213"/>
    </row>
    <row r="88" spans="16:17">
      <c r="P88" s="259"/>
      <c r="Q88" s="259"/>
    </row>
  </sheetData>
  <mergeCells count="1">
    <mergeCell ref="B57:C57"/>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386E9-83AD-499B-AA74-926DFA88A75F}">
  <sheetPr codeName="Sheet27">
    <tabColor theme="2" tint="-0.249977111117893"/>
  </sheetPr>
  <dimension ref="A1:P71"/>
  <sheetViews>
    <sheetView topLeftCell="A16" zoomScale="115" zoomScaleNormal="160" workbookViewId="0">
      <selection activeCell="D31" sqref="D31"/>
    </sheetView>
  </sheetViews>
  <sheetFormatPr defaultColWidth="8.81640625" defaultRowHeight="14.5"/>
  <cols>
    <col min="5" max="6" width="9" bestFit="1" customWidth="1"/>
  </cols>
  <sheetData>
    <row r="1" spans="1:16">
      <c r="A1" s="213"/>
      <c r="B1" s="213"/>
      <c r="C1" s="213"/>
      <c r="D1" s="810">
        <v>43983</v>
      </c>
      <c r="E1" s="811">
        <v>44377</v>
      </c>
      <c r="F1" s="811">
        <f>EDATE(E1,12)</f>
        <v>44742</v>
      </c>
      <c r="G1" s="811">
        <f t="shared" ref="G1:N1" si="0">EDATE(F1,12)</f>
        <v>45107</v>
      </c>
      <c r="H1" s="811">
        <f t="shared" si="0"/>
        <v>45473</v>
      </c>
      <c r="I1" s="811">
        <f t="shared" si="0"/>
        <v>45838</v>
      </c>
      <c r="J1" s="811">
        <v>46174</v>
      </c>
      <c r="K1" s="811">
        <f t="shared" si="0"/>
        <v>46539</v>
      </c>
      <c r="L1" s="811">
        <f t="shared" si="0"/>
        <v>46905</v>
      </c>
      <c r="M1" s="811">
        <f t="shared" si="0"/>
        <v>47270</v>
      </c>
      <c r="N1" s="811">
        <f t="shared" si="0"/>
        <v>47635</v>
      </c>
      <c r="O1" s="811">
        <v>48000</v>
      </c>
      <c r="P1" s="811">
        <f t="shared" ref="P1" si="1">EDATE(O1,12)</f>
        <v>48366</v>
      </c>
    </row>
    <row r="2" spans="1:16">
      <c r="A2" s="213"/>
      <c r="B2" s="213"/>
      <c r="C2" s="213"/>
      <c r="D2" s="215" t="s">
        <v>16</v>
      </c>
      <c r="E2" s="215" t="s">
        <v>16</v>
      </c>
      <c r="F2" s="215" t="s">
        <v>16</v>
      </c>
      <c r="G2" s="215" t="s">
        <v>16</v>
      </c>
      <c r="H2" s="215" t="s">
        <v>16</v>
      </c>
      <c r="I2" s="215" t="s">
        <v>16</v>
      </c>
      <c r="J2" s="215" t="s">
        <v>16</v>
      </c>
      <c r="K2" s="227" t="s">
        <v>17</v>
      </c>
      <c r="L2" s="227" t="s">
        <v>17</v>
      </c>
      <c r="M2" s="227" t="s">
        <v>17</v>
      </c>
      <c r="N2" s="227" t="s">
        <v>17</v>
      </c>
      <c r="O2" s="227" t="s">
        <v>17</v>
      </c>
      <c r="P2" s="227" t="s">
        <v>17</v>
      </c>
    </row>
    <row r="3" spans="1:16">
      <c r="A3" s="213"/>
      <c r="B3" s="213"/>
      <c r="C3" s="213"/>
      <c r="D3" s="213"/>
      <c r="E3" s="213"/>
      <c r="F3" s="213"/>
      <c r="G3" s="213"/>
      <c r="H3" s="213"/>
      <c r="I3" s="213"/>
      <c r="J3" s="213"/>
      <c r="K3" s="213"/>
      <c r="L3" s="213"/>
      <c r="M3" s="213"/>
      <c r="N3" s="213"/>
      <c r="O3" s="213"/>
    </row>
    <row r="4" spans="1:16">
      <c r="A4" s="812"/>
      <c r="B4" s="812"/>
      <c r="C4" s="812"/>
      <c r="D4" s="812"/>
      <c r="E4" s="812"/>
      <c r="F4" s="812"/>
      <c r="G4" s="812"/>
      <c r="H4" s="812"/>
      <c r="I4" s="812"/>
      <c r="J4" s="812"/>
      <c r="K4" s="812"/>
      <c r="L4" s="812"/>
      <c r="M4" s="812"/>
      <c r="N4" s="812"/>
      <c r="O4" s="226"/>
      <c r="P4" s="15"/>
    </row>
    <row r="5" spans="1:16">
      <c r="A5" s="213"/>
      <c r="B5" s="213"/>
      <c r="C5" s="213"/>
      <c r="D5" s="213"/>
      <c r="E5" s="213"/>
      <c r="F5" s="213"/>
      <c r="G5" s="213"/>
      <c r="H5" s="213"/>
      <c r="I5" s="213"/>
      <c r="J5" s="213"/>
      <c r="K5" s="213"/>
      <c r="L5" s="213"/>
      <c r="M5" s="213"/>
      <c r="N5" s="213"/>
      <c r="O5" s="213"/>
    </row>
    <row r="6" spans="1:16">
      <c r="A6" s="213" t="s">
        <v>582</v>
      </c>
      <c r="B6" s="213"/>
      <c r="C6" s="213"/>
      <c r="D6" s="213"/>
      <c r="E6" s="213"/>
      <c r="F6" s="213"/>
      <c r="G6" s="213"/>
      <c r="H6" s="213"/>
      <c r="I6" s="213"/>
      <c r="J6" s="213"/>
      <c r="K6" s="213"/>
      <c r="L6" s="213"/>
      <c r="M6" s="213"/>
      <c r="N6" s="213"/>
      <c r="O6" s="213"/>
    </row>
    <row r="7" spans="1:16">
      <c r="A7" s="242" t="s">
        <v>583</v>
      </c>
      <c r="B7" s="213"/>
      <c r="C7" s="213"/>
      <c r="D7" s="815">
        <v>1479.9690000000001</v>
      </c>
      <c r="E7" s="816">
        <v>919.22699999999998</v>
      </c>
      <c r="F7" s="816">
        <v>1385.2650000000001</v>
      </c>
      <c r="G7" s="816">
        <v>2102.5500000000002</v>
      </c>
      <c r="H7" s="816">
        <v>2176.9299999999998</v>
      </c>
      <c r="I7" s="816">
        <v>2512.8739999999998</v>
      </c>
      <c r="J7" s="817">
        <v>1239.5119999999999</v>
      </c>
      <c r="K7" s="251"/>
      <c r="L7" s="251"/>
      <c r="M7" s="251"/>
      <c r="N7" s="251"/>
      <c r="O7" s="251"/>
      <c r="P7" s="251"/>
    </row>
    <row r="8" spans="1:16">
      <c r="A8" s="242" t="s">
        <v>584</v>
      </c>
      <c r="B8" s="213"/>
      <c r="C8" s="213"/>
      <c r="D8" s="815">
        <v>676.072</v>
      </c>
      <c r="E8" s="816">
        <v>313.00099999999998</v>
      </c>
      <c r="F8" s="816">
        <v>73.293999999999997</v>
      </c>
      <c r="G8" s="816">
        <v>10</v>
      </c>
      <c r="H8" s="816">
        <v>161.97300000000001</v>
      </c>
      <c r="I8" s="816">
        <v>424.26799999999997</v>
      </c>
      <c r="J8" s="817">
        <v>0</v>
      </c>
      <c r="K8" s="251"/>
      <c r="L8" s="251"/>
      <c r="M8" s="251"/>
      <c r="N8" s="251"/>
      <c r="O8" s="251"/>
      <c r="P8" s="251"/>
    </row>
    <row r="9" spans="1:16">
      <c r="A9" s="242" t="s">
        <v>585</v>
      </c>
      <c r="B9" s="213"/>
      <c r="C9" s="213"/>
      <c r="D9" s="815">
        <v>112.01900000000001</v>
      </c>
      <c r="E9" s="816">
        <v>173.47300000000001</v>
      </c>
      <c r="F9" s="816">
        <v>308.12700000000001</v>
      </c>
      <c r="G9" s="816">
        <v>477.678</v>
      </c>
      <c r="H9" s="816">
        <v>628.04899999999998</v>
      </c>
      <c r="I9" s="816">
        <v>778.30200000000002</v>
      </c>
      <c r="J9" s="817">
        <v>1269.9469999999999</v>
      </c>
      <c r="K9" s="251"/>
      <c r="L9" s="251"/>
      <c r="M9" s="251"/>
      <c r="N9" s="251"/>
      <c r="O9" s="251"/>
      <c r="P9" s="251"/>
    </row>
    <row r="10" spans="1:16">
      <c r="A10" s="242" t="s">
        <v>586</v>
      </c>
      <c r="B10" s="213"/>
      <c r="C10" s="213"/>
      <c r="D10" s="815">
        <v>1.5089999999999999</v>
      </c>
      <c r="E10" s="815">
        <v>2.3220000000000001</v>
      </c>
      <c r="F10" s="815">
        <v>0.54100000000000004</v>
      </c>
      <c r="G10" s="815">
        <v>0</v>
      </c>
      <c r="H10" s="815">
        <v>0</v>
      </c>
      <c r="I10" s="815">
        <v>0</v>
      </c>
      <c r="J10" s="815">
        <v>0</v>
      </c>
      <c r="K10" s="251"/>
      <c r="L10" s="251"/>
      <c r="M10" s="251"/>
      <c r="N10" s="251"/>
      <c r="O10" s="251"/>
      <c r="P10" s="251"/>
    </row>
    <row r="11" spans="1:16">
      <c r="A11" s="242" t="s">
        <v>587</v>
      </c>
      <c r="B11" s="213"/>
      <c r="C11" s="213"/>
      <c r="D11" s="815">
        <v>327.48700000000002</v>
      </c>
      <c r="E11" s="816">
        <v>127.486</v>
      </c>
      <c r="F11" s="816">
        <v>13.685</v>
      </c>
      <c r="G11" s="816">
        <v>0</v>
      </c>
      <c r="H11" s="816">
        <v>0</v>
      </c>
      <c r="I11" s="816">
        <v>0</v>
      </c>
      <c r="J11" s="816">
        <v>0</v>
      </c>
      <c r="K11" s="251"/>
      <c r="L11" s="251"/>
      <c r="M11" s="251"/>
      <c r="N11" s="251"/>
      <c r="O11" s="251"/>
      <c r="P11" s="251"/>
    </row>
    <row r="12" spans="1:16">
      <c r="A12" s="242" t="s">
        <v>588</v>
      </c>
      <c r="B12" s="213"/>
      <c r="C12" s="213"/>
      <c r="D12" s="815">
        <v>46.73</v>
      </c>
      <c r="E12" s="816">
        <f>48.332+43.665</f>
        <v>91.997</v>
      </c>
      <c r="F12" s="816">
        <f>58.077+60.265</f>
        <v>118.342</v>
      </c>
      <c r="G12" s="816">
        <v>146.136</v>
      </c>
      <c r="H12" s="816">
        <v>109.312</v>
      </c>
      <c r="I12" s="816">
        <v>175.79300000000001</v>
      </c>
      <c r="J12" s="817">
        <v>287.66300000000001</v>
      </c>
      <c r="K12" s="251"/>
      <c r="L12" s="251"/>
      <c r="M12" s="251"/>
      <c r="N12" s="251"/>
      <c r="O12" s="251"/>
      <c r="P12" s="251"/>
    </row>
    <row r="13" spans="1:16">
      <c r="A13" s="242"/>
      <c r="B13" s="213"/>
      <c r="C13" s="213"/>
      <c r="D13" s="815"/>
      <c r="E13" s="816"/>
      <c r="F13" s="816"/>
      <c r="G13" s="816"/>
      <c r="H13" s="816"/>
      <c r="I13" s="816"/>
      <c r="J13" s="817"/>
      <c r="K13" s="251"/>
      <c r="L13" s="251"/>
      <c r="M13" s="251"/>
      <c r="N13" s="251"/>
      <c r="O13" s="251"/>
      <c r="P13" s="251"/>
    </row>
    <row r="14" spans="1:16">
      <c r="A14" s="221" t="s">
        <v>589</v>
      </c>
      <c r="B14" s="221"/>
      <c r="C14" s="221"/>
      <c r="D14" s="822">
        <f>SUM(D7:D12)</f>
        <v>2643.7860000000005</v>
      </c>
      <c r="E14" s="822">
        <f t="shared" ref="E14:J14" si="2">SUM(E7:E12)</f>
        <v>1627.5060000000001</v>
      </c>
      <c r="F14" s="822">
        <f t="shared" si="2"/>
        <v>1899.2540000000001</v>
      </c>
      <c r="G14" s="822">
        <f t="shared" si="2"/>
        <v>2736.364</v>
      </c>
      <c r="H14" s="822">
        <f t="shared" si="2"/>
        <v>3076.2639999999997</v>
      </c>
      <c r="I14" s="822">
        <f t="shared" si="2"/>
        <v>3891.2370000000001</v>
      </c>
      <c r="J14" s="822">
        <f t="shared" si="2"/>
        <v>2797.1219999999998</v>
      </c>
      <c r="K14" s="251"/>
      <c r="L14" s="251"/>
      <c r="M14" s="251"/>
      <c r="N14" s="251"/>
      <c r="O14" s="251"/>
      <c r="P14" s="251"/>
    </row>
    <row r="15" spans="1:16">
      <c r="A15" s="213"/>
      <c r="B15" s="213"/>
      <c r="C15" s="213"/>
      <c r="D15" s="815"/>
      <c r="E15" s="816"/>
      <c r="F15" s="816"/>
      <c r="G15" s="816"/>
      <c r="H15" s="816"/>
      <c r="I15" s="816"/>
      <c r="J15" s="815"/>
      <c r="K15" s="213"/>
      <c r="L15" s="213"/>
      <c r="M15" s="213"/>
      <c r="N15" s="213"/>
      <c r="O15" s="213"/>
      <c r="P15" s="213"/>
    </row>
    <row r="16" spans="1:16">
      <c r="A16" s="222" t="s">
        <v>590</v>
      </c>
      <c r="B16" s="213"/>
      <c r="C16" s="213"/>
      <c r="D16" s="816">
        <f>D17+D23</f>
        <v>97.647999999999982</v>
      </c>
      <c r="E16" s="816">
        <f t="shared" ref="E16:J16" si="3">E17+E23</f>
        <v>66.221000000000004</v>
      </c>
      <c r="F16" s="816">
        <f t="shared" si="3"/>
        <v>98.554000000000002</v>
      </c>
      <c r="G16" s="816">
        <f t="shared" si="3"/>
        <v>81.402000000000015</v>
      </c>
      <c r="H16" s="816">
        <f t="shared" si="3"/>
        <v>86.314999999999998</v>
      </c>
      <c r="I16" s="816">
        <f t="shared" si="3"/>
        <v>105.11799999999999</v>
      </c>
      <c r="J16" s="816">
        <f t="shared" si="3"/>
        <v>86.301999999999992</v>
      </c>
      <c r="K16" s="251"/>
      <c r="L16" s="251"/>
      <c r="M16" s="251"/>
      <c r="N16" s="251"/>
      <c r="O16" s="251"/>
      <c r="P16" s="251"/>
    </row>
    <row r="17" spans="1:16">
      <c r="A17" s="218" t="s">
        <v>591</v>
      </c>
      <c r="B17" s="213"/>
      <c r="C17" s="213"/>
      <c r="D17" s="817">
        <f>SUM(D18:D22)</f>
        <v>155.76499999999999</v>
      </c>
      <c r="E17" s="817">
        <f t="shared" ref="E17:J17" si="4">SUM(E18:E22)</f>
        <v>148.15100000000001</v>
      </c>
      <c r="F17" s="817">
        <f t="shared" si="4"/>
        <v>172.28800000000001</v>
      </c>
      <c r="G17" s="817">
        <f t="shared" si="4"/>
        <v>186.99700000000001</v>
      </c>
      <c r="H17" s="817">
        <f t="shared" si="4"/>
        <v>215.14</v>
      </c>
      <c r="I17" s="817">
        <f t="shared" si="4"/>
        <v>252.89699999999999</v>
      </c>
      <c r="J17" s="817">
        <f t="shared" si="4"/>
        <v>242.69799999999998</v>
      </c>
      <c r="K17" s="251"/>
      <c r="L17" s="251"/>
      <c r="M17" s="251"/>
      <c r="N17" s="251"/>
      <c r="O17" s="251"/>
      <c r="P17" s="251"/>
    </row>
    <row r="18" spans="1:16">
      <c r="A18" s="252" t="s">
        <v>592</v>
      </c>
      <c r="B18" s="213"/>
      <c r="C18" s="213"/>
      <c r="D18" s="815">
        <v>9.6519999999999992</v>
      </c>
      <c r="E18" s="816">
        <v>10.43</v>
      </c>
      <c r="F18" s="816">
        <v>9.14</v>
      </c>
      <c r="G18" s="816">
        <v>9.298</v>
      </c>
      <c r="H18" s="816">
        <v>11.2</v>
      </c>
      <c r="I18" s="816">
        <v>15.007999999999999</v>
      </c>
      <c r="J18" s="817">
        <v>16.27</v>
      </c>
      <c r="K18" s="251"/>
      <c r="L18" s="251"/>
      <c r="M18" s="251"/>
      <c r="N18" s="251"/>
      <c r="O18" s="251"/>
      <c r="P18" s="251"/>
    </row>
    <row r="19" spans="1:16">
      <c r="A19" s="252" t="s">
        <v>593</v>
      </c>
      <c r="B19" s="213"/>
      <c r="C19" s="213"/>
      <c r="D19" s="815">
        <v>12.065</v>
      </c>
      <c r="E19" s="816">
        <v>9.5370000000000008</v>
      </c>
      <c r="F19" s="816">
        <v>18.324000000000002</v>
      </c>
      <c r="G19" s="816">
        <v>29.800999999999998</v>
      </c>
      <c r="H19" s="816">
        <v>40.823999999999998</v>
      </c>
      <c r="I19" s="816">
        <v>58.558999999999997</v>
      </c>
      <c r="J19" s="817">
        <v>73.057000000000002</v>
      </c>
      <c r="K19" s="251"/>
      <c r="L19" s="251"/>
      <c r="M19" s="251"/>
      <c r="N19" s="251"/>
      <c r="O19" s="251"/>
      <c r="P19" s="251"/>
    </row>
    <row r="20" spans="1:16">
      <c r="A20" s="252" t="s">
        <v>594</v>
      </c>
      <c r="B20" s="213"/>
      <c r="C20" s="213"/>
      <c r="D20" s="815">
        <v>19.687000000000001</v>
      </c>
      <c r="E20" s="816">
        <v>21.187999999999999</v>
      </c>
      <c r="F20" s="816">
        <v>25.157</v>
      </c>
      <c r="G20" s="816">
        <v>24.773</v>
      </c>
      <c r="H20" s="816">
        <v>25.172000000000001</v>
      </c>
      <c r="I20" s="816">
        <v>25.216999999999999</v>
      </c>
      <c r="J20" s="817">
        <v>27.766999999999999</v>
      </c>
      <c r="K20" s="251"/>
      <c r="L20" s="251"/>
      <c r="M20" s="251"/>
      <c r="N20" s="251"/>
      <c r="O20" s="251"/>
      <c r="P20" s="251"/>
    </row>
    <row r="21" spans="1:16">
      <c r="A21" s="252" t="s">
        <v>595</v>
      </c>
      <c r="B21" s="213"/>
      <c r="C21" s="213"/>
      <c r="D21" s="815">
        <v>103.1</v>
      </c>
      <c r="E21" s="816">
        <v>106.996</v>
      </c>
      <c r="F21" s="816">
        <v>119.667</v>
      </c>
      <c r="G21" s="816">
        <v>123.125</v>
      </c>
      <c r="H21" s="816">
        <v>137.94399999999999</v>
      </c>
      <c r="I21" s="816">
        <v>154.113</v>
      </c>
      <c r="J21" s="817">
        <v>125.604</v>
      </c>
      <c r="K21" s="251"/>
      <c r="L21" s="251"/>
      <c r="M21" s="251"/>
      <c r="N21" s="251"/>
      <c r="O21" s="251"/>
      <c r="P21" s="251"/>
    </row>
    <row r="22" spans="1:16">
      <c r="A22" s="252" t="s">
        <v>596</v>
      </c>
      <c r="B22" s="213"/>
      <c r="C22" s="213"/>
      <c r="D22" s="815">
        <v>11.260999999999999</v>
      </c>
      <c r="E22" s="816">
        <v>0</v>
      </c>
      <c r="F22" s="816">
        <v>0</v>
      </c>
      <c r="G22" s="816">
        <v>0</v>
      </c>
      <c r="H22" s="816">
        <v>0</v>
      </c>
      <c r="I22" s="816">
        <v>0</v>
      </c>
      <c r="J22" s="816">
        <v>0</v>
      </c>
      <c r="K22" s="251"/>
      <c r="L22" s="251"/>
      <c r="M22" s="251"/>
      <c r="N22" s="251"/>
      <c r="O22" s="251"/>
      <c r="P22" s="251"/>
    </row>
    <row r="23" spans="1:16">
      <c r="A23" s="218" t="s">
        <v>597</v>
      </c>
      <c r="B23" s="213"/>
      <c r="C23" s="213"/>
      <c r="D23" s="818">
        <f>SUM(D24:D28)</f>
        <v>-58.117000000000004</v>
      </c>
      <c r="E23" s="818">
        <f t="shared" ref="E23:F23" si="5">SUM(E24:E28)</f>
        <v>-81.93</v>
      </c>
      <c r="F23" s="818">
        <f t="shared" si="5"/>
        <v>-73.734000000000009</v>
      </c>
      <c r="G23" s="818">
        <v>-105.595</v>
      </c>
      <c r="H23" s="818">
        <v>-128.82499999999999</v>
      </c>
      <c r="I23" s="818">
        <v>-147.779</v>
      </c>
      <c r="J23" s="818">
        <v>-156.39599999999999</v>
      </c>
      <c r="K23" s="251"/>
      <c r="L23" s="251"/>
      <c r="M23" s="251"/>
      <c r="N23" s="251"/>
      <c r="O23" s="251"/>
      <c r="P23" s="251"/>
    </row>
    <row r="24" spans="1:16">
      <c r="A24" s="252" t="s">
        <v>592</v>
      </c>
      <c r="B24" s="213"/>
      <c r="C24" s="213"/>
      <c r="D24" s="818">
        <v>-5.6180000000000003</v>
      </c>
      <c r="E24" s="818">
        <v>-7.5449999999999999</v>
      </c>
      <c r="F24" s="818">
        <v>-7.9029999999999996</v>
      </c>
      <c r="G24" s="818" t="s">
        <v>269</v>
      </c>
      <c r="H24" s="818" t="s">
        <v>269</v>
      </c>
      <c r="I24" s="818" t="s">
        <v>269</v>
      </c>
      <c r="J24" s="818" t="s">
        <v>269</v>
      </c>
      <c r="K24" s="251"/>
      <c r="L24" s="251"/>
      <c r="M24" s="251"/>
      <c r="N24" s="251"/>
      <c r="O24" s="251"/>
      <c r="P24" s="251"/>
    </row>
    <row r="25" spans="1:16">
      <c r="A25" s="252" t="s">
        <v>593</v>
      </c>
      <c r="B25" s="213"/>
      <c r="C25" s="213"/>
      <c r="D25" s="818">
        <v>-8.6110000000000007</v>
      </c>
      <c r="E25" s="818">
        <v>-9.0619999999999994</v>
      </c>
      <c r="F25" s="818">
        <v>-2.9020000000000001</v>
      </c>
      <c r="G25" s="818" t="s">
        <v>269</v>
      </c>
      <c r="H25" s="818" t="s">
        <v>269</v>
      </c>
      <c r="I25" s="818" t="s">
        <v>269</v>
      </c>
      <c r="J25" s="818" t="s">
        <v>269</v>
      </c>
      <c r="K25" s="251"/>
      <c r="L25" s="251"/>
      <c r="M25" s="251"/>
      <c r="N25" s="251"/>
      <c r="O25" s="251"/>
      <c r="P25" s="251"/>
    </row>
    <row r="26" spans="1:16">
      <c r="A26" s="252" t="s">
        <v>594</v>
      </c>
      <c r="B26" s="213"/>
      <c r="C26" s="213"/>
      <c r="D26" s="818">
        <v>-8.3879999999999999</v>
      </c>
      <c r="E26" s="818">
        <v>-11.259</v>
      </c>
      <c r="F26" s="818">
        <v>-12.170999999999999</v>
      </c>
      <c r="G26" s="818" t="s">
        <v>269</v>
      </c>
      <c r="H26" s="818" t="s">
        <v>269</v>
      </c>
      <c r="I26" s="818" t="s">
        <v>269</v>
      </c>
      <c r="J26" s="818" t="s">
        <v>269</v>
      </c>
      <c r="K26" s="251"/>
      <c r="L26" s="251"/>
      <c r="M26" s="251"/>
      <c r="N26" s="251"/>
      <c r="O26" s="251"/>
      <c r="P26" s="251"/>
    </row>
    <row r="27" spans="1:16">
      <c r="A27" s="252" t="s">
        <v>595</v>
      </c>
      <c r="B27" s="213"/>
      <c r="C27" s="213"/>
      <c r="D27" s="818">
        <v>-35.5</v>
      </c>
      <c r="E27" s="818">
        <v>-54.064</v>
      </c>
      <c r="F27" s="818">
        <v>-50.758000000000003</v>
      </c>
      <c r="G27" s="818" t="s">
        <v>269</v>
      </c>
      <c r="H27" s="818" t="s">
        <v>269</v>
      </c>
      <c r="I27" s="818" t="s">
        <v>269</v>
      </c>
      <c r="J27" s="818" t="s">
        <v>269</v>
      </c>
      <c r="K27" s="251"/>
      <c r="L27" s="251"/>
      <c r="M27" s="251"/>
      <c r="N27" s="251"/>
      <c r="O27" s="251"/>
      <c r="P27" s="251"/>
    </row>
    <row r="28" spans="1:16">
      <c r="A28" s="252" t="s">
        <v>596</v>
      </c>
      <c r="B28" s="213"/>
      <c r="C28" s="213"/>
      <c r="D28" s="818">
        <f>'BS Old'!D28</f>
        <v>0</v>
      </c>
      <c r="E28" s="816">
        <v>0</v>
      </c>
      <c r="F28" s="816">
        <v>0</v>
      </c>
      <c r="G28" s="818" t="s">
        <v>269</v>
      </c>
      <c r="H28" s="818" t="s">
        <v>269</v>
      </c>
      <c r="I28" s="818" t="s">
        <v>269</v>
      </c>
      <c r="J28" s="818" t="s">
        <v>269</v>
      </c>
      <c r="K28" s="251"/>
      <c r="L28" s="251"/>
      <c r="M28" s="251"/>
      <c r="N28" s="251"/>
      <c r="O28" s="251"/>
      <c r="P28" s="251"/>
    </row>
    <row r="29" spans="1:16">
      <c r="A29" s="222" t="s">
        <v>598</v>
      </c>
      <c r="B29" s="213"/>
      <c r="C29" s="213"/>
      <c r="D29" s="815">
        <v>217.68299999999999</v>
      </c>
      <c r="E29" s="816">
        <v>205.3</v>
      </c>
      <c r="F29" s="816">
        <v>267.32799999999997</v>
      </c>
      <c r="G29" s="816">
        <v>184.19499999999999</v>
      </c>
      <c r="H29" s="816">
        <v>172.46799999999999</v>
      </c>
      <c r="I29" s="816">
        <v>169.12700000000001</v>
      </c>
      <c r="J29" s="817">
        <v>114.059</v>
      </c>
      <c r="K29" s="251"/>
      <c r="L29" s="251"/>
      <c r="M29" s="251"/>
      <c r="N29" s="251"/>
      <c r="O29" s="251"/>
      <c r="P29" s="251"/>
    </row>
    <row r="30" spans="1:16">
      <c r="A30" s="222" t="s">
        <v>599</v>
      </c>
      <c r="B30" s="213"/>
      <c r="C30" s="213"/>
      <c r="D30" s="815">
        <v>35.350999999999999</v>
      </c>
      <c r="E30" s="816">
        <v>36.173999999999999</v>
      </c>
      <c r="F30" s="816">
        <v>42.76</v>
      </c>
      <c r="G30" s="816">
        <v>9.9450000000000003</v>
      </c>
      <c r="H30" s="816">
        <v>3.9340000000000002</v>
      </c>
      <c r="I30" s="816">
        <v>3.762</v>
      </c>
      <c r="J30" s="817">
        <v>4.0880000000000001</v>
      </c>
      <c r="K30" s="251"/>
      <c r="L30" s="251"/>
      <c r="M30" s="251"/>
      <c r="N30" s="251"/>
      <c r="O30" s="251"/>
      <c r="P30" s="251"/>
    </row>
    <row r="31" spans="1:16">
      <c r="A31" s="222" t="s">
        <v>600</v>
      </c>
      <c r="B31" s="213"/>
      <c r="C31" s="213"/>
      <c r="D31" s="815">
        <v>645.14</v>
      </c>
      <c r="E31" s="816">
        <v>725.75800000000004</v>
      </c>
      <c r="F31" s="816">
        <v>732.66600000000005</v>
      </c>
      <c r="G31" s="816">
        <v>727.221</v>
      </c>
      <c r="H31" s="816">
        <v>1288.7560000000001</v>
      </c>
      <c r="I31" s="816">
        <v>1304.4449999999999</v>
      </c>
      <c r="J31" s="817">
        <v>2302.739</v>
      </c>
      <c r="K31" s="251"/>
      <c r="L31" s="251"/>
      <c r="M31" s="251"/>
      <c r="N31" s="251"/>
      <c r="O31" s="251"/>
      <c r="P31" s="251"/>
    </row>
    <row r="32" spans="1:16">
      <c r="A32" s="222" t="s">
        <v>601</v>
      </c>
      <c r="B32" s="213"/>
      <c r="C32" s="213"/>
      <c r="D32" s="815">
        <v>129.69</v>
      </c>
      <c r="E32" s="815">
        <v>124.59</v>
      </c>
      <c r="F32" s="815">
        <v>100.84</v>
      </c>
      <c r="G32" s="815">
        <v>69.072000000000003</v>
      </c>
      <c r="H32" s="815">
        <v>299.05700000000002</v>
      </c>
      <c r="I32" s="815">
        <v>244.84</v>
      </c>
      <c r="J32" s="817">
        <v>432.25799999999998</v>
      </c>
      <c r="K32" s="251"/>
      <c r="L32" s="251"/>
      <c r="M32" s="251"/>
      <c r="N32" s="251"/>
      <c r="O32" s="251"/>
      <c r="P32" s="251"/>
    </row>
    <row r="33" spans="1:16">
      <c r="A33" s="222" t="s">
        <v>602</v>
      </c>
      <c r="B33" s="213"/>
      <c r="C33" s="213"/>
      <c r="D33" s="815">
        <v>0</v>
      </c>
      <c r="E33" s="815">
        <v>122.15900000000001</v>
      </c>
      <c r="F33" s="815">
        <v>159.06399999999999</v>
      </c>
      <c r="G33" s="815">
        <v>225.53800000000001</v>
      </c>
      <c r="H33" s="815">
        <v>223.221</v>
      </c>
      <c r="I33" s="815">
        <v>221.94200000000001</v>
      </c>
      <c r="J33" s="817">
        <v>213.14699999999999</v>
      </c>
      <c r="K33" s="251"/>
      <c r="L33" s="251"/>
      <c r="M33" s="251"/>
      <c r="N33" s="251"/>
      <c r="O33" s="251"/>
      <c r="P33" s="251"/>
    </row>
    <row r="34" spans="1:16">
      <c r="A34" s="222" t="s">
        <v>603</v>
      </c>
      <c r="B34" s="213"/>
      <c r="C34" s="213"/>
      <c r="D34" s="815">
        <v>124.774</v>
      </c>
      <c r="E34" s="816">
        <v>37.636000000000003</v>
      </c>
      <c r="F34" s="816">
        <v>60.74</v>
      </c>
      <c r="G34" s="816">
        <v>73.052000000000007</v>
      </c>
      <c r="H34" s="816">
        <v>62.118000000000002</v>
      </c>
      <c r="I34" s="816">
        <v>101.499</v>
      </c>
      <c r="J34" s="817">
        <v>153.81399999999999</v>
      </c>
      <c r="K34" s="251"/>
      <c r="L34" s="251"/>
      <c r="M34" s="251"/>
      <c r="N34" s="251"/>
      <c r="O34" s="251"/>
      <c r="P34" s="251"/>
    </row>
    <row r="35" spans="1:16">
      <c r="A35" s="242"/>
      <c r="B35" s="213"/>
      <c r="C35" s="213"/>
      <c r="D35" s="815"/>
      <c r="E35" s="816"/>
      <c r="F35" s="816"/>
      <c r="G35" s="816"/>
      <c r="H35" s="816"/>
      <c r="I35" s="816"/>
      <c r="J35" s="817"/>
      <c r="K35" s="251"/>
      <c r="L35" s="251"/>
      <c r="M35" s="251"/>
      <c r="N35" s="251"/>
      <c r="O35" s="251"/>
      <c r="P35" s="251"/>
    </row>
    <row r="36" spans="1:16">
      <c r="A36" s="787" t="s">
        <v>604</v>
      </c>
      <c r="B36" s="819"/>
      <c r="C36" s="819"/>
      <c r="D36" s="820">
        <f>D16+D29+D30+D31+D32+D34</f>
        <v>1250.2860000000001</v>
      </c>
      <c r="E36" s="820">
        <f>E16+E29+E30+E31+E32+E34+E33</f>
        <v>1317.838</v>
      </c>
      <c r="F36" s="820">
        <f>F16+F29+F30+F31+F32+F34+F33</f>
        <v>1461.952</v>
      </c>
      <c r="G36" s="820">
        <f t="shared" ref="G36:J36" si="6">G16+G29+G30+G31+G32+G34+G33</f>
        <v>1370.425</v>
      </c>
      <c r="H36" s="820">
        <f t="shared" si="6"/>
        <v>2135.8690000000001</v>
      </c>
      <c r="I36" s="820">
        <f t="shared" si="6"/>
        <v>2150.7330000000002</v>
      </c>
      <c r="J36" s="820">
        <f t="shared" si="6"/>
        <v>3306.4069999999997</v>
      </c>
      <c r="K36" s="251"/>
      <c r="L36" s="251"/>
      <c r="M36" s="251"/>
      <c r="N36" s="251"/>
      <c r="O36" s="251"/>
      <c r="P36" s="251"/>
    </row>
    <row r="37" spans="1:16">
      <c r="A37" s="252"/>
      <c r="B37" s="252"/>
      <c r="C37" s="252"/>
      <c r="D37" s="813"/>
      <c r="E37" s="816"/>
      <c r="F37" s="816"/>
      <c r="G37" s="816"/>
      <c r="H37" s="816"/>
      <c r="I37" s="816"/>
      <c r="J37" s="817"/>
      <c r="K37" s="251"/>
      <c r="L37" s="251"/>
      <c r="M37" s="251"/>
      <c r="N37" s="251"/>
      <c r="O37" s="251"/>
      <c r="P37" s="251"/>
    </row>
    <row r="38" spans="1:16">
      <c r="A38" s="253" t="s">
        <v>605</v>
      </c>
      <c r="B38" s="253"/>
      <c r="C38" s="253"/>
      <c r="D38" s="821">
        <f t="shared" ref="D38:J38" si="7">D36+D14</f>
        <v>3894.0720000000006</v>
      </c>
      <c r="E38" s="821">
        <f t="shared" si="7"/>
        <v>2945.3440000000001</v>
      </c>
      <c r="F38" s="821">
        <f t="shared" si="7"/>
        <v>3361.2060000000001</v>
      </c>
      <c r="G38" s="821">
        <f t="shared" si="7"/>
        <v>4106.7889999999998</v>
      </c>
      <c r="H38" s="821">
        <f t="shared" si="7"/>
        <v>5212.1329999999998</v>
      </c>
      <c r="I38" s="821">
        <f t="shared" si="7"/>
        <v>6041.97</v>
      </c>
      <c r="J38" s="821">
        <f t="shared" si="7"/>
        <v>6103.5289999999995</v>
      </c>
      <c r="K38" s="251"/>
      <c r="L38" s="251"/>
      <c r="M38" s="251"/>
      <c r="N38" s="251"/>
      <c r="O38" s="251"/>
      <c r="P38" s="251"/>
    </row>
    <row r="39" spans="1:16">
      <c r="A39" s="213"/>
      <c r="B39" s="213"/>
      <c r="C39" s="213"/>
      <c r="D39" s="333"/>
      <c r="E39" s="334"/>
      <c r="F39" s="334"/>
      <c r="G39" s="334"/>
      <c r="H39" s="334"/>
      <c r="I39" s="334"/>
      <c r="J39" s="332"/>
      <c r="K39" s="213"/>
      <c r="L39" s="213"/>
      <c r="M39" s="213"/>
      <c r="N39" s="213"/>
      <c r="O39" s="213"/>
      <c r="P39" s="213"/>
    </row>
    <row r="40" spans="1:16">
      <c r="A40" s="213" t="s">
        <v>606</v>
      </c>
      <c r="B40" s="213"/>
      <c r="C40" s="213"/>
      <c r="D40" s="333"/>
      <c r="E40" s="334"/>
      <c r="F40" s="334"/>
      <c r="G40" s="334"/>
      <c r="H40" s="334"/>
      <c r="I40" s="334"/>
      <c r="J40" s="332"/>
      <c r="K40" s="213"/>
      <c r="L40" s="213"/>
      <c r="M40" s="213"/>
      <c r="N40" s="213"/>
      <c r="O40" s="213"/>
      <c r="P40" s="213"/>
    </row>
    <row r="41" spans="1:16">
      <c r="A41" s="242" t="s">
        <v>607</v>
      </c>
      <c r="B41" s="213"/>
      <c r="C41" s="213"/>
      <c r="D41" s="333"/>
      <c r="E41" s="334"/>
      <c r="F41" s="334"/>
      <c r="G41" s="334"/>
      <c r="H41" s="334"/>
      <c r="I41" s="334"/>
      <c r="J41" s="332"/>
      <c r="K41" s="213"/>
      <c r="L41" s="213"/>
      <c r="M41" s="213"/>
      <c r="N41" s="213"/>
      <c r="O41" s="213"/>
      <c r="P41" s="213"/>
    </row>
    <row r="42" spans="1:16">
      <c r="A42" s="218" t="s">
        <v>608</v>
      </c>
      <c r="B42" s="213"/>
      <c r="C42" s="213"/>
      <c r="D42" s="815">
        <v>889.18299999999999</v>
      </c>
      <c r="E42" s="816">
        <v>348.79899999999998</v>
      </c>
      <c r="F42" s="334">
        <v>0</v>
      </c>
      <c r="G42" s="334">
        <v>37.5</v>
      </c>
      <c r="H42" s="334">
        <v>0</v>
      </c>
      <c r="I42" s="334">
        <v>0</v>
      </c>
      <c r="J42" s="334">
        <v>0</v>
      </c>
      <c r="K42" s="213"/>
      <c r="L42" s="213"/>
      <c r="M42" s="213"/>
      <c r="N42" s="213"/>
      <c r="O42" s="213"/>
      <c r="P42" s="213"/>
    </row>
    <row r="43" spans="1:16">
      <c r="A43" s="218" t="s">
        <v>609</v>
      </c>
      <c r="B43" s="213"/>
      <c r="C43" s="213"/>
      <c r="D43" s="815">
        <v>202.57</v>
      </c>
      <c r="E43" s="816">
        <v>266.49700000000001</v>
      </c>
      <c r="F43" s="816">
        <v>404.90800000000002</v>
      </c>
      <c r="G43" s="334">
        <v>159.29300000000001</v>
      </c>
      <c r="H43" s="334">
        <v>177.54499999999999</v>
      </c>
      <c r="I43" s="334">
        <v>222.09200000000001</v>
      </c>
      <c r="J43" s="331">
        <v>262.60899999999998</v>
      </c>
      <c r="K43" s="251"/>
      <c r="L43" s="251"/>
      <c r="M43" s="251"/>
      <c r="N43" s="251"/>
      <c r="O43" s="251"/>
      <c r="P43" s="251"/>
    </row>
    <row r="44" spans="1:16">
      <c r="A44" s="218" t="s">
        <v>610</v>
      </c>
      <c r="B44" s="213"/>
      <c r="C44" s="213"/>
      <c r="D44" s="815">
        <v>19.582999999999998</v>
      </c>
      <c r="E44" s="816">
        <v>42.051000000000002</v>
      </c>
      <c r="F44" s="816">
        <v>26.367000000000001</v>
      </c>
      <c r="G44" s="334">
        <v>0</v>
      </c>
      <c r="H44" s="334">
        <v>0</v>
      </c>
      <c r="I44" s="334">
        <v>0</v>
      </c>
      <c r="J44" s="334">
        <v>0</v>
      </c>
      <c r="K44" s="251"/>
      <c r="L44" s="251"/>
      <c r="M44" s="251"/>
      <c r="N44" s="251"/>
      <c r="O44" s="251"/>
      <c r="P44" s="251"/>
    </row>
    <row r="45" spans="1:16">
      <c r="A45" s="218" t="s">
        <v>611</v>
      </c>
      <c r="B45" s="213"/>
      <c r="C45" s="213"/>
      <c r="D45" s="815">
        <v>14.291</v>
      </c>
      <c r="E45" s="816">
        <v>25.148</v>
      </c>
      <c r="F45" s="816">
        <v>32.795999999999999</v>
      </c>
      <c r="G45" s="334">
        <v>0</v>
      </c>
      <c r="H45" s="334">
        <v>0</v>
      </c>
      <c r="I45" s="334">
        <v>0</v>
      </c>
      <c r="J45" s="334">
        <v>0</v>
      </c>
      <c r="K45" s="251"/>
      <c r="L45" s="251"/>
      <c r="M45" s="251"/>
      <c r="N45" s="251"/>
      <c r="O45" s="251"/>
      <c r="P45" s="251"/>
    </row>
    <row r="46" spans="1:16">
      <c r="A46" s="218" t="s">
        <v>612</v>
      </c>
      <c r="B46" s="213"/>
      <c r="C46" s="213"/>
      <c r="D46" s="815">
        <v>573.81299999999999</v>
      </c>
      <c r="E46" s="815">
        <v>812.94299999999998</v>
      </c>
      <c r="F46" s="815">
        <v>1066.059</v>
      </c>
      <c r="G46" s="333">
        <v>1362.7360000000001</v>
      </c>
      <c r="H46" s="333">
        <v>1806.269</v>
      </c>
      <c r="I46" s="333">
        <v>2227.002</v>
      </c>
      <c r="J46" s="333">
        <v>2495.431</v>
      </c>
      <c r="K46" s="251"/>
      <c r="L46" s="251"/>
      <c r="M46" s="251"/>
      <c r="N46" s="251"/>
      <c r="O46" s="251"/>
      <c r="P46" s="251"/>
    </row>
    <row r="47" spans="1:16">
      <c r="A47" s="223" t="s">
        <v>613</v>
      </c>
      <c r="B47" s="213"/>
      <c r="C47" s="213"/>
      <c r="D47" s="815">
        <v>34.743000000000002</v>
      </c>
      <c r="E47" s="816">
        <v>42.445999999999998</v>
      </c>
      <c r="F47" s="816">
        <v>40.637999999999998</v>
      </c>
      <c r="G47" s="334">
        <v>44.93</v>
      </c>
      <c r="H47" s="334">
        <v>48.953000000000003</v>
      </c>
      <c r="I47" s="334">
        <v>50.164000000000001</v>
      </c>
      <c r="J47" s="331">
        <v>48.509</v>
      </c>
      <c r="K47" s="251"/>
      <c r="L47" s="251"/>
      <c r="M47" s="251"/>
      <c r="N47" s="251"/>
      <c r="O47" s="251"/>
      <c r="P47" s="251"/>
    </row>
    <row r="48" spans="1:16">
      <c r="A48" s="223" t="s">
        <v>614</v>
      </c>
      <c r="B48" s="213"/>
      <c r="C48" s="213"/>
      <c r="D48" s="815">
        <v>1284.596</v>
      </c>
      <c r="E48" s="816">
        <v>772.12699999999995</v>
      </c>
      <c r="F48" s="816">
        <v>23.288</v>
      </c>
      <c r="G48" s="334">
        <v>423.13099999999997</v>
      </c>
      <c r="H48" s="334">
        <v>577.35900000000004</v>
      </c>
      <c r="I48" s="334">
        <v>681.60400000000004</v>
      </c>
      <c r="J48" s="331">
        <v>764.58199999999999</v>
      </c>
      <c r="K48" s="251"/>
      <c r="L48" s="251"/>
      <c r="M48" s="251"/>
      <c r="N48" s="251"/>
      <c r="O48" s="251"/>
      <c r="P48" s="251"/>
    </row>
    <row r="49" spans="1:16">
      <c r="A49" s="213"/>
      <c r="B49" s="213"/>
      <c r="C49" s="213"/>
      <c r="D49" s="333"/>
      <c r="E49" s="816"/>
      <c r="F49" s="816"/>
      <c r="G49" s="334"/>
      <c r="H49" s="334"/>
      <c r="I49" s="334"/>
      <c r="J49" s="332"/>
      <c r="K49" s="213"/>
      <c r="L49" s="213"/>
      <c r="M49" s="213"/>
      <c r="N49" s="213"/>
      <c r="O49" s="213"/>
      <c r="P49" s="213"/>
    </row>
    <row r="50" spans="1:16">
      <c r="A50" s="254" t="s">
        <v>615</v>
      </c>
      <c r="B50" s="253"/>
      <c r="C50" s="253"/>
      <c r="D50" s="821">
        <f>SUM(D42:D48)</f>
        <v>3018.779</v>
      </c>
      <c r="E50" s="821">
        <f t="shared" ref="E50:J50" si="8">SUM(E42:E48)</f>
        <v>2310.011</v>
      </c>
      <c r="F50" s="821">
        <f t="shared" si="8"/>
        <v>1594.056</v>
      </c>
      <c r="G50" s="821">
        <f t="shared" si="8"/>
        <v>2027.5900000000001</v>
      </c>
      <c r="H50" s="821">
        <f t="shared" si="8"/>
        <v>2610.1260000000002</v>
      </c>
      <c r="I50" s="821">
        <f t="shared" si="8"/>
        <v>3180.8620000000001</v>
      </c>
      <c r="J50" s="821">
        <f t="shared" si="8"/>
        <v>3571.1309999999999</v>
      </c>
      <c r="K50" s="251"/>
      <c r="L50" s="251"/>
      <c r="M50" s="251"/>
      <c r="N50" s="251"/>
      <c r="O50" s="251"/>
      <c r="P50" s="251"/>
    </row>
    <row r="51" spans="1:16">
      <c r="A51" s="258"/>
      <c r="B51" s="217"/>
      <c r="C51" s="217"/>
      <c r="D51" s="824"/>
      <c r="E51" s="824"/>
      <c r="F51" s="824"/>
      <c r="G51" s="824"/>
      <c r="H51" s="824"/>
      <c r="I51" s="824"/>
      <c r="J51" s="824"/>
      <c r="K51" s="251"/>
      <c r="L51" s="251"/>
      <c r="M51" s="251"/>
      <c r="N51" s="251"/>
      <c r="O51" s="251"/>
      <c r="P51" s="251"/>
    </row>
    <row r="52" spans="1:16">
      <c r="A52" s="242" t="s">
        <v>616</v>
      </c>
      <c r="B52" s="213"/>
      <c r="C52" s="213"/>
      <c r="D52" s="815">
        <v>27.192</v>
      </c>
      <c r="E52" s="825">
        <v>84.652000000000001</v>
      </c>
      <c r="F52" s="825">
        <v>116.621</v>
      </c>
      <c r="G52" s="825">
        <v>182.74299999999999</v>
      </c>
      <c r="H52" s="825">
        <v>308.46699999999998</v>
      </c>
      <c r="I52" s="825">
        <v>254.25200000000001</v>
      </c>
      <c r="J52" s="826">
        <v>166.26</v>
      </c>
      <c r="K52" s="213"/>
      <c r="L52" s="213"/>
      <c r="M52" s="213"/>
      <c r="N52" s="213"/>
      <c r="O52" s="213"/>
      <c r="P52" s="213"/>
    </row>
    <row r="53" spans="1:16">
      <c r="A53" s="242" t="s">
        <v>617</v>
      </c>
      <c r="B53" s="213"/>
      <c r="C53" s="213"/>
      <c r="D53" s="815">
        <v>31.303999999999998</v>
      </c>
      <c r="E53" s="825">
        <v>26.625</v>
      </c>
      <c r="F53" s="825">
        <v>26.457000000000001</v>
      </c>
      <c r="G53" s="825">
        <v>10.669</v>
      </c>
      <c r="H53" s="825">
        <v>20.387</v>
      </c>
      <c r="I53" s="825">
        <v>23.881</v>
      </c>
      <c r="J53" s="826">
        <v>27.853000000000002</v>
      </c>
      <c r="K53" s="213"/>
      <c r="L53" s="213"/>
      <c r="M53" s="213"/>
      <c r="N53" s="213"/>
      <c r="O53" s="213"/>
      <c r="P53" s="213"/>
    </row>
    <row r="54" spans="1:16">
      <c r="A54" s="242" t="s">
        <v>618</v>
      </c>
      <c r="B54" s="213"/>
      <c r="C54" s="213"/>
      <c r="D54" s="815">
        <v>0</v>
      </c>
      <c r="E54" s="825">
        <v>0</v>
      </c>
      <c r="F54" s="825">
        <v>999.41899999999998</v>
      </c>
      <c r="G54" s="825">
        <v>962.09299999999996</v>
      </c>
      <c r="H54" s="825">
        <v>985.91099999999994</v>
      </c>
      <c r="I54" s="825">
        <v>987.68399999999997</v>
      </c>
      <c r="J54" s="826">
        <v>989.56</v>
      </c>
      <c r="K54" s="213"/>
      <c r="L54" s="213"/>
      <c r="M54" s="213"/>
      <c r="N54" s="213"/>
      <c r="O54" s="213"/>
      <c r="P54" s="213"/>
    </row>
    <row r="55" spans="1:16">
      <c r="A55" s="242" t="s">
        <v>619</v>
      </c>
      <c r="B55" s="213"/>
      <c r="C55" s="213"/>
      <c r="D55" s="815">
        <v>229.82499999999999</v>
      </c>
      <c r="E55" s="825">
        <v>214.10300000000001</v>
      </c>
      <c r="F55" s="825">
        <v>274.43400000000003</v>
      </c>
      <c r="G55" s="825">
        <v>237.83500000000001</v>
      </c>
      <c r="H55" s="825">
        <v>214.47399999999999</v>
      </c>
      <c r="I55" s="825">
        <v>201.483</v>
      </c>
      <c r="J55" s="826">
        <v>194.84100000000001</v>
      </c>
      <c r="K55" s="213"/>
      <c r="L55" s="213"/>
      <c r="M55" s="213"/>
      <c r="N55" s="213"/>
      <c r="O55" s="213"/>
      <c r="P55" s="213"/>
    </row>
    <row r="56" spans="1:16">
      <c r="A56" s="242" t="s">
        <v>611</v>
      </c>
      <c r="B56" s="213"/>
      <c r="C56" s="213"/>
      <c r="D56" s="815">
        <v>9.4930000000000003</v>
      </c>
      <c r="E56" s="826">
        <v>12.435</v>
      </c>
      <c r="F56" s="826">
        <v>13.804</v>
      </c>
      <c r="G56" s="826">
        <v>0</v>
      </c>
      <c r="H56" s="826">
        <v>0</v>
      </c>
      <c r="I56" s="826">
        <v>0</v>
      </c>
      <c r="J56" s="826">
        <v>0</v>
      </c>
      <c r="K56" s="251"/>
      <c r="L56" s="251"/>
      <c r="M56" s="251"/>
      <c r="N56" s="251"/>
      <c r="O56" s="251"/>
      <c r="P56" s="251"/>
    </row>
    <row r="57" spans="1:16">
      <c r="A57" s="242" t="s">
        <v>620</v>
      </c>
      <c r="B57" s="213"/>
      <c r="C57" s="213"/>
      <c r="D57" s="815">
        <v>2.173</v>
      </c>
      <c r="E57" s="825">
        <v>2.6040000000000001</v>
      </c>
      <c r="F57" s="825">
        <v>0.81200000000000006</v>
      </c>
      <c r="G57" s="825">
        <v>31.177</v>
      </c>
      <c r="H57" s="825">
        <v>39.917000000000002</v>
      </c>
      <c r="I57" s="825">
        <v>48.156999999999996</v>
      </c>
      <c r="J57" s="827">
        <v>95.444999999999993</v>
      </c>
      <c r="K57" s="251"/>
      <c r="L57" s="251"/>
      <c r="M57" s="251"/>
      <c r="N57" s="251"/>
      <c r="O57" s="251"/>
      <c r="P57" s="251"/>
    </row>
    <row r="58" spans="1:16">
      <c r="A58" s="242"/>
      <c r="B58" s="213"/>
      <c r="C58" s="213"/>
      <c r="D58" s="815"/>
      <c r="E58" s="334"/>
      <c r="F58" s="334"/>
      <c r="G58" s="334"/>
      <c r="H58" s="334"/>
      <c r="I58" s="334"/>
      <c r="J58" s="331"/>
      <c r="K58" s="251"/>
      <c r="L58" s="251"/>
      <c r="M58" s="251"/>
      <c r="N58" s="251"/>
      <c r="O58" s="251"/>
      <c r="P58" s="251"/>
    </row>
    <row r="59" spans="1:16">
      <c r="A59" s="254" t="s">
        <v>621</v>
      </c>
      <c r="B59" s="253"/>
      <c r="C59" s="253"/>
      <c r="D59" s="821">
        <f>SUM(D52:D57)</f>
        <v>299.98699999999997</v>
      </c>
      <c r="E59" s="821">
        <f t="shared" ref="E59:J59" si="9">SUM(E52:E57)</f>
        <v>340.41899999999998</v>
      </c>
      <c r="F59" s="821">
        <f t="shared" si="9"/>
        <v>1431.547</v>
      </c>
      <c r="G59" s="821">
        <f t="shared" si="9"/>
        <v>1424.5169999999998</v>
      </c>
      <c r="H59" s="821">
        <f t="shared" si="9"/>
        <v>1569.1559999999997</v>
      </c>
      <c r="I59" s="821">
        <f t="shared" si="9"/>
        <v>1515.4569999999999</v>
      </c>
      <c r="J59" s="821">
        <f t="shared" si="9"/>
        <v>1473.9590000000001</v>
      </c>
      <c r="K59" s="251"/>
      <c r="L59" s="251"/>
      <c r="M59" s="251"/>
      <c r="N59" s="251"/>
      <c r="O59" s="251"/>
      <c r="P59" s="251"/>
    </row>
    <row r="60" spans="1:16">
      <c r="A60" s="213"/>
      <c r="B60" s="213"/>
      <c r="C60" s="213"/>
      <c r="D60" s="333"/>
      <c r="E60" s="333"/>
      <c r="F60" s="333"/>
      <c r="G60" s="333"/>
      <c r="H60" s="333"/>
      <c r="I60" s="333"/>
      <c r="J60" s="332"/>
      <c r="K60" s="213"/>
      <c r="L60" s="213"/>
      <c r="M60" s="213"/>
      <c r="N60" s="213"/>
      <c r="O60" s="213"/>
      <c r="P60" s="213"/>
    </row>
    <row r="61" spans="1:16">
      <c r="A61" s="254" t="s">
        <v>622</v>
      </c>
      <c r="B61" s="253"/>
      <c r="C61" s="253"/>
      <c r="D61" s="821">
        <f t="shared" ref="D61:J61" si="10">D59+D50</f>
        <v>3318.7660000000001</v>
      </c>
      <c r="E61" s="823">
        <f t="shared" si="10"/>
        <v>2650.43</v>
      </c>
      <c r="F61" s="823">
        <f t="shared" si="10"/>
        <v>3025.6030000000001</v>
      </c>
      <c r="G61" s="823">
        <f t="shared" si="10"/>
        <v>3452.107</v>
      </c>
      <c r="H61" s="823">
        <f t="shared" si="10"/>
        <v>4179.2820000000002</v>
      </c>
      <c r="I61" s="821">
        <f t="shared" si="10"/>
        <v>4696.3189999999995</v>
      </c>
      <c r="J61" s="821">
        <f t="shared" si="10"/>
        <v>5045.09</v>
      </c>
      <c r="K61" s="251"/>
      <c r="L61" s="251"/>
      <c r="M61" s="251"/>
      <c r="N61" s="251"/>
      <c r="O61" s="251"/>
      <c r="P61" s="251"/>
    </row>
    <row r="62" spans="1:16">
      <c r="A62" s="213"/>
      <c r="B62" s="213"/>
      <c r="C62" s="213"/>
      <c r="D62" s="815"/>
      <c r="E62" s="334"/>
      <c r="F62" s="334"/>
      <c r="G62" s="334"/>
      <c r="H62" s="334"/>
      <c r="I62" s="334"/>
      <c r="J62" s="332"/>
      <c r="K62" s="213"/>
      <c r="L62" s="213"/>
      <c r="M62" s="213"/>
      <c r="N62" s="213"/>
      <c r="O62" s="213"/>
      <c r="P62" s="213"/>
    </row>
    <row r="63" spans="1:16">
      <c r="A63" s="213" t="s">
        <v>623</v>
      </c>
      <c r="B63" s="213"/>
      <c r="C63" s="213"/>
      <c r="D63" s="815"/>
      <c r="E63" s="815"/>
      <c r="F63" s="815"/>
      <c r="G63" s="334"/>
      <c r="H63" s="334"/>
      <c r="I63" s="334"/>
      <c r="J63" s="332"/>
      <c r="K63" s="213"/>
      <c r="L63" s="213"/>
      <c r="M63" s="213"/>
      <c r="N63" s="213"/>
      <c r="O63" s="213"/>
      <c r="P63" s="213"/>
    </row>
    <row r="64" spans="1:16">
      <c r="A64" s="242" t="s">
        <v>624</v>
      </c>
      <c r="B64" s="213"/>
      <c r="C64" s="213"/>
      <c r="D64" s="815">
        <v>1691.6979999999999</v>
      </c>
      <c r="E64" s="333">
        <v>2107.6210000000001</v>
      </c>
      <c r="F64" s="333">
        <v>2764.1780000000003</v>
      </c>
      <c r="G64" s="333">
        <v>3130.6309999999999</v>
      </c>
      <c r="H64" s="333">
        <v>4212.0640000000003</v>
      </c>
      <c r="I64" s="333">
        <v>5574.29</v>
      </c>
      <c r="J64" s="331">
        <v>7180.8509999999997</v>
      </c>
      <c r="K64" s="251"/>
      <c r="L64" s="251"/>
      <c r="M64" s="251"/>
      <c r="N64" s="251"/>
      <c r="O64" s="251"/>
      <c r="P64" s="251"/>
    </row>
    <row r="65" spans="1:16">
      <c r="A65" s="242" t="s">
        <v>625</v>
      </c>
      <c r="B65" s="213"/>
      <c r="C65" s="213"/>
      <c r="D65" s="815" t="s">
        <v>269</v>
      </c>
      <c r="E65" s="333" t="s">
        <v>269</v>
      </c>
      <c r="F65" s="333" t="s">
        <v>269</v>
      </c>
      <c r="G65" s="333">
        <v>34.015000000000001</v>
      </c>
      <c r="H65" s="333">
        <v>25.303000000000001</v>
      </c>
      <c r="I65" s="334">
        <v>13.226000000000001</v>
      </c>
      <c r="J65" s="334">
        <v>-17.033999999999999</v>
      </c>
      <c r="K65" s="251"/>
      <c r="L65" s="251"/>
      <c r="M65" s="251"/>
      <c r="N65" s="251"/>
      <c r="O65" s="251"/>
      <c r="P65" s="251"/>
    </row>
    <row r="66" spans="1:16">
      <c r="A66" s="242" t="s">
        <v>626</v>
      </c>
      <c r="B66" s="213"/>
      <c r="C66" s="213"/>
      <c r="D66" s="818">
        <v>-1116.3920000000001</v>
      </c>
      <c r="E66" s="818">
        <v>-1812.7070000000001</v>
      </c>
      <c r="F66" s="818">
        <v>-2428.5749999999998</v>
      </c>
      <c r="G66" s="334">
        <v>-2509.9639999999999</v>
      </c>
      <c r="H66" s="334">
        <v>-3204.5160000000001</v>
      </c>
      <c r="I66" s="334">
        <v>-4241.8649999999998</v>
      </c>
      <c r="J66" s="334">
        <v>-6105.3779999999997</v>
      </c>
      <c r="K66" s="251"/>
      <c r="L66" s="251"/>
      <c r="M66" s="251"/>
      <c r="N66" s="251"/>
      <c r="O66" s="251"/>
      <c r="P66" s="251"/>
    </row>
    <row r="67" spans="1:16">
      <c r="A67" s="242"/>
      <c r="B67" s="213"/>
      <c r="C67" s="213"/>
      <c r="D67" s="815"/>
      <c r="E67" s="334"/>
      <c r="F67" s="334"/>
      <c r="G67" s="334"/>
      <c r="H67" s="334"/>
      <c r="I67" s="334"/>
      <c r="J67" s="331"/>
      <c r="K67" s="251"/>
      <c r="L67" s="251"/>
      <c r="M67" s="251"/>
      <c r="N67" s="251"/>
      <c r="O67" s="251"/>
      <c r="P67" s="251"/>
    </row>
    <row r="68" spans="1:16">
      <c r="A68" s="253" t="s">
        <v>393</v>
      </c>
      <c r="B68" s="253"/>
      <c r="C68" s="253"/>
      <c r="D68" s="821">
        <f t="shared" ref="D68:J68" si="11">SUM(D64:D66)</f>
        <v>575.30599999999981</v>
      </c>
      <c r="E68" s="823">
        <f t="shared" si="11"/>
        <v>294.91399999999999</v>
      </c>
      <c r="F68" s="823">
        <f t="shared" si="11"/>
        <v>335.60300000000052</v>
      </c>
      <c r="G68" s="823">
        <f t="shared" si="11"/>
        <v>654.68199999999979</v>
      </c>
      <c r="H68" s="823">
        <f t="shared" si="11"/>
        <v>1032.8510000000001</v>
      </c>
      <c r="I68" s="823">
        <f t="shared" si="11"/>
        <v>1345.6509999999998</v>
      </c>
      <c r="J68" s="823">
        <f t="shared" si="11"/>
        <v>1058.4390000000003</v>
      </c>
      <c r="K68" s="251"/>
      <c r="L68" s="251"/>
      <c r="M68" s="251"/>
      <c r="N68" s="251"/>
      <c r="O68" s="251"/>
      <c r="P68" s="251"/>
    </row>
    <row r="69" spans="1:16">
      <c r="A69" s="213"/>
      <c r="B69" s="213"/>
      <c r="C69" s="213"/>
      <c r="D69" s="815"/>
      <c r="E69" s="333"/>
      <c r="F69" s="333"/>
      <c r="G69" s="333"/>
      <c r="H69" s="333"/>
      <c r="I69" s="333"/>
      <c r="J69" s="332"/>
      <c r="K69" s="213"/>
      <c r="L69" s="213"/>
      <c r="M69" s="213"/>
      <c r="N69" s="213"/>
      <c r="O69" s="213"/>
      <c r="P69" s="213"/>
    </row>
    <row r="70" spans="1:16">
      <c r="A70" s="253" t="s">
        <v>627</v>
      </c>
      <c r="B70" s="814"/>
      <c r="C70" s="814"/>
      <c r="D70" s="821">
        <f t="shared" ref="D70:J70" si="12">D68+D61</f>
        <v>3894.0720000000001</v>
      </c>
      <c r="E70" s="821">
        <f t="shared" si="12"/>
        <v>2945.3440000000001</v>
      </c>
      <c r="F70" s="821">
        <f t="shared" si="12"/>
        <v>3361.2060000000006</v>
      </c>
      <c r="G70" s="821">
        <f t="shared" si="12"/>
        <v>4106.7889999999998</v>
      </c>
      <c r="H70" s="821">
        <f t="shared" si="12"/>
        <v>5212.1329999999998</v>
      </c>
      <c r="I70" s="821">
        <f t="shared" si="12"/>
        <v>6041.9699999999993</v>
      </c>
      <c r="J70" s="821">
        <f t="shared" si="12"/>
        <v>6103.5290000000005</v>
      </c>
      <c r="K70" s="251"/>
      <c r="L70" s="251"/>
      <c r="M70" s="251"/>
      <c r="N70" s="251"/>
      <c r="O70" s="251"/>
      <c r="P70" s="251"/>
    </row>
    <row r="71" spans="1:16">
      <c r="D71" s="762">
        <f t="shared" ref="D71:J71" si="13">D70-D38</f>
        <v>0</v>
      </c>
      <c r="E71" s="762">
        <f t="shared" si="13"/>
        <v>0</v>
      </c>
      <c r="F71" s="762">
        <f t="shared" si="13"/>
        <v>0</v>
      </c>
      <c r="G71" s="762">
        <f t="shared" si="13"/>
        <v>0</v>
      </c>
      <c r="H71" s="762">
        <f t="shared" si="13"/>
        <v>0</v>
      </c>
      <c r="I71" s="762">
        <f t="shared" si="13"/>
        <v>0</v>
      </c>
      <c r="J71" s="762">
        <f t="shared" si="13"/>
        <v>0</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B3C0E-29C0-4533-B6E4-485F2CAAC44E}">
  <sheetPr codeName="Sheet28">
    <tabColor theme="2" tint="-0.249977111117893"/>
  </sheetPr>
  <dimension ref="A1:P53"/>
  <sheetViews>
    <sheetView showGridLines="0" zoomScale="118" workbookViewId="0">
      <selection activeCell="E41" sqref="E41"/>
    </sheetView>
  </sheetViews>
  <sheetFormatPr defaultColWidth="8.81640625" defaultRowHeight="14.5"/>
  <cols>
    <col min="3" max="3" width="13.81640625" customWidth="1"/>
  </cols>
  <sheetData>
    <row r="1" spans="1:16">
      <c r="A1" s="1056" t="s">
        <v>762</v>
      </c>
      <c r="B1" s="1056"/>
      <c r="C1" s="1056"/>
      <c r="D1" s="1056"/>
      <c r="E1" s="1056"/>
      <c r="F1" s="1056"/>
      <c r="G1" s="1056"/>
      <c r="H1" s="1056"/>
      <c r="I1" s="1056"/>
      <c r="J1" s="1056"/>
      <c r="K1" s="1056"/>
      <c r="L1" s="1056"/>
      <c r="M1" s="1056"/>
      <c r="N1" s="1056"/>
      <c r="O1" s="213"/>
    </row>
    <row r="2" spans="1:16">
      <c r="A2" s="1056" t="s">
        <v>89</v>
      </c>
      <c r="B2" s="1056"/>
      <c r="C2" s="213"/>
      <c r="D2" s="213"/>
      <c r="E2" s="213"/>
      <c r="F2" s="213"/>
      <c r="G2" s="213"/>
      <c r="H2" s="213"/>
      <c r="I2" s="213"/>
      <c r="J2" s="213"/>
      <c r="K2" s="213"/>
      <c r="L2" s="213"/>
      <c r="M2" s="213"/>
      <c r="N2" s="213"/>
      <c r="O2" s="213"/>
    </row>
    <row r="3" spans="1:16">
      <c r="A3" s="213"/>
      <c r="B3" s="213"/>
      <c r="C3" s="213"/>
      <c r="D3" s="213"/>
      <c r="E3" s="213"/>
      <c r="F3" s="213"/>
      <c r="G3" s="213"/>
      <c r="H3" s="213"/>
      <c r="I3" s="213"/>
      <c r="J3" s="213"/>
      <c r="K3" s="213"/>
      <c r="L3" s="213"/>
      <c r="M3" s="213"/>
      <c r="N3" s="213"/>
      <c r="O3" s="213"/>
    </row>
    <row r="4" spans="1:16">
      <c r="A4" s="213"/>
      <c r="B4" s="213"/>
      <c r="C4" s="213"/>
      <c r="D4" s="213"/>
      <c r="E4" s="213"/>
      <c r="F4" s="213"/>
      <c r="G4" s="213"/>
      <c r="H4" s="213"/>
      <c r="I4" s="213"/>
      <c r="J4" s="213"/>
      <c r="K4" s="213"/>
      <c r="L4" s="213"/>
      <c r="M4" s="213"/>
      <c r="N4" s="213"/>
      <c r="O4" s="213"/>
    </row>
    <row r="5" spans="1:16">
      <c r="A5" s="213"/>
      <c r="B5" s="213"/>
      <c r="C5" s="213"/>
      <c r="D5" s="229">
        <v>43983</v>
      </c>
      <c r="E5" s="214">
        <v>44377</v>
      </c>
      <c r="F5" s="214">
        <f>EDATE(E5,12)</f>
        <v>44742</v>
      </c>
      <c r="G5" s="214">
        <f t="shared" ref="G5:N5" si="0">EDATE(F5,12)</f>
        <v>45107</v>
      </c>
      <c r="H5" s="214">
        <f t="shared" si="0"/>
        <v>45473</v>
      </c>
      <c r="I5" s="214">
        <f t="shared" si="0"/>
        <v>45838</v>
      </c>
      <c r="J5" s="214">
        <f t="shared" si="0"/>
        <v>46203</v>
      </c>
      <c r="K5" s="214">
        <f t="shared" si="0"/>
        <v>46568</v>
      </c>
      <c r="L5" s="214">
        <f t="shared" si="0"/>
        <v>46934</v>
      </c>
      <c r="M5" s="214">
        <f t="shared" si="0"/>
        <v>47299</v>
      </c>
      <c r="N5" s="214">
        <f t="shared" si="0"/>
        <v>47664</v>
      </c>
      <c r="O5" s="214">
        <f t="shared" ref="O5" si="1">EDATE(N5,12)</f>
        <v>48029</v>
      </c>
      <c r="P5" s="214">
        <f t="shared" ref="P5" si="2">EDATE(O5,12)</f>
        <v>48395</v>
      </c>
    </row>
    <row r="6" spans="1:16">
      <c r="A6" s="213"/>
      <c r="B6" s="213"/>
      <c r="C6" s="213"/>
      <c r="D6" s="228" t="s">
        <v>16</v>
      </c>
      <c r="E6" s="215" t="s">
        <v>16</v>
      </c>
      <c r="F6" s="215" t="s">
        <v>16</v>
      </c>
      <c r="G6" s="215" t="s">
        <v>16</v>
      </c>
      <c r="H6" s="215" t="s">
        <v>16</v>
      </c>
      <c r="I6" s="215" t="s">
        <v>16</v>
      </c>
      <c r="J6" s="227" t="s">
        <v>17</v>
      </c>
      <c r="K6" s="227" t="s">
        <v>17</v>
      </c>
      <c r="L6" s="227" t="s">
        <v>17</v>
      </c>
      <c r="M6" s="227" t="s">
        <v>17</v>
      </c>
      <c r="N6" s="227" t="s">
        <v>17</v>
      </c>
      <c r="O6" s="227" t="s">
        <v>17</v>
      </c>
      <c r="P6" s="227" t="s">
        <v>17</v>
      </c>
    </row>
    <row r="7" spans="1:16">
      <c r="A7" s="213"/>
      <c r="B7" s="213"/>
      <c r="C7" s="213"/>
      <c r="D7" s="213"/>
      <c r="E7" s="216"/>
      <c r="F7" s="216"/>
      <c r="G7" s="216"/>
      <c r="H7" s="216"/>
      <c r="I7" s="216"/>
      <c r="J7" s="216"/>
      <c r="K7" s="216"/>
      <c r="L7" s="216"/>
      <c r="M7" s="216"/>
      <c r="N7" s="216"/>
      <c r="O7" s="213"/>
    </row>
    <row r="8" spans="1:16">
      <c r="A8" s="225"/>
      <c r="B8" s="225"/>
      <c r="C8" s="225"/>
      <c r="D8" s="225"/>
      <c r="E8" s="225"/>
      <c r="F8" s="225"/>
      <c r="G8" s="225"/>
      <c r="H8" s="225"/>
      <c r="I8" s="225"/>
      <c r="J8" s="225"/>
      <c r="K8" s="225"/>
      <c r="L8" s="225"/>
      <c r="M8" s="225"/>
      <c r="N8" s="225"/>
      <c r="O8" s="225"/>
      <c r="P8" s="225"/>
    </row>
    <row r="9" spans="1:16">
      <c r="A9" s="213"/>
      <c r="B9" s="213"/>
      <c r="C9" s="213"/>
      <c r="D9" s="213"/>
      <c r="E9" s="213"/>
      <c r="F9" s="213"/>
      <c r="G9" s="213"/>
      <c r="H9" s="213"/>
      <c r="I9" s="213"/>
      <c r="J9" s="213"/>
      <c r="K9" s="213"/>
      <c r="L9" s="213"/>
      <c r="M9" s="213"/>
      <c r="N9" s="213"/>
      <c r="O9" s="213"/>
    </row>
    <row r="10" spans="1:16">
      <c r="A10" s="217" t="s">
        <v>629</v>
      </c>
      <c r="B10" s="213"/>
      <c r="C10" s="213"/>
      <c r="D10" s="213"/>
      <c r="E10" s="213"/>
      <c r="F10" s="213"/>
      <c r="G10" s="213"/>
      <c r="H10" s="213"/>
      <c r="I10" s="213"/>
      <c r="J10" s="213"/>
      <c r="K10" s="213"/>
      <c r="L10" s="213"/>
      <c r="M10" s="213"/>
      <c r="N10" s="213"/>
      <c r="O10" s="213"/>
    </row>
    <row r="11" spans="1:16">
      <c r="A11" s="218" t="s">
        <v>44</v>
      </c>
      <c r="B11" s="213"/>
      <c r="C11" s="213"/>
      <c r="D11" s="231">
        <f>'IS Historical'!E39</f>
        <v>-350.65400000000022</v>
      </c>
      <c r="E11" s="231">
        <f>'IS Historical'!F39</f>
        <v>-696.31499999999994</v>
      </c>
      <c r="F11" s="231">
        <f>'IS Historical'!G39</f>
        <v>-614.12400000000036</v>
      </c>
      <c r="G11" s="231">
        <f>'IS Historical'!H39</f>
        <v>-486.76100000000019</v>
      </c>
      <c r="H11" s="231">
        <f>'IS Historical'!I39</f>
        <v>-300.51899999999932</v>
      </c>
      <c r="I11" s="231">
        <f>'IS Historical'!J39</f>
        <v>-256.68699999999984</v>
      </c>
      <c r="J11" s="231">
        <f>'IS Historical'!K39</f>
        <v>-53.830000000000851</v>
      </c>
      <c r="K11" s="220"/>
      <c r="L11" s="220"/>
      <c r="M11" s="220"/>
      <c r="N11" s="220"/>
      <c r="O11" s="220"/>
      <c r="P11" s="220"/>
    </row>
    <row r="12" spans="1:16">
      <c r="A12" s="218" t="s">
        <v>630</v>
      </c>
      <c r="B12" s="213"/>
      <c r="C12" s="213"/>
      <c r="D12" s="231">
        <v>97.397999999999996</v>
      </c>
      <c r="E12" s="232">
        <v>92.847999999999999</v>
      </c>
      <c r="F12" s="232">
        <v>51.738999999999997</v>
      </c>
      <c r="G12" s="232">
        <v>60.923000000000002</v>
      </c>
      <c r="H12" s="232">
        <v>78.738</v>
      </c>
      <c r="I12" s="232">
        <v>92.375</v>
      </c>
      <c r="J12" s="231">
        <v>140.66800000000001</v>
      </c>
      <c r="K12" s="220"/>
      <c r="L12" s="220"/>
      <c r="M12" s="220"/>
      <c r="N12" s="220"/>
      <c r="O12" s="220"/>
      <c r="P12" s="220"/>
    </row>
    <row r="13" spans="1:16">
      <c r="A13" s="218" t="s">
        <v>631</v>
      </c>
      <c r="B13" s="213"/>
      <c r="C13" s="213"/>
      <c r="D13" s="231">
        <v>0</v>
      </c>
      <c r="E13" s="232">
        <v>0</v>
      </c>
      <c r="F13" s="232">
        <v>0</v>
      </c>
      <c r="G13" s="232">
        <v>0</v>
      </c>
      <c r="H13" s="232">
        <v>0.11899999999999999</v>
      </c>
      <c r="I13" s="232">
        <v>4.05</v>
      </c>
      <c r="J13" s="231">
        <v>-23.08</v>
      </c>
      <c r="K13" s="220"/>
      <c r="L13" s="220"/>
      <c r="M13" s="220"/>
      <c r="N13" s="220"/>
      <c r="O13" s="220"/>
      <c r="P13" s="220"/>
    </row>
    <row r="14" spans="1:16">
      <c r="A14" s="218" t="s">
        <v>632</v>
      </c>
      <c r="B14" s="213"/>
      <c r="C14" s="213"/>
      <c r="D14" s="231">
        <v>673.75199999999995</v>
      </c>
      <c r="E14" s="232">
        <v>1091.6880000000001</v>
      </c>
      <c r="F14" s="232">
        <v>1035.578</v>
      </c>
      <c r="G14" s="232">
        <v>985.39300000000003</v>
      </c>
      <c r="H14" s="232">
        <v>1092.8320000000001</v>
      </c>
      <c r="I14" s="232">
        <v>1355.846</v>
      </c>
      <c r="J14" s="231">
        <v>1665.37</v>
      </c>
      <c r="K14" s="220"/>
      <c r="L14" s="220"/>
      <c r="M14" s="220"/>
      <c r="N14" s="220"/>
      <c r="O14" s="220"/>
      <c r="P14" s="220"/>
    </row>
    <row r="15" spans="1:16">
      <c r="A15" s="213"/>
      <c r="B15" s="213"/>
      <c r="C15" s="213"/>
      <c r="D15" s="231"/>
      <c r="E15" s="232"/>
      <c r="F15" s="232"/>
      <c r="G15" s="232"/>
      <c r="H15" s="232"/>
      <c r="I15" s="232"/>
      <c r="J15" s="231"/>
      <c r="K15" s="213"/>
      <c r="L15" s="213"/>
      <c r="M15" s="213"/>
      <c r="N15" s="213"/>
      <c r="O15" s="213"/>
      <c r="P15" s="213"/>
    </row>
    <row r="16" spans="1:16">
      <c r="A16" s="221" t="s">
        <v>634</v>
      </c>
      <c r="B16" s="221"/>
      <c r="C16" s="221"/>
      <c r="D16" s="237">
        <f>SUM(D11:D14)</f>
        <v>420.49599999999975</v>
      </c>
      <c r="E16" s="237">
        <f>SUM(E11:E14)</f>
        <v>488.22100000000012</v>
      </c>
      <c r="F16" s="237">
        <f t="shared" ref="F16:J16" si="3">SUM(F11:F14)</f>
        <v>473.19299999999964</v>
      </c>
      <c r="G16" s="237">
        <f t="shared" si="3"/>
        <v>559.55499999999984</v>
      </c>
      <c r="H16" s="237">
        <f t="shared" si="3"/>
        <v>871.17000000000075</v>
      </c>
      <c r="I16" s="237">
        <f t="shared" si="3"/>
        <v>1195.5840000000003</v>
      </c>
      <c r="J16" s="237">
        <f t="shared" si="3"/>
        <v>1729.127999999999</v>
      </c>
      <c r="K16" s="220"/>
      <c r="L16" s="220"/>
      <c r="M16" s="220"/>
      <c r="N16" s="220"/>
      <c r="O16" s="220"/>
      <c r="P16" s="220"/>
    </row>
    <row r="17" spans="1:16">
      <c r="A17" s="213"/>
      <c r="B17" s="213"/>
      <c r="C17" s="213"/>
      <c r="D17" s="231"/>
      <c r="E17" s="231"/>
      <c r="F17" s="231"/>
      <c r="G17" s="231"/>
      <c r="H17" s="231"/>
      <c r="I17" s="231"/>
      <c r="J17" s="772"/>
      <c r="K17" s="213"/>
      <c r="L17" s="213"/>
      <c r="M17" s="213"/>
      <c r="N17" s="213"/>
      <c r="O17" s="213"/>
      <c r="P17" s="213"/>
    </row>
    <row r="18" spans="1:16">
      <c r="A18" s="222" t="s">
        <v>635</v>
      </c>
      <c r="B18" s="213"/>
      <c r="C18" s="213"/>
      <c r="D18" s="231">
        <f t="shared" ref="D18:I18" si="4">SUM(D19:D23)</f>
        <v>143.01900000000001</v>
      </c>
      <c r="E18" s="231">
        <f t="shared" si="4"/>
        <v>233.50199999999998</v>
      </c>
      <c r="F18" s="231">
        <f t="shared" si="4"/>
        <v>253.23699999999999</v>
      </c>
      <c r="G18" s="231">
        <f t="shared" si="4"/>
        <v>308.55599999999998</v>
      </c>
      <c r="H18" s="231">
        <f t="shared" si="4"/>
        <v>576.98900000000003</v>
      </c>
      <c r="I18" s="231">
        <f t="shared" si="4"/>
        <v>264.80899999999997</v>
      </c>
      <c r="J18" s="231">
        <f>SUM(J19:J23)</f>
        <v>-375.99900000000002</v>
      </c>
      <c r="K18" s="220"/>
      <c r="L18" s="220"/>
      <c r="M18" s="220"/>
      <c r="N18" s="220"/>
      <c r="O18" s="220"/>
      <c r="P18" s="220"/>
    </row>
    <row r="19" spans="1:16">
      <c r="A19" s="218" t="s">
        <v>636</v>
      </c>
      <c r="B19" s="213"/>
      <c r="C19" s="213"/>
      <c r="D19" s="231">
        <v>-29.44</v>
      </c>
      <c r="E19" s="232">
        <v>-61.256</v>
      </c>
      <c r="F19" s="232">
        <v>-134.76400000000001</v>
      </c>
      <c r="G19" s="232">
        <v>-169.52600000000001</v>
      </c>
      <c r="H19" s="232">
        <v>-148.46899999999999</v>
      </c>
      <c r="I19" s="232">
        <v>-150.035</v>
      </c>
      <c r="J19" s="231">
        <v>-484.46499999999997</v>
      </c>
      <c r="K19" s="220"/>
      <c r="L19" s="220"/>
      <c r="M19" s="220"/>
      <c r="N19" s="220"/>
      <c r="O19" s="220"/>
      <c r="P19" s="220"/>
    </row>
    <row r="20" spans="1:16">
      <c r="A20" s="218" t="s">
        <v>637</v>
      </c>
      <c r="D20" s="235"/>
      <c r="E20" s="231"/>
      <c r="F20" s="231">
        <v>93.25</v>
      </c>
      <c r="G20" s="231">
        <v>74.611000000000004</v>
      </c>
      <c r="H20" s="232">
        <v>158.12299999999999</v>
      </c>
      <c r="I20" s="232">
        <v>90.988</v>
      </c>
      <c r="J20" s="232">
        <v>69.076999999999998</v>
      </c>
      <c r="K20" s="220"/>
      <c r="L20" s="220"/>
      <c r="M20" s="220"/>
      <c r="N20" s="220"/>
      <c r="O20" s="220"/>
      <c r="P20" s="220"/>
    </row>
    <row r="21" spans="1:16">
      <c r="A21" s="218" t="s">
        <v>609</v>
      </c>
      <c r="B21" s="213"/>
      <c r="C21" s="213"/>
      <c r="D21" s="231">
        <v>51.531999999999996</v>
      </c>
      <c r="E21" s="232">
        <v>10.441000000000001</v>
      </c>
      <c r="F21" s="232">
        <v>31.741</v>
      </c>
      <c r="G21" s="232">
        <v>78.902000000000001</v>
      </c>
      <c r="H21" s="232">
        <v>18.149999999999999</v>
      </c>
      <c r="I21" s="232">
        <v>42.872999999999998</v>
      </c>
      <c r="J21" s="232">
        <v>41.906999999999996</v>
      </c>
      <c r="K21" s="220"/>
      <c r="L21" s="220"/>
      <c r="M21" s="220"/>
      <c r="N21" s="220"/>
      <c r="O21" s="220"/>
      <c r="P21" s="220"/>
    </row>
    <row r="22" spans="1:16">
      <c r="A22" s="218" t="s">
        <v>638</v>
      </c>
      <c r="B22" s="213"/>
      <c r="C22" s="213"/>
      <c r="D22" s="231">
        <v>-10.608000000000001</v>
      </c>
      <c r="E22" s="231">
        <v>-10.054</v>
      </c>
      <c r="F22" s="231">
        <v>-21.927</v>
      </c>
      <c r="G22" s="231">
        <v>-38.229999999999997</v>
      </c>
      <c r="H22" s="231">
        <v>-3.1219999999999999</v>
      </c>
      <c r="I22" s="231">
        <v>-85.385000000000005</v>
      </c>
      <c r="J22" s="231">
        <v>-155.83199999999999</v>
      </c>
      <c r="K22" s="220"/>
      <c r="L22" s="220"/>
      <c r="M22" s="220"/>
      <c r="N22" s="220"/>
      <c r="O22" s="220"/>
      <c r="P22" s="220"/>
    </row>
    <row r="23" spans="1:16">
      <c r="A23" s="218" t="s">
        <v>639</v>
      </c>
      <c r="B23" s="213"/>
      <c r="C23" s="213"/>
      <c r="D23" s="231">
        <v>131.535</v>
      </c>
      <c r="E23" s="232">
        <v>294.37099999999998</v>
      </c>
      <c r="F23" s="232">
        <v>284.93700000000001</v>
      </c>
      <c r="G23" s="232">
        <v>362.79899999999998</v>
      </c>
      <c r="H23" s="232">
        <v>552.30700000000002</v>
      </c>
      <c r="I23" s="232">
        <v>366.36799999999999</v>
      </c>
      <c r="J23" s="232">
        <v>153.31399999999999</v>
      </c>
      <c r="K23" s="213"/>
      <c r="L23" s="213"/>
      <c r="M23" s="213"/>
      <c r="N23" s="213"/>
      <c r="O23" s="213"/>
      <c r="P23" s="213"/>
    </row>
    <row r="24" spans="1:16">
      <c r="A24" s="218"/>
      <c r="B24" s="213"/>
      <c r="C24" s="213"/>
      <c r="D24" s="231"/>
      <c r="E24" s="232"/>
      <c r="F24" s="232"/>
      <c r="G24" s="232"/>
      <c r="H24" s="232"/>
      <c r="I24" s="232"/>
      <c r="J24" s="773"/>
      <c r="K24" s="213"/>
      <c r="L24" s="213"/>
      <c r="M24" s="213"/>
      <c r="N24" s="213"/>
      <c r="O24" s="213"/>
      <c r="P24" s="213"/>
    </row>
    <row r="25" spans="1:16">
      <c r="A25" s="221" t="s">
        <v>641</v>
      </c>
      <c r="B25" s="221"/>
      <c r="C25" s="221"/>
      <c r="D25" s="237">
        <v>574.21</v>
      </c>
      <c r="E25" s="237">
        <v>841.33</v>
      </c>
      <c r="F25" s="237">
        <v>883.49599999999998</v>
      </c>
      <c r="G25" s="237">
        <f>SUM(G16,G18)</f>
        <v>868.11099999999988</v>
      </c>
      <c r="H25" s="237">
        <f t="shared" ref="H25:J25" si="5">SUM(H16,H18)</f>
        <v>1448.1590000000008</v>
      </c>
      <c r="I25" s="237">
        <f t="shared" si="5"/>
        <v>1460.3930000000003</v>
      </c>
      <c r="J25" s="237">
        <f t="shared" si="5"/>
        <v>1353.128999999999</v>
      </c>
      <c r="K25" s="220"/>
      <c r="L25" s="220"/>
      <c r="M25" s="220"/>
      <c r="N25" s="220"/>
      <c r="O25" s="220"/>
      <c r="P25" s="220"/>
    </row>
    <row r="26" spans="1:16">
      <c r="A26" s="213"/>
      <c r="B26" s="213"/>
      <c r="C26" s="213"/>
      <c r="D26" s="231"/>
      <c r="E26" s="232"/>
      <c r="F26" s="232"/>
      <c r="G26" s="232"/>
      <c r="H26" s="232"/>
      <c r="I26" s="232"/>
      <c r="J26" s="240"/>
      <c r="K26" s="213"/>
      <c r="L26" s="213"/>
      <c r="M26" s="213"/>
      <c r="N26" s="213"/>
      <c r="O26" s="213"/>
      <c r="P26" s="213"/>
    </row>
    <row r="27" spans="1:16">
      <c r="A27" s="217" t="s">
        <v>642</v>
      </c>
      <c r="B27" s="213"/>
      <c r="C27" s="213"/>
      <c r="D27" s="231"/>
      <c r="E27" s="232"/>
      <c r="F27" s="232"/>
      <c r="G27" s="232"/>
      <c r="H27" s="232"/>
      <c r="I27" s="232"/>
      <c r="J27" s="231"/>
      <c r="K27" s="213"/>
      <c r="L27" s="213"/>
      <c r="M27" s="213"/>
      <c r="N27" s="213"/>
      <c r="O27" s="213"/>
      <c r="P27" s="213"/>
    </row>
    <row r="28" spans="1:16">
      <c r="A28" s="218" t="s">
        <v>643</v>
      </c>
      <c r="B28" s="213"/>
      <c r="C28" s="213"/>
      <c r="D28" s="231">
        <v>-35.709000000000003</v>
      </c>
      <c r="E28" s="232">
        <v>-33.32</v>
      </c>
      <c r="F28" s="232">
        <v>-74.600999999999999</v>
      </c>
      <c r="G28" s="232">
        <v>-25.812000000000001</v>
      </c>
      <c r="H28" s="232">
        <v>-33.112000000000002</v>
      </c>
      <c r="I28" s="232">
        <v>-44.85</v>
      </c>
      <c r="J28" s="231">
        <v>-34.06</v>
      </c>
      <c r="K28" s="220"/>
      <c r="L28" s="220"/>
      <c r="M28" s="220"/>
      <c r="N28" s="220"/>
      <c r="O28" s="220"/>
      <c r="P28" s="220"/>
    </row>
    <row r="29" spans="1:16">
      <c r="A29" s="218" t="s">
        <v>644</v>
      </c>
      <c r="B29" s="213"/>
      <c r="C29" s="213"/>
      <c r="D29" s="231">
        <v>-53.972000000000001</v>
      </c>
      <c r="E29" s="232">
        <v>-91.769000000000005</v>
      </c>
      <c r="F29" s="232">
        <v>-19.411000000000001</v>
      </c>
      <c r="G29" s="232">
        <v>-5.7750000000000004</v>
      </c>
      <c r="H29" s="232">
        <v>-847.76700000000005</v>
      </c>
      <c r="I29" s="232">
        <v>-14.244999999999999</v>
      </c>
      <c r="J29" s="232">
        <v>-1228.875</v>
      </c>
      <c r="K29" s="220"/>
      <c r="L29" s="220"/>
      <c r="M29" s="220"/>
      <c r="N29" s="220"/>
      <c r="O29" s="220"/>
      <c r="P29" s="220"/>
    </row>
    <row r="30" spans="1:16">
      <c r="A30" s="218" t="s">
        <v>645</v>
      </c>
      <c r="B30" s="213"/>
      <c r="C30" s="213"/>
      <c r="D30" s="231">
        <v>-229.25</v>
      </c>
      <c r="E30" s="232">
        <v>381.733</v>
      </c>
      <c r="F30" s="232">
        <v>130.52799999999999</v>
      </c>
      <c r="G30" s="232">
        <v>30.329000000000001</v>
      </c>
      <c r="H30" s="232">
        <v>-82.867000000000004</v>
      </c>
      <c r="I30" s="232">
        <v>-283.22699999999998</v>
      </c>
      <c r="J30" s="232">
        <v>456.04199999999997</v>
      </c>
      <c r="K30" s="220"/>
      <c r="L30" s="220"/>
      <c r="M30" s="220"/>
      <c r="N30" s="220"/>
      <c r="O30" s="220"/>
      <c r="P30" s="220"/>
    </row>
    <row r="31" spans="1:16">
      <c r="A31" s="213"/>
      <c r="B31" s="213"/>
      <c r="C31" s="213"/>
      <c r="D31" s="231"/>
      <c r="E31" s="232"/>
      <c r="F31" s="232"/>
      <c r="G31" s="232"/>
      <c r="H31" s="232"/>
      <c r="I31" s="232"/>
      <c r="J31" s="231"/>
      <c r="K31" s="213"/>
      <c r="L31" s="213"/>
      <c r="M31" s="213"/>
      <c r="N31" s="213"/>
      <c r="O31" s="213"/>
      <c r="P31" s="213"/>
    </row>
    <row r="32" spans="1:16">
      <c r="A32" s="221" t="s">
        <v>647</v>
      </c>
      <c r="B32" s="221"/>
      <c r="C32" s="221"/>
      <c r="D32" s="236">
        <f>SUM(D28:D30)</f>
        <v>-318.93100000000004</v>
      </c>
      <c r="E32" s="236">
        <f t="shared" ref="E32:J32" si="6">SUM(E28:E30)</f>
        <v>256.64400000000001</v>
      </c>
      <c r="F32" s="236">
        <f t="shared" si="6"/>
        <v>36.515999999999991</v>
      </c>
      <c r="G32" s="236">
        <f t="shared" si="6"/>
        <v>-1.2580000000000027</v>
      </c>
      <c r="H32" s="236">
        <f t="shared" si="6"/>
        <v>-963.74599999999998</v>
      </c>
      <c r="I32" s="236">
        <f t="shared" si="6"/>
        <v>-342.322</v>
      </c>
      <c r="J32" s="236">
        <f t="shared" si="6"/>
        <v>-806.89300000000003</v>
      </c>
      <c r="K32" s="220"/>
      <c r="L32" s="220"/>
      <c r="M32" s="220"/>
      <c r="N32" s="220"/>
      <c r="O32" s="220"/>
      <c r="P32" s="220"/>
    </row>
    <row r="33" spans="1:16">
      <c r="A33" s="213"/>
      <c r="B33" s="213"/>
      <c r="C33" s="213"/>
      <c r="D33" s="213"/>
      <c r="E33" s="213"/>
      <c r="F33" s="213"/>
      <c r="G33" s="213"/>
      <c r="H33" s="213"/>
      <c r="I33" s="213"/>
      <c r="J33" s="231"/>
      <c r="K33" s="213"/>
      <c r="L33" s="213"/>
      <c r="M33" s="213"/>
      <c r="N33" s="213"/>
      <c r="O33" s="213"/>
      <c r="P33" s="213"/>
    </row>
    <row r="34" spans="1:16">
      <c r="A34" s="217" t="s">
        <v>648</v>
      </c>
      <c r="B34" s="213"/>
      <c r="C34" s="213"/>
      <c r="D34" s="213"/>
      <c r="E34" s="219"/>
      <c r="F34" s="219"/>
      <c r="G34" s="219"/>
      <c r="H34" s="219"/>
      <c r="I34" s="219"/>
      <c r="J34" s="213"/>
      <c r="K34" s="213"/>
      <c r="L34" s="213"/>
      <c r="M34" s="213"/>
      <c r="N34" s="213"/>
      <c r="O34" s="213"/>
      <c r="P34" s="213"/>
    </row>
    <row r="35" spans="1:16">
      <c r="A35" s="218" t="s">
        <v>649</v>
      </c>
      <c r="B35" s="213"/>
      <c r="C35" s="213"/>
      <c r="D35" s="231">
        <v>1.802</v>
      </c>
      <c r="E35" s="232">
        <v>1.163</v>
      </c>
      <c r="F35" s="232">
        <v>0</v>
      </c>
      <c r="G35" s="232">
        <v>-150.006</v>
      </c>
      <c r="H35" s="232">
        <v>-395.25599999999997</v>
      </c>
      <c r="I35" s="232">
        <v>-779.43899999999996</v>
      </c>
      <c r="J35" s="231">
        <v>-1800.4849999999999</v>
      </c>
      <c r="K35" s="220"/>
      <c r="L35" s="220"/>
      <c r="M35" s="220"/>
      <c r="N35" s="220"/>
      <c r="O35" s="220"/>
      <c r="P35" s="220"/>
    </row>
    <row r="36" spans="1:16">
      <c r="A36" s="218" t="s">
        <v>650</v>
      </c>
      <c r="B36" s="213"/>
      <c r="C36" s="213"/>
      <c r="D36" s="231">
        <v>-2E-3</v>
      </c>
      <c r="E36" s="232">
        <v>-1803.2439999999999</v>
      </c>
      <c r="F36" s="232">
        <v>-548.68600000000004</v>
      </c>
      <c r="G36" s="232">
        <v>0</v>
      </c>
      <c r="H36" s="232">
        <v>-12.961</v>
      </c>
      <c r="I36" s="232">
        <v>0</v>
      </c>
      <c r="J36" s="775">
        <f>'BS Old'!K59-'BS Old'!J59+'BS Old'!K48-'BS Old'!J48</f>
        <v>0.22199999999997289</v>
      </c>
      <c r="K36" s="220"/>
      <c r="L36" s="220"/>
      <c r="M36" s="220"/>
      <c r="N36" s="220"/>
      <c r="O36" s="220"/>
      <c r="P36" s="220"/>
    </row>
    <row r="37" spans="1:16">
      <c r="A37" s="223" t="s">
        <v>651</v>
      </c>
      <c r="B37" s="213"/>
      <c r="C37" s="213"/>
      <c r="D37" s="231">
        <v>-2E-3</v>
      </c>
      <c r="E37" s="232">
        <v>-1803.2439999999999</v>
      </c>
      <c r="F37" s="232">
        <v>0</v>
      </c>
      <c r="G37" s="232">
        <v>0</v>
      </c>
      <c r="H37" s="232">
        <v>0</v>
      </c>
      <c r="I37" s="232">
        <v>0</v>
      </c>
      <c r="J37" s="231">
        <f>'BS Old'!K48-'BS Old'!J48</f>
        <v>-1.6540000000000035</v>
      </c>
      <c r="K37" s="220"/>
      <c r="L37" s="220"/>
      <c r="M37" s="220"/>
      <c r="N37" s="220"/>
      <c r="O37" s="220"/>
      <c r="P37" s="220"/>
    </row>
    <row r="38" spans="1:16">
      <c r="A38" s="223" t="s">
        <v>652</v>
      </c>
      <c r="B38" s="213"/>
      <c r="C38" s="213"/>
      <c r="D38" s="231">
        <v>0</v>
      </c>
      <c r="E38" s="232">
        <v>0</v>
      </c>
      <c r="F38" s="232">
        <v>-548.68600000000004</v>
      </c>
      <c r="G38" s="232">
        <v>0</v>
      </c>
      <c r="H38" s="232">
        <v>-12.961</v>
      </c>
      <c r="I38" s="232">
        <v>0</v>
      </c>
      <c r="J38" s="231">
        <f>'BS Old'!K59-'BS Old'!J59</f>
        <v>1.8759999999999764</v>
      </c>
      <c r="K38" s="220"/>
      <c r="L38" s="220"/>
      <c r="M38" s="220"/>
      <c r="N38" s="220"/>
      <c r="O38" s="220"/>
      <c r="P38" s="220"/>
    </row>
    <row r="39" spans="1:16">
      <c r="A39" s="224" t="s">
        <v>653</v>
      </c>
      <c r="B39" s="213"/>
      <c r="C39" s="213"/>
      <c r="D39" s="231">
        <v>0</v>
      </c>
      <c r="E39" s="232">
        <v>0</v>
      </c>
      <c r="F39" s="232">
        <v>1000</v>
      </c>
      <c r="G39" s="232">
        <v>0</v>
      </c>
      <c r="H39" s="232">
        <v>987.03899999999999</v>
      </c>
      <c r="I39" s="232">
        <v>0</v>
      </c>
      <c r="J39" s="231">
        <f>'BS Old'!K59-'BS Old'!J59</f>
        <v>1.8759999999999764</v>
      </c>
      <c r="K39" s="220"/>
      <c r="L39" s="220"/>
      <c r="M39" s="220"/>
      <c r="N39" s="220"/>
      <c r="O39" s="220"/>
      <c r="P39" s="220"/>
    </row>
    <row r="40" spans="1:16">
      <c r="A40" s="224" t="s">
        <v>654</v>
      </c>
      <c r="B40" s="213"/>
      <c r="C40" s="213"/>
      <c r="D40" s="231">
        <v>0</v>
      </c>
      <c r="E40" s="232">
        <v>0</v>
      </c>
      <c r="F40" s="232">
        <v>-1548.6859999999999</v>
      </c>
      <c r="G40" s="232">
        <v>0</v>
      </c>
      <c r="H40" s="232">
        <v>-1000</v>
      </c>
      <c r="I40" s="232">
        <v>0</v>
      </c>
      <c r="J40" s="231">
        <v>0</v>
      </c>
      <c r="K40" s="220"/>
      <c r="L40" s="220"/>
      <c r="M40" s="220"/>
      <c r="N40" s="220"/>
      <c r="O40" s="220"/>
      <c r="P40" s="220"/>
    </row>
    <row r="41" spans="1:16">
      <c r="A41" s="218" t="s">
        <v>655</v>
      </c>
      <c r="B41" s="213"/>
      <c r="C41" s="213"/>
      <c r="D41" s="231">
        <v>-38.125</v>
      </c>
      <c r="E41" s="232">
        <v>-44.874000000000002</v>
      </c>
      <c r="F41" s="232"/>
      <c r="G41" s="232"/>
      <c r="H41" s="232"/>
      <c r="I41" s="232"/>
      <c r="J41" s="231"/>
      <c r="K41" s="220"/>
      <c r="L41" s="220"/>
      <c r="M41" s="220"/>
      <c r="N41" s="220"/>
      <c r="O41" s="220"/>
      <c r="P41" s="220"/>
    </row>
    <row r="42" spans="1:16">
      <c r="A42" s="218" t="s">
        <v>632</v>
      </c>
      <c r="B42" s="213"/>
      <c r="C42" s="213"/>
      <c r="D42" s="231">
        <v>0</v>
      </c>
      <c r="E42" s="232">
        <v>203.09299999999999</v>
      </c>
      <c r="F42" s="232">
        <v>149.40600000000001</v>
      </c>
      <c r="G42" s="232">
        <v>1.585</v>
      </c>
      <c r="H42" s="232">
        <v>0</v>
      </c>
      <c r="I42" s="232">
        <v>-3.1429999999999998</v>
      </c>
      <c r="J42" s="231">
        <v>0</v>
      </c>
      <c r="K42" s="220"/>
      <c r="L42" s="220"/>
      <c r="M42" s="220"/>
      <c r="N42" s="220"/>
      <c r="O42" s="220"/>
      <c r="P42" s="220"/>
    </row>
    <row r="43" spans="1:16">
      <c r="A43" s="218" t="s">
        <v>656</v>
      </c>
      <c r="B43" s="213"/>
      <c r="C43" s="213"/>
      <c r="D43" s="231">
        <v>-1.18</v>
      </c>
      <c r="E43" s="231">
        <v>5.41</v>
      </c>
      <c r="F43" s="231">
        <v>-9.19</v>
      </c>
      <c r="G43" s="231">
        <v>-1.81</v>
      </c>
      <c r="H43" s="231">
        <v>-1.99</v>
      </c>
      <c r="I43" s="231">
        <v>0.15</v>
      </c>
      <c r="J43" s="231">
        <v>-10.233000000000001</v>
      </c>
      <c r="K43" s="220"/>
      <c r="L43" s="220"/>
      <c r="M43" s="220"/>
      <c r="N43" s="220"/>
      <c r="O43" s="220"/>
      <c r="P43" s="220"/>
    </row>
    <row r="44" spans="1:16">
      <c r="A44" s="213"/>
      <c r="B44" s="213"/>
      <c r="C44" s="213"/>
      <c r="D44" s="213"/>
      <c r="E44" s="219"/>
      <c r="F44" s="219"/>
      <c r="G44" s="219"/>
      <c r="H44" s="219"/>
      <c r="I44" s="219"/>
      <c r="J44" s="774"/>
      <c r="K44" s="213"/>
      <c r="L44" s="213"/>
      <c r="M44" s="213"/>
      <c r="N44" s="213"/>
      <c r="O44" s="213"/>
      <c r="P44" s="213"/>
    </row>
    <row r="45" spans="1:16">
      <c r="A45" s="221" t="s">
        <v>657</v>
      </c>
      <c r="B45" s="221"/>
      <c r="C45" s="221"/>
      <c r="D45" s="236">
        <f>D35+D36+D41+D42</f>
        <v>-36.325000000000003</v>
      </c>
      <c r="E45" s="236">
        <f t="shared" ref="E45:I45" si="7">E35+E36+E41+E42</f>
        <v>-1643.8619999999999</v>
      </c>
      <c r="F45" s="236">
        <f t="shared" si="7"/>
        <v>-399.28000000000003</v>
      </c>
      <c r="G45" s="236">
        <f t="shared" si="7"/>
        <v>-148.42099999999999</v>
      </c>
      <c r="H45" s="236">
        <f t="shared" si="7"/>
        <v>-408.21699999999998</v>
      </c>
      <c r="I45" s="236">
        <f t="shared" si="7"/>
        <v>-782.58199999999999</v>
      </c>
      <c r="J45" s="236">
        <f>J35+J36+J41+J42</f>
        <v>-1800.2629999999999</v>
      </c>
      <c r="K45" s="220"/>
      <c r="L45" s="220"/>
      <c r="M45" s="220"/>
      <c r="N45" s="220"/>
      <c r="O45" s="220"/>
      <c r="P45" s="220"/>
    </row>
    <row r="46" spans="1:16">
      <c r="A46" s="213"/>
      <c r="B46" s="213"/>
      <c r="C46" s="213"/>
      <c r="D46" s="213"/>
      <c r="E46" s="219"/>
      <c r="F46" s="219"/>
      <c r="G46" s="219"/>
      <c r="H46" s="219"/>
      <c r="I46" s="219"/>
      <c r="J46" s="236"/>
      <c r="K46" s="213"/>
      <c r="L46" s="213"/>
      <c r="M46" s="213"/>
      <c r="N46" s="213"/>
      <c r="O46" s="213"/>
      <c r="P46" s="213"/>
    </row>
    <row r="47" spans="1:16">
      <c r="A47" s="221" t="s">
        <v>658</v>
      </c>
      <c r="B47" s="221"/>
      <c r="C47" s="221"/>
      <c r="D47" s="237">
        <f t="shared" ref="D47:J47" si="8">SUM(D25,D32,D45,D43)</f>
        <v>217.774</v>
      </c>
      <c r="E47" s="237">
        <f t="shared" si="8"/>
        <v>-540.47799999999972</v>
      </c>
      <c r="F47" s="237">
        <f t="shared" si="8"/>
        <v>511.54199999999997</v>
      </c>
      <c r="G47" s="237">
        <f t="shared" si="8"/>
        <v>716.62199999999984</v>
      </c>
      <c r="H47" s="237">
        <f t="shared" si="8"/>
        <v>74.206000000000827</v>
      </c>
      <c r="I47" s="237">
        <f t="shared" si="8"/>
        <v>335.63900000000035</v>
      </c>
      <c r="J47" s="237">
        <f t="shared" si="8"/>
        <v>-1264.2600000000009</v>
      </c>
      <c r="K47" s="220"/>
      <c r="L47" s="220"/>
      <c r="M47" s="220"/>
      <c r="N47" s="220"/>
      <c r="O47" s="220"/>
      <c r="P47" s="220"/>
    </row>
    <row r="48" spans="1:16">
      <c r="A48" s="213"/>
      <c r="B48" s="213"/>
      <c r="C48" s="213"/>
      <c r="D48" s="239"/>
      <c r="E48" s="240"/>
      <c r="F48" s="240"/>
      <c r="G48" s="240"/>
      <c r="H48" s="240"/>
      <c r="I48" s="240"/>
      <c r="J48" s="237"/>
      <c r="K48" s="213"/>
      <c r="L48" s="213"/>
      <c r="M48" s="213"/>
      <c r="N48" s="213"/>
      <c r="O48" s="213"/>
      <c r="P48" s="213"/>
    </row>
    <row r="49" spans="1:16">
      <c r="A49" s="221" t="s">
        <v>660</v>
      </c>
      <c r="B49" s="221"/>
      <c r="C49" s="221"/>
      <c r="D49" s="237">
        <f>D25+D28</f>
        <v>538.50099999999998</v>
      </c>
      <c r="E49" s="237">
        <f>E25+E28</f>
        <v>808.01</v>
      </c>
      <c r="F49" s="237">
        <f t="shared" ref="F49:J49" si="9">F25+F28</f>
        <v>808.89499999999998</v>
      </c>
      <c r="G49" s="237">
        <f t="shared" si="9"/>
        <v>842.29899999999986</v>
      </c>
      <c r="H49" s="237">
        <f t="shared" si="9"/>
        <v>1415.0470000000007</v>
      </c>
      <c r="I49" s="237">
        <f t="shared" si="9"/>
        <v>1415.5430000000003</v>
      </c>
      <c r="J49" s="237">
        <f t="shared" si="9"/>
        <v>1319.0689999999991</v>
      </c>
      <c r="K49" s="220"/>
      <c r="L49" s="220"/>
      <c r="M49" s="220"/>
      <c r="N49" s="220"/>
      <c r="O49" s="220"/>
      <c r="P49" s="220"/>
    </row>
    <row r="50" spans="1:16">
      <c r="A50" s="213"/>
      <c r="B50" s="213"/>
      <c r="C50" s="213"/>
      <c r="D50" s="213"/>
      <c r="E50" s="213"/>
      <c r="F50" s="213"/>
      <c r="G50" s="213"/>
      <c r="H50" s="213"/>
      <c r="I50" s="213"/>
      <c r="J50" s="772"/>
      <c r="K50" s="213"/>
      <c r="L50" s="213"/>
      <c r="M50" s="213"/>
      <c r="N50" s="213"/>
      <c r="O50" s="213"/>
    </row>
    <row r="51" spans="1:16">
      <c r="A51" s="213"/>
      <c r="B51" s="213"/>
      <c r="C51" s="213"/>
      <c r="D51" s="213"/>
      <c r="E51" s="213"/>
      <c r="F51" s="213"/>
      <c r="G51" s="213"/>
      <c r="H51" s="213"/>
      <c r="I51" s="213"/>
      <c r="J51" s="213"/>
      <c r="K51" s="213"/>
      <c r="L51" s="213"/>
      <c r="M51" s="213"/>
      <c r="N51" s="213"/>
      <c r="O51" s="213"/>
    </row>
    <row r="52" spans="1:16">
      <c r="A52" s="213"/>
      <c r="B52" s="213"/>
      <c r="C52" s="213"/>
      <c r="D52" s="213"/>
      <c r="E52" s="213"/>
      <c r="F52" s="213"/>
      <c r="G52" s="213"/>
      <c r="H52" s="213"/>
      <c r="I52" s="213"/>
      <c r="J52" s="213"/>
      <c r="K52" s="213"/>
      <c r="L52" s="213"/>
      <c r="M52" s="213"/>
      <c r="N52" s="213"/>
      <c r="O52" s="213"/>
    </row>
    <row r="53" spans="1:16">
      <c r="A53" s="213"/>
      <c r="B53" s="213"/>
      <c r="C53" s="213"/>
      <c r="D53" s="213"/>
      <c r="E53" s="213"/>
      <c r="F53" s="213"/>
      <c r="G53" s="213"/>
      <c r="H53" s="213"/>
      <c r="I53" s="213"/>
      <c r="J53" s="213"/>
      <c r="K53" s="213"/>
      <c r="L53" s="213"/>
      <c r="M53" s="213"/>
      <c r="N53" s="213"/>
      <c r="O53" s="213"/>
    </row>
  </sheetData>
  <mergeCells count="2">
    <mergeCell ref="A1:N1"/>
    <mergeCell ref="A2:B2"/>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85988-6609-453C-82CB-BA8553E79CB8}">
  <sheetPr codeName="Sheet29">
    <tabColor rgb="FFC00000"/>
  </sheetPr>
  <dimension ref="B2:Q59"/>
  <sheetViews>
    <sheetView topLeftCell="A30" zoomScale="97" workbookViewId="0">
      <selection activeCell="M44" sqref="M44"/>
    </sheetView>
  </sheetViews>
  <sheetFormatPr defaultColWidth="8.81640625" defaultRowHeight="14.5"/>
  <cols>
    <col min="2" max="2" width="33.81640625" customWidth="1"/>
    <col min="3" max="3" width="11.1796875" bestFit="1" customWidth="1"/>
  </cols>
  <sheetData>
    <row r="2" spans="2:5">
      <c r="B2" t="s">
        <v>763</v>
      </c>
    </row>
    <row r="3" spans="2:5">
      <c r="B3" t="s">
        <v>514</v>
      </c>
      <c r="D3">
        <v>253.77</v>
      </c>
    </row>
    <row r="4" spans="2:5">
      <c r="B4" t="s">
        <v>764</v>
      </c>
      <c r="D4" s="117">
        <v>0.24</v>
      </c>
      <c r="E4" t="s">
        <v>765</v>
      </c>
    </row>
    <row r="5" spans="2:5">
      <c r="B5" t="s">
        <v>406</v>
      </c>
      <c r="C5" t="e" vm="84">
        <v>#VALUE!</v>
      </c>
      <c r="D5" s="124" cm="1">
        <f t="array" aca="1" ref="D5" ca="1">_FV(C5,"Yield yesterday",TRUE)</f>
        <v>4.9749999999999996E-2</v>
      </c>
    </row>
    <row r="6" spans="2:5">
      <c r="B6" t="s">
        <v>766</v>
      </c>
      <c r="D6" s="124">
        <v>4.4600000000000001E-2</v>
      </c>
      <c r="E6" t="s">
        <v>767</v>
      </c>
    </row>
    <row r="8" spans="2:5">
      <c r="B8" t="s">
        <v>768</v>
      </c>
      <c r="C8" t="s">
        <v>769</v>
      </c>
    </row>
    <row r="10" spans="2:5">
      <c r="B10" t="s">
        <v>770</v>
      </c>
      <c r="C10" t="s">
        <v>771</v>
      </c>
    </row>
    <row r="11" spans="2:5">
      <c r="B11" t="s">
        <v>772</v>
      </c>
      <c r="C11" t="s">
        <v>773</v>
      </c>
    </row>
    <row r="12" spans="2:5">
      <c r="B12" t="s">
        <v>774</v>
      </c>
      <c r="C12" s="120">
        <v>4.4000000000000003E-3</v>
      </c>
    </row>
    <row r="13" spans="2:5">
      <c r="B13" t="s">
        <v>775</v>
      </c>
      <c r="C13" s="120">
        <v>3.0000000000000001E-3</v>
      </c>
    </row>
    <row r="14" spans="2:5">
      <c r="C14" s="120"/>
    </row>
    <row r="15" spans="2:5">
      <c r="B15" t="s">
        <v>776</v>
      </c>
      <c r="C15" s="120">
        <v>2.3336791699920191E-3</v>
      </c>
    </row>
    <row r="16" spans="2:5">
      <c r="B16" t="s">
        <v>777</v>
      </c>
      <c r="C16" s="120">
        <v>2.3336791699920191E-3</v>
      </c>
    </row>
    <row r="17" spans="2:8">
      <c r="B17" t="s">
        <v>778</v>
      </c>
      <c r="C17" s="120">
        <v>4.4600000000000001E-2</v>
      </c>
    </row>
    <row r="18" spans="2:8">
      <c r="C18" s="120"/>
    </row>
    <row r="19" spans="2:8">
      <c r="B19" t="s">
        <v>779</v>
      </c>
      <c r="C19" s="120">
        <v>4.5701343948461167E-3</v>
      </c>
    </row>
    <row r="20" spans="2:8">
      <c r="B20" t="s">
        <v>780</v>
      </c>
      <c r="C20" s="120">
        <v>4.6870134394846115E-2</v>
      </c>
    </row>
    <row r="22" spans="2:8">
      <c r="C22" s="229">
        <v>43983</v>
      </c>
      <c r="D22" s="214">
        <v>44377</v>
      </c>
      <c r="E22" s="214">
        <f>EDATE(D22,12)</f>
        <v>44742</v>
      </c>
      <c r="F22" s="214">
        <f t="shared" ref="F22:H22" si="0">EDATE(E22,12)</f>
        <v>45107</v>
      </c>
      <c r="G22" s="214">
        <f t="shared" si="0"/>
        <v>45473</v>
      </c>
      <c r="H22" s="214">
        <f t="shared" si="0"/>
        <v>45838</v>
      </c>
    </row>
    <row r="23" spans="2:8">
      <c r="C23" s="228" t="s">
        <v>16</v>
      </c>
      <c r="D23" s="215" t="s">
        <v>16</v>
      </c>
      <c r="E23" s="215" t="s">
        <v>16</v>
      </c>
      <c r="F23" s="215" t="s">
        <v>16</v>
      </c>
      <c r="G23" s="215" t="s">
        <v>16</v>
      </c>
      <c r="H23" s="215" t="s">
        <v>16</v>
      </c>
    </row>
    <row r="24" spans="2:8">
      <c r="B24" t="s">
        <v>750</v>
      </c>
      <c r="C24">
        <f>313395</f>
        <v>313395</v>
      </c>
      <c r="D24">
        <f>385732</f>
        <v>385732</v>
      </c>
      <c r="E24">
        <f>707087</f>
        <v>707087</v>
      </c>
      <c r="F24">
        <f>948087</f>
        <v>948087</v>
      </c>
      <c r="G24">
        <f>1081433</f>
        <v>1081433</v>
      </c>
      <c r="H24">
        <f>1362222</f>
        <v>1362222</v>
      </c>
    </row>
    <row r="25" spans="2:8">
      <c r="B25" t="s">
        <v>781</v>
      </c>
      <c r="D25">
        <f>D24/C24-1</f>
        <v>0.23081733914070113</v>
      </c>
      <c r="E25">
        <f t="shared" ref="E25:H25" si="1">E24/D24-1</f>
        <v>0.83310433150477525</v>
      </c>
      <c r="F25">
        <f t="shared" si="1"/>
        <v>0.34083500333056604</v>
      </c>
      <c r="G25">
        <f t="shared" si="1"/>
        <v>0.14064743003542923</v>
      </c>
      <c r="H25">
        <f t="shared" si="1"/>
        <v>0.25964530396242758</v>
      </c>
    </row>
    <row r="26" spans="2:8">
      <c r="C26" s="120">
        <f>(C24/1000)/'IS Historical'!E10</f>
        <v>0.19415205185565609</v>
      </c>
      <c r="D26" s="120">
        <f>(D24/1000)/'IS Historical'!F10</f>
        <v>0.1846374475140872</v>
      </c>
      <c r="E26" s="120">
        <f>(E24/1000)/'IS Historical'!G10</f>
        <v>0.25227141206800718</v>
      </c>
      <c r="F26" s="120">
        <f>(F24/1000)/'IS Historical'!H10</f>
        <v>0.26822678473974915</v>
      </c>
      <c r="G26" s="120">
        <f>(G24/1000)/'IS Historical'!I10</f>
        <v>0.24811459084481885</v>
      </c>
      <c r="H26" s="120">
        <f>(H24/1000)/'IS Historical'!J10</f>
        <v>0.26119704623162904</v>
      </c>
    </row>
    <row r="35" spans="2:17">
      <c r="B35" s="85" t="s">
        <v>782</v>
      </c>
      <c r="C35" s="85"/>
      <c r="D35" s="85"/>
      <c r="E35" s="85"/>
      <c r="F35" s="85"/>
      <c r="G35" s="85"/>
      <c r="H35" s="85"/>
      <c r="I35" s="85"/>
      <c r="J35" s="85"/>
      <c r="K35" s="85"/>
      <c r="L35" s="85"/>
      <c r="M35" s="85"/>
      <c r="N35" s="85"/>
      <c r="O35" s="85"/>
      <c r="P35" s="85"/>
      <c r="Q35" s="85"/>
    </row>
    <row r="36" spans="2:17">
      <c r="B36" s="85" t="s">
        <v>783</v>
      </c>
      <c r="C36" s="85"/>
      <c r="D36" s="85"/>
      <c r="E36" s="85"/>
      <c r="F36" s="85"/>
      <c r="G36" s="85"/>
      <c r="H36" s="85"/>
      <c r="I36" s="85"/>
      <c r="J36" s="85"/>
      <c r="K36" s="85"/>
      <c r="L36" s="85"/>
      <c r="M36" s="85"/>
      <c r="N36" s="85"/>
      <c r="O36" s="85"/>
      <c r="P36" s="85"/>
      <c r="Q36" s="85"/>
    </row>
    <row r="38" spans="2:17">
      <c r="B38" s="271"/>
      <c r="C38" s="85"/>
      <c r="D38" s="85"/>
      <c r="E38" s="85"/>
      <c r="F38" s="85"/>
      <c r="G38" s="85"/>
      <c r="H38" s="85"/>
      <c r="I38" s="85"/>
      <c r="J38" s="85"/>
      <c r="K38" s="85"/>
      <c r="L38" s="85"/>
      <c r="M38" s="85"/>
      <c r="N38" s="85"/>
      <c r="O38" s="85"/>
      <c r="P38" s="85"/>
      <c r="Q38" s="85"/>
    </row>
    <row r="39" spans="2:17">
      <c r="B39" s="59" t="s">
        <v>784</v>
      </c>
      <c r="C39" s="59" t="s">
        <v>785</v>
      </c>
      <c r="D39" s="59" t="s">
        <v>786</v>
      </c>
      <c r="E39" s="59" t="s">
        <v>787</v>
      </c>
      <c r="F39" s="59" t="s">
        <v>788</v>
      </c>
      <c r="G39" s="59" t="s">
        <v>789</v>
      </c>
      <c r="H39" s="59" t="s">
        <v>790</v>
      </c>
      <c r="I39" s="59" t="s">
        <v>791</v>
      </c>
      <c r="J39" s="59" t="s">
        <v>792</v>
      </c>
      <c r="K39" s="59" t="s">
        <v>793</v>
      </c>
      <c r="L39" s="59" t="s">
        <v>794</v>
      </c>
      <c r="M39" s="59" t="s">
        <v>795</v>
      </c>
      <c r="N39" s="59" t="s">
        <v>796</v>
      </c>
      <c r="O39" s="272"/>
      <c r="P39" s="85"/>
      <c r="Q39" s="85"/>
    </row>
    <row r="40" spans="2:17">
      <c r="B40" s="65" t="s">
        <v>797</v>
      </c>
      <c r="C40" s="273"/>
      <c r="D40" s="274">
        <v>0</v>
      </c>
      <c r="E40" s="274">
        <v>0</v>
      </c>
      <c r="F40" s="273"/>
      <c r="G40" s="273"/>
      <c r="H40" s="273"/>
      <c r="I40" s="273"/>
      <c r="J40" s="273"/>
      <c r="K40" s="273"/>
      <c r="L40" s="273"/>
      <c r="M40" s="273"/>
      <c r="N40" s="273"/>
      <c r="O40" s="273"/>
      <c r="P40" s="273"/>
      <c r="Q40" s="273"/>
    </row>
    <row r="41" spans="2:17">
      <c r="B41" s="56" t="s">
        <v>798</v>
      </c>
      <c r="C41" s="59" t="s">
        <v>799</v>
      </c>
      <c r="D41" s="275">
        <v>0</v>
      </c>
      <c r="E41" s="275">
        <v>0</v>
      </c>
      <c r="F41" s="59" t="s">
        <v>269</v>
      </c>
      <c r="G41" s="59" t="s">
        <v>184</v>
      </c>
      <c r="H41" s="59" t="s">
        <v>800</v>
      </c>
      <c r="I41" s="59" t="s">
        <v>801</v>
      </c>
      <c r="J41" s="59" t="s">
        <v>802</v>
      </c>
      <c r="K41" s="59" t="s">
        <v>803</v>
      </c>
      <c r="L41" s="59" t="s">
        <v>269</v>
      </c>
      <c r="M41" s="59" t="s">
        <v>269</v>
      </c>
      <c r="N41" s="59" t="s">
        <v>269</v>
      </c>
      <c r="O41" s="59" t="s">
        <v>804</v>
      </c>
      <c r="P41" s="85"/>
      <c r="Q41" s="85"/>
    </row>
    <row r="42" spans="2:17">
      <c r="B42" s="65" t="s">
        <v>805</v>
      </c>
      <c r="C42" s="273"/>
      <c r="D42" s="276">
        <v>1000</v>
      </c>
      <c r="E42" s="276">
        <v>1000</v>
      </c>
      <c r="F42" s="273"/>
      <c r="G42" s="273"/>
      <c r="H42" s="273"/>
      <c r="I42" s="273"/>
      <c r="J42" s="273"/>
      <c r="K42" s="273"/>
      <c r="L42" s="273"/>
      <c r="M42" s="273"/>
      <c r="N42" s="273"/>
      <c r="O42" s="273"/>
      <c r="P42" s="273"/>
      <c r="Q42" s="273"/>
    </row>
    <row r="43" spans="2:17">
      <c r="B43" s="56" t="s">
        <v>806</v>
      </c>
      <c r="C43" s="59" t="s">
        <v>807</v>
      </c>
      <c r="D43" s="277">
        <v>500</v>
      </c>
      <c r="E43" s="277">
        <v>500</v>
      </c>
      <c r="F43" s="278">
        <v>5.2499999999999998E-2</v>
      </c>
      <c r="G43" s="59" t="s">
        <v>808</v>
      </c>
      <c r="H43" s="59" t="s">
        <v>809</v>
      </c>
      <c r="I43" s="59" t="s">
        <v>810</v>
      </c>
      <c r="J43" s="59" t="s">
        <v>802</v>
      </c>
      <c r="K43" s="59" t="s">
        <v>803</v>
      </c>
      <c r="L43" s="279">
        <v>99.87</v>
      </c>
      <c r="M43" s="294">
        <v>5.1900000000000002E-2</v>
      </c>
      <c r="N43" s="280">
        <v>106.62</v>
      </c>
      <c r="O43" s="59" t="s">
        <v>804</v>
      </c>
      <c r="P43" s="85"/>
      <c r="Q43" s="85"/>
    </row>
    <row r="44" spans="2:17">
      <c r="B44" s="32" t="s">
        <v>811</v>
      </c>
      <c r="C44" s="20" t="s">
        <v>807</v>
      </c>
      <c r="D44" s="281">
        <v>500</v>
      </c>
      <c r="E44" s="281">
        <v>500</v>
      </c>
      <c r="F44" s="282">
        <v>5.5E-2</v>
      </c>
      <c r="G44" s="20" t="s">
        <v>808</v>
      </c>
      <c r="H44" s="20" t="s">
        <v>809</v>
      </c>
      <c r="I44" s="20" t="s">
        <v>812</v>
      </c>
      <c r="J44" s="20" t="s">
        <v>802</v>
      </c>
      <c r="K44" s="20" t="s">
        <v>803</v>
      </c>
      <c r="L44" s="283">
        <v>97.71</v>
      </c>
      <c r="M44" s="293">
        <v>5.79E-2</v>
      </c>
      <c r="N44" s="284">
        <v>159.84</v>
      </c>
      <c r="O44" s="20" t="s">
        <v>804</v>
      </c>
      <c r="P44" s="85"/>
      <c r="Q44" s="85"/>
    </row>
    <row r="45" spans="2:17">
      <c r="B45" s="25" t="s">
        <v>813</v>
      </c>
      <c r="C45" s="285"/>
      <c r="D45" s="286">
        <v>-10.9</v>
      </c>
      <c r="E45" s="286">
        <v>-10.9</v>
      </c>
      <c r="F45" s="285"/>
      <c r="G45" s="285"/>
      <c r="H45" s="285"/>
      <c r="I45" s="285"/>
      <c r="J45" s="285"/>
      <c r="K45" s="285"/>
      <c r="L45" s="285"/>
      <c r="M45" s="285"/>
      <c r="N45" s="285"/>
      <c r="O45" s="285"/>
      <c r="P45" s="285"/>
      <c r="Q45" s="285"/>
    </row>
    <row r="46" spans="2:17">
      <c r="B46" s="32" t="s">
        <v>269</v>
      </c>
      <c r="C46" s="20" t="s">
        <v>814</v>
      </c>
      <c r="D46" s="287">
        <v>-10.9</v>
      </c>
      <c r="E46" s="287">
        <v>-10.9</v>
      </c>
      <c r="F46" s="20" t="s">
        <v>269</v>
      </c>
      <c r="G46" s="20" t="s">
        <v>269</v>
      </c>
      <c r="H46" s="20" t="s">
        <v>269</v>
      </c>
      <c r="I46" s="20" t="s">
        <v>269</v>
      </c>
      <c r="J46" s="20" t="s">
        <v>802</v>
      </c>
      <c r="K46" s="20" t="s">
        <v>813</v>
      </c>
      <c r="L46" s="20" t="s">
        <v>269</v>
      </c>
      <c r="M46" s="20" t="s">
        <v>269</v>
      </c>
      <c r="N46" s="20" t="s">
        <v>269</v>
      </c>
      <c r="O46" s="288"/>
      <c r="P46" s="85"/>
      <c r="Q46" s="85"/>
    </row>
    <row r="47" spans="2:17">
      <c r="B47" s="289"/>
      <c r="C47" s="59" t="s">
        <v>815</v>
      </c>
      <c r="D47" s="290">
        <v>989.1</v>
      </c>
      <c r="E47" s="289"/>
      <c r="F47" s="289"/>
      <c r="G47" s="85"/>
      <c r="H47" s="85"/>
      <c r="I47" s="85"/>
      <c r="J47" s="85"/>
      <c r="K47" s="85"/>
      <c r="L47" s="85"/>
      <c r="M47" s="85"/>
      <c r="N47" s="85"/>
      <c r="O47" s="85"/>
      <c r="P47" s="85"/>
      <c r="Q47" s="85"/>
    </row>
    <row r="48" spans="2:17">
      <c r="B48" s="291"/>
      <c r="C48" s="20" t="s">
        <v>816</v>
      </c>
      <c r="D48" s="292">
        <v>0</v>
      </c>
      <c r="E48" s="291"/>
      <c r="F48" s="291"/>
      <c r="G48" s="85"/>
      <c r="H48" s="85"/>
      <c r="I48" s="85"/>
      <c r="J48" s="85"/>
      <c r="K48" s="85"/>
      <c r="L48" s="85"/>
      <c r="M48" s="85"/>
      <c r="N48" s="85"/>
      <c r="O48" s="85"/>
      <c r="P48" s="85"/>
      <c r="Q48" s="85"/>
    </row>
    <row r="49" spans="2:17">
      <c r="B49" s="289"/>
      <c r="C49" s="59" t="s">
        <v>817</v>
      </c>
      <c r="D49" s="290">
        <v>989.1</v>
      </c>
      <c r="E49" s="289"/>
      <c r="F49" s="289"/>
      <c r="G49" s="85"/>
      <c r="H49" s="85"/>
      <c r="I49" s="85"/>
      <c r="J49" s="85"/>
      <c r="K49" s="85"/>
      <c r="L49" s="85"/>
      <c r="M49" s="85"/>
      <c r="N49" s="85"/>
      <c r="O49" s="85"/>
      <c r="P49" s="85"/>
      <c r="Q49" s="85"/>
    </row>
    <row r="50" spans="2:17">
      <c r="B50" s="291"/>
      <c r="C50" s="20" t="s">
        <v>818</v>
      </c>
      <c r="D50" s="292">
        <v>0</v>
      </c>
      <c r="E50" s="291"/>
      <c r="F50" s="291"/>
      <c r="G50" s="85"/>
      <c r="H50" s="85"/>
      <c r="I50" s="85"/>
      <c r="J50" s="85"/>
      <c r="K50" s="85"/>
      <c r="L50" s="85"/>
      <c r="M50" s="85"/>
      <c r="N50" s="85"/>
      <c r="O50" s="85"/>
      <c r="P50" s="85"/>
      <c r="Q50" s="85"/>
    </row>
    <row r="51" spans="2:17">
      <c r="B51" s="289"/>
      <c r="C51" s="59" t="s">
        <v>392</v>
      </c>
      <c r="D51" s="290">
        <v>989.1</v>
      </c>
      <c r="E51" s="290">
        <v>989.1</v>
      </c>
      <c r="F51" s="289"/>
    </row>
    <row r="52" spans="2:17">
      <c r="B52" s="85" t="s">
        <v>819</v>
      </c>
      <c r="C52" s="85" t="s">
        <v>820</v>
      </c>
      <c r="D52" s="85"/>
      <c r="E52" s="85"/>
      <c r="F52" s="85"/>
    </row>
    <row r="53" spans="2:17">
      <c r="B53" s="84" t="s">
        <v>821</v>
      </c>
      <c r="C53" s="85"/>
      <c r="D53" s="85"/>
      <c r="E53" s="85"/>
      <c r="F53" s="85"/>
    </row>
    <row r="54" spans="2:17">
      <c r="B54" s="84" t="s">
        <v>822</v>
      </c>
      <c r="C54" s="85"/>
      <c r="D54" s="85"/>
      <c r="E54" s="85"/>
      <c r="F54" s="85"/>
    </row>
    <row r="56" spans="2:17">
      <c r="D56" t="s">
        <v>823</v>
      </c>
    </row>
    <row r="57" spans="2:17">
      <c r="B57" t="s">
        <v>824</v>
      </c>
      <c r="D57" s="117">
        <v>0.24</v>
      </c>
    </row>
    <row r="58" spans="2:17">
      <c r="B58" t="s">
        <v>825</v>
      </c>
      <c r="D58" s="300">
        <v>4.6699999999999998E-2</v>
      </c>
    </row>
    <row r="59" spans="2:17">
      <c r="B59" t="s">
        <v>766</v>
      </c>
      <c r="D59" s="124">
        <v>4.4600000000000001E-2</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CB6D9-971D-4049-A252-D204B476D6B2}">
  <sheetPr codeName="Sheet30">
    <tabColor rgb="FFFCE4E4"/>
  </sheetPr>
  <dimension ref="A1:P81"/>
  <sheetViews>
    <sheetView showGridLines="0" zoomScale="105" workbookViewId="0">
      <selection activeCell="H4" sqref="H4"/>
    </sheetView>
  </sheetViews>
  <sheetFormatPr defaultColWidth="8.7265625" defaultRowHeight="12"/>
  <cols>
    <col min="1" max="3" width="8.7265625" style="230"/>
    <col min="4" max="4" width="10.1796875" style="230" bestFit="1" customWidth="1"/>
    <col min="5" max="5" width="8.81640625" style="230" bestFit="1" customWidth="1"/>
    <col min="6" max="6" width="7.81640625" style="230" customWidth="1"/>
    <col min="7" max="10" width="8.7265625" style="230"/>
    <col min="11" max="11" width="13.7265625" style="230" bestFit="1" customWidth="1"/>
    <col min="12" max="16384" width="8.7265625" style="230"/>
  </cols>
  <sheetData>
    <row r="1" spans="1:16">
      <c r="A1" s="217" t="s">
        <v>826</v>
      </c>
      <c r="B1" s="213"/>
      <c r="C1" s="213"/>
      <c r="D1" s="229">
        <v>46174</v>
      </c>
      <c r="G1" s="217" t="s">
        <v>827</v>
      </c>
      <c r="H1" s="213"/>
      <c r="I1" s="213"/>
      <c r="J1" s="229">
        <v>46174</v>
      </c>
      <c r="M1" s="217" t="s">
        <v>828</v>
      </c>
      <c r="N1" s="213"/>
      <c r="O1" s="213"/>
      <c r="P1" s="229">
        <v>46174</v>
      </c>
    </row>
    <row r="2" spans="1:16">
      <c r="A2" s="213"/>
      <c r="B2" s="213"/>
      <c r="C2" s="213"/>
      <c r="D2" s="215" t="s">
        <v>16</v>
      </c>
      <c r="G2" s="213"/>
      <c r="H2" s="213"/>
      <c r="I2" s="213"/>
      <c r="J2" s="215" t="s">
        <v>16</v>
      </c>
      <c r="M2" s="213"/>
      <c r="N2" s="213"/>
      <c r="O2" s="213"/>
      <c r="P2" s="228" t="s">
        <v>16</v>
      </c>
    </row>
    <row r="3" spans="1:16">
      <c r="A3" s="213"/>
      <c r="B3" s="213"/>
      <c r="C3" s="213"/>
      <c r="D3" s="213">
        <v>0</v>
      </c>
      <c r="G3" s="213"/>
      <c r="H3" s="213"/>
      <c r="I3" s="213"/>
      <c r="J3" s="213"/>
      <c r="M3" s="213"/>
      <c r="N3" s="213"/>
      <c r="O3" s="213"/>
      <c r="P3" s="213"/>
    </row>
    <row r="4" spans="1:16">
      <c r="A4" s="256"/>
      <c r="B4" s="256"/>
      <c r="C4" s="256"/>
      <c r="D4" s="256"/>
      <c r="G4" s="256"/>
      <c r="H4" s="256"/>
      <c r="I4" s="256"/>
      <c r="J4" s="256"/>
      <c r="M4" s="225"/>
      <c r="N4" s="225"/>
      <c r="O4" s="225"/>
      <c r="P4" s="225"/>
    </row>
    <row r="5" spans="1:16">
      <c r="A5" s="213"/>
      <c r="B5" s="213"/>
      <c r="C5" s="213"/>
      <c r="D5" s="213"/>
      <c r="G5" s="213"/>
      <c r="H5" s="213"/>
      <c r="I5" s="213"/>
      <c r="J5" s="213"/>
      <c r="M5" s="213"/>
      <c r="N5" s="213"/>
      <c r="O5" s="213"/>
      <c r="P5" s="213"/>
    </row>
    <row r="6" spans="1:16">
      <c r="A6" s="236" t="s">
        <v>492</v>
      </c>
      <c r="B6" s="236"/>
      <c r="C6" s="236"/>
      <c r="D6" s="775">
        <f>D7+D8+D10</f>
        <v>6572.308</v>
      </c>
      <c r="G6" s="217" t="s">
        <v>582</v>
      </c>
      <c r="H6" s="213"/>
      <c r="I6" s="213"/>
      <c r="J6" s="213"/>
      <c r="M6" s="217" t="s">
        <v>629</v>
      </c>
      <c r="N6" s="213"/>
      <c r="O6" s="213"/>
      <c r="P6" s="213"/>
    </row>
    <row r="7" spans="1:16">
      <c r="A7" s="260" t="s">
        <v>374</v>
      </c>
      <c r="B7" s="213"/>
      <c r="C7" s="213"/>
      <c r="D7" s="775">
        <v>4410.6270000000004</v>
      </c>
      <c r="G7" s="222" t="s">
        <v>829</v>
      </c>
      <c r="H7" s="213"/>
      <c r="I7" s="213"/>
      <c r="J7" s="231">
        <v>1239.5119999999999</v>
      </c>
      <c r="M7" s="218" t="s">
        <v>44</v>
      </c>
      <c r="N7" s="213"/>
      <c r="O7" s="213"/>
      <c r="P7" s="231">
        <f>D35</f>
        <v>-53.813000000000514</v>
      </c>
    </row>
    <row r="8" spans="1:16">
      <c r="A8" s="260" t="s">
        <v>375</v>
      </c>
      <c r="B8" s="213"/>
      <c r="C8" s="213"/>
      <c r="D8" s="775">
        <v>1830.941</v>
      </c>
      <c r="G8" s="222" t="s">
        <v>830</v>
      </c>
      <c r="H8" s="213"/>
      <c r="I8" s="213"/>
      <c r="J8" s="231">
        <f>J9</f>
        <v>1269.9469999999999</v>
      </c>
      <c r="M8" s="218" t="s">
        <v>630</v>
      </c>
      <c r="N8" s="213"/>
      <c r="O8" s="213"/>
      <c r="P8" s="231">
        <f>datapoint0</f>
        <v>140.66800000000001</v>
      </c>
    </row>
    <row r="9" spans="1:16">
      <c r="A9" s="260" t="s">
        <v>376</v>
      </c>
      <c r="B9" s="213"/>
      <c r="C9" s="213"/>
      <c r="D9" s="511" t="s">
        <v>269</v>
      </c>
      <c r="G9" s="218" t="s">
        <v>831</v>
      </c>
      <c r="H9" s="213"/>
      <c r="I9" s="213"/>
      <c r="J9" s="231">
        <v>1269.9469999999999</v>
      </c>
      <c r="M9" s="218" t="s">
        <v>631</v>
      </c>
      <c r="N9" s="213"/>
      <c r="O9" s="213"/>
      <c r="P9" s="231">
        <v>-23.08</v>
      </c>
    </row>
    <row r="10" spans="1:16">
      <c r="A10" s="260" t="s">
        <v>377</v>
      </c>
      <c r="B10" s="213"/>
      <c r="C10" s="213"/>
      <c r="D10" s="775">
        <v>330.74</v>
      </c>
      <c r="G10" s="223" t="s">
        <v>832</v>
      </c>
      <c r="H10" s="213"/>
      <c r="I10" s="213"/>
      <c r="J10" s="231">
        <v>1269.9469999999999</v>
      </c>
      <c r="M10" s="218" t="s">
        <v>632</v>
      </c>
      <c r="N10" s="213"/>
      <c r="O10" s="213"/>
      <c r="P10" s="231">
        <v>1665.37</v>
      </c>
    </row>
    <row r="11" spans="1:16">
      <c r="A11" s="231"/>
      <c r="B11" s="231"/>
      <c r="C11" s="231"/>
      <c r="D11" s="231"/>
      <c r="G11" s="223" t="s">
        <v>833</v>
      </c>
      <c r="H11" s="213"/>
      <c r="I11" s="213"/>
      <c r="J11" s="231">
        <v>0</v>
      </c>
      <c r="M11" s="213"/>
      <c r="N11" s="213"/>
      <c r="O11" s="213"/>
      <c r="P11" s="231"/>
    </row>
    <row r="12" spans="1:16">
      <c r="A12" s="236" t="s">
        <v>494</v>
      </c>
      <c r="B12" s="236"/>
      <c r="C12" s="236"/>
      <c r="D12" s="775">
        <v>878.74</v>
      </c>
      <c r="E12" s="762"/>
      <c r="G12" s="218" t="s">
        <v>834</v>
      </c>
      <c r="H12" s="213"/>
      <c r="I12" s="213"/>
      <c r="J12" s="231">
        <v>0</v>
      </c>
      <c r="M12" s="221" t="s">
        <v>634</v>
      </c>
      <c r="N12" s="221"/>
      <c r="O12" s="221"/>
      <c r="P12" s="237">
        <f t="shared" ref="P12" si="0">SUM(P7:P10)</f>
        <v>1729.1449999999993</v>
      </c>
    </row>
    <row r="13" spans="1:16">
      <c r="A13" s="248" t="s">
        <v>36</v>
      </c>
      <c r="B13" s="231"/>
      <c r="C13" s="231"/>
      <c r="D13" s="231">
        <v>140.66800000000001</v>
      </c>
      <c r="G13" s="222" t="s">
        <v>835</v>
      </c>
      <c r="H13" s="213"/>
      <c r="I13" s="213"/>
      <c r="J13" s="231">
        <f>J14+J15</f>
        <v>287.66300000000001</v>
      </c>
      <c r="M13" s="213"/>
      <c r="N13" s="213"/>
      <c r="O13" s="213"/>
      <c r="P13" s="231"/>
    </row>
    <row r="14" spans="1:16">
      <c r="A14" s="235" t="s">
        <v>496</v>
      </c>
      <c r="B14" s="231"/>
      <c r="C14" s="231"/>
      <c r="D14" s="231">
        <f>'IS Historical'!J18/'IS Historical'!$J$17*datapoint0</f>
        <v>41.48507236658277</v>
      </c>
      <c r="E14" s="762"/>
      <c r="G14" s="218" t="s">
        <v>638</v>
      </c>
      <c r="H14" s="213"/>
      <c r="I14" s="213"/>
      <c r="J14" s="231">
        <v>287.66300000000001</v>
      </c>
      <c r="M14" s="222" t="s">
        <v>635</v>
      </c>
      <c r="N14" s="213"/>
      <c r="O14" s="213"/>
      <c r="P14" s="231">
        <f>SUM(P15:P18)</f>
        <v>-376.00099999999998</v>
      </c>
    </row>
    <row r="15" spans="1:16">
      <c r="A15" s="235" t="s">
        <v>498</v>
      </c>
      <c r="B15" s="231"/>
      <c r="C15" s="231"/>
      <c r="D15" s="231">
        <f>'IS Historical'!J19/'IS Historical'!$J$17*datapoint0</f>
        <v>99.182927633417236</v>
      </c>
      <c r="G15" s="218" t="s">
        <v>836</v>
      </c>
      <c r="H15" s="213"/>
      <c r="I15" s="213"/>
      <c r="J15" s="231">
        <v>0</v>
      </c>
      <c r="M15" s="218" t="s">
        <v>636</v>
      </c>
      <c r="N15" s="213"/>
      <c r="O15" s="213"/>
      <c r="P15" s="240">
        <v>-484.46499999999997</v>
      </c>
    </row>
    <row r="16" spans="1:16" ht="14.5">
      <c r="A16" s="231"/>
      <c r="B16" s="231"/>
      <c r="C16" s="231"/>
      <c r="D16" s="231"/>
      <c r="G16" s="213"/>
      <c r="H16" s="213"/>
      <c r="I16" s="213"/>
      <c r="J16" s="231"/>
      <c r="M16" s="218" t="s">
        <v>637</v>
      </c>
      <c r="N16"/>
      <c r="O16"/>
      <c r="P16" s="240">
        <v>69.076999999999998</v>
      </c>
    </row>
    <row r="17" spans="1:16">
      <c r="A17" s="236" t="s">
        <v>500</v>
      </c>
      <c r="B17" s="236"/>
      <c r="C17" s="236"/>
      <c r="D17" s="240">
        <f>D6-(D12+datapoint0-22.58)</f>
        <v>5575.48</v>
      </c>
      <c r="F17" s="766">
        <f>J20-J23</f>
        <v>161.50707236658278</v>
      </c>
      <c r="G17" s="221" t="s">
        <v>589</v>
      </c>
      <c r="H17" s="221"/>
      <c r="I17" s="221"/>
      <c r="J17" s="765">
        <f>J7+J9+J13</f>
        <v>2797.1219999999998</v>
      </c>
      <c r="M17" s="218" t="s">
        <v>609</v>
      </c>
      <c r="N17" s="213"/>
      <c r="O17" s="213"/>
      <c r="P17" s="231">
        <v>41.906999999999996</v>
      </c>
    </row>
    <row r="18" spans="1:16">
      <c r="A18" s="231"/>
      <c r="B18" s="231"/>
      <c r="C18" s="231"/>
      <c r="D18" s="231"/>
      <c r="G18" s="213"/>
      <c r="H18" s="213"/>
      <c r="I18" s="213"/>
      <c r="J18" s="231"/>
      <c r="M18" s="218" t="s">
        <v>837</v>
      </c>
      <c r="N18" s="213"/>
      <c r="O18" s="213"/>
      <c r="P18" s="240">
        <v>-2.52</v>
      </c>
    </row>
    <row r="19" spans="1:16">
      <c r="A19" s="231" t="s">
        <v>838</v>
      </c>
      <c r="B19" s="231"/>
      <c r="C19" s="231"/>
      <c r="D19" s="231">
        <f>D20+D21</f>
        <v>5565.1030000000001</v>
      </c>
      <c r="G19" s="242" t="s">
        <v>590</v>
      </c>
      <c r="H19" s="213"/>
      <c r="I19" s="213"/>
      <c r="J19" s="232">
        <v>86.302000000000007</v>
      </c>
      <c r="M19" s="213"/>
      <c r="N19" s="213"/>
      <c r="O19" s="213"/>
      <c r="P19" s="231"/>
    </row>
    <row r="20" spans="1:16">
      <c r="A20" s="235" t="s">
        <v>29</v>
      </c>
      <c r="B20" s="231"/>
      <c r="C20" s="231"/>
      <c r="D20" s="231">
        <v>3269.2570000000001</v>
      </c>
      <c r="G20" s="218" t="s">
        <v>591</v>
      </c>
      <c r="H20" s="213"/>
      <c r="I20" s="213"/>
      <c r="J20" s="231">
        <f>J19+J25</f>
        <v>275.56607236658277</v>
      </c>
      <c r="K20" s="767"/>
      <c r="M20" s="221" t="s">
        <v>641</v>
      </c>
      <c r="N20" s="221"/>
      <c r="O20" s="221"/>
      <c r="P20" s="237">
        <f>P12+P14</f>
        <v>1353.1439999999993</v>
      </c>
    </row>
    <row r="21" spans="1:16">
      <c r="A21" s="235" t="s">
        <v>839</v>
      </c>
      <c r="B21" s="231"/>
      <c r="C21" s="231"/>
      <c r="D21" s="231">
        <f>1541.178+754.668</f>
        <v>2295.846</v>
      </c>
      <c r="G21" s="252" t="s">
        <v>592</v>
      </c>
      <c r="H21" s="213"/>
      <c r="I21" s="213"/>
      <c r="J21" s="231">
        <f>'BS Old'!J25/('BS Old'!$J$24-'BS Old'!$J$28)*$F$17</f>
        <v>28.935157479738265</v>
      </c>
      <c r="K21" s="767"/>
      <c r="M21" s="213"/>
      <c r="N21" s="213"/>
      <c r="O21" s="213"/>
      <c r="P21" s="231"/>
    </row>
    <row r="22" spans="1:16">
      <c r="A22" s="231"/>
      <c r="B22" s="231"/>
      <c r="C22" s="231"/>
      <c r="D22" s="231"/>
      <c r="G22" s="252" t="s">
        <v>593</v>
      </c>
      <c r="H22" s="213"/>
      <c r="I22" s="213"/>
      <c r="J22" s="231">
        <f>'BS Old'!J26/('BS Old'!$J$24-'BS Old'!$J$28)*$F$17</f>
        <v>112.90071207729167</v>
      </c>
      <c r="M22" s="217" t="s">
        <v>642</v>
      </c>
      <c r="N22" s="213"/>
      <c r="O22" s="213"/>
      <c r="P22" s="231"/>
    </row>
    <row r="23" spans="1:16">
      <c r="A23" s="236" t="s">
        <v>38</v>
      </c>
      <c r="B23" s="236"/>
      <c r="C23" s="236"/>
      <c r="D23" s="240">
        <f>D17-D19</f>
        <v>10.376999999999498</v>
      </c>
      <c r="G23" s="252" t="s">
        <v>598</v>
      </c>
      <c r="H23" s="213"/>
      <c r="I23" s="213"/>
      <c r="J23" s="231">
        <v>114.059</v>
      </c>
      <c r="M23" s="218" t="s">
        <v>643</v>
      </c>
      <c r="N23" s="213"/>
      <c r="O23" s="213"/>
      <c r="P23" s="240">
        <v>-34.06</v>
      </c>
    </row>
    <row r="24" spans="1:16">
      <c r="A24" s="236"/>
      <c r="B24" s="236"/>
      <c r="C24" s="236"/>
      <c r="D24" s="240"/>
      <c r="G24" s="252" t="s">
        <v>840</v>
      </c>
      <c r="H24" s="213"/>
      <c r="I24" s="213"/>
      <c r="J24" s="231">
        <f>'BS Old'!J27/('BS Old'!$J$24-'BS Old'!$J$28)*$F$17</f>
        <v>345.74505535990568</v>
      </c>
      <c r="M24" s="218" t="s">
        <v>644</v>
      </c>
      <c r="N24" s="213"/>
      <c r="O24" s="213"/>
      <c r="P24" s="240">
        <v>-1228.875</v>
      </c>
    </row>
    <row r="25" spans="1:16">
      <c r="A25" s="231" t="s">
        <v>502</v>
      </c>
      <c r="B25" s="231"/>
      <c r="C25" s="231"/>
      <c r="D25" s="763">
        <f>D26+D28</f>
        <v>61.139999999999993</v>
      </c>
      <c r="G25" s="218" t="s">
        <v>597</v>
      </c>
      <c r="H25" s="217"/>
      <c r="I25" s="213"/>
      <c r="J25" s="231">
        <f>D14+'BS Old'!J29</f>
        <v>189.26407236658275</v>
      </c>
      <c r="M25" s="218" t="s">
        <v>645</v>
      </c>
      <c r="N25" s="213"/>
      <c r="O25" s="213"/>
      <c r="P25" s="231">
        <v>456.04199999999997</v>
      </c>
    </row>
    <row r="26" spans="1:16">
      <c r="A26" s="235" t="s">
        <v>503</v>
      </c>
      <c r="B26" s="231"/>
      <c r="C26" s="231"/>
      <c r="D26" s="231">
        <v>69.709999999999994</v>
      </c>
      <c r="G26" s="252" t="s">
        <v>592</v>
      </c>
      <c r="H26" s="213"/>
      <c r="I26" s="213"/>
      <c r="J26" s="231" t="s">
        <v>269</v>
      </c>
      <c r="M26" s="213"/>
      <c r="N26" s="213"/>
      <c r="O26" s="213"/>
      <c r="P26" s="231"/>
    </row>
    <row r="27" spans="1:16">
      <c r="A27" s="235" t="s">
        <v>841</v>
      </c>
      <c r="B27" s="231"/>
      <c r="C27" s="231"/>
      <c r="D27" s="231" t="s">
        <v>269</v>
      </c>
      <c r="G27" s="252" t="s">
        <v>593</v>
      </c>
      <c r="H27" s="213"/>
      <c r="I27" s="213"/>
      <c r="J27" s="231" t="s">
        <v>269</v>
      </c>
      <c r="M27" s="221" t="s">
        <v>647</v>
      </c>
      <c r="N27" s="221"/>
      <c r="O27" s="221"/>
      <c r="P27" s="236">
        <f>SUM(P23:P25)</f>
        <v>-806.89300000000003</v>
      </c>
    </row>
    <row r="28" spans="1:16">
      <c r="A28" s="235" t="s">
        <v>505</v>
      </c>
      <c r="B28" s="231"/>
      <c r="C28" s="231"/>
      <c r="D28" s="240">
        <v>-8.57</v>
      </c>
      <c r="G28" s="252" t="s">
        <v>840</v>
      </c>
      <c r="H28" s="213"/>
      <c r="I28" s="213"/>
      <c r="J28" s="231" t="s">
        <v>269</v>
      </c>
      <c r="M28" s="213"/>
      <c r="N28" s="213"/>
      <c r="O28" s="213"/>
      <c r="P28" s="213"/>
    </row>
    <row r="29" spans="1:16">
      <c r="A29" s="248" t="s">
        <v>507</v>
      </c>
      <c r="B29" s="231"/>
      <c r="C29" s="231"/>
      <c r="D29" s="231">
        <v>49.45</v>
      </c>
      <c r="G29" s="258" t="s">
        <v>842</v>
      </c>
      <c r="H29" s="213"/>
      <c r="I29" s="213"/>
      <c r="J29" s="231">
        <v>213.14699999999999</v>
      </c>
      <c r="M29" s="217" t="s">
        <v>648</v>
      </c>
      <c r="N29" s="213"/>
      <c r="O29" s="213"/>
      <c r="P29" s="213"/>
    </row>
    <row r="30" spans="1:16">
      <c r="A30" s="231"/>
      <c r="B30" s="231"/>
      <c r="C30" s="231"/>
      <c r="D30" s="231"/>
      <c r="G30" s="222" t="s">
        <v>843</v>
      </c>
      <c r="H30" s="213"/>
      <c r="I30" s="213"/>
      <c r="J30" s="231">
        <f>J31+J32</f>
        <v>2734.9969999999998</v>
      </c>
      <c r="M30" s="218" t="s">
        <v>649</v>
      </c>
      <c r="N30" s="213"/>
      <c r="O30" s="213"/>
      <c r="P30" s="778">
        <v>-1800.4849999999999</v>
      </c>
    </row>
    <row r="31" spans="1:16">
      <c r="A31" s="236" t="s">
        <v>509</v>
      </c>
      <c r="B31" s="236"/>
      <c r="C31" s="236"/>
      <c r="D31" s="778">
        <f>D23+D25-D29</f>
        <v>22.066999999999481</v>
      </c>
      <c r="G31" s="218" t="s">
        <v>600</v>
      </c>
      <c r="H31" s="213"/>
      <c r="I31" s="213"/>
      <c r="J31" s="231">
        <v>2302.739</v>
      </c>
      <c r="M31" s="218" t="s">
        <v>650</v>
      </c>
      <c r="N31" s="213"/>
      <c r="O31" s="213"/>
      <c r="P31" s="231"/>
    </row>
    <row r="32" spans="1:16">
      <c r="A32" s="231"/>
      <c r="B32" s="231"/>
      <c r="C32" s="231"/>
      <c r="D32" s="231"/>
      <c r="G32" s="218" t="s">
        <v>844</v>
      </c>
      <c r="H32" s="213"/>
      <c r="I32" s="213"/>
      <c r="J32" s="231">
        <v>432.25799999999998</v>
      </c>
      <c r="M32" s="223" t="s">
        <v>651</v>
      </c>
      <c r="N32" s="213"/>
      <c r="O32" s="213"/>
      <c r="P32" s="231"/>
    </row>
    <row r="33" spans="1:16">
      <c r="A33" s="248" t="s">
        <v>510</v>
      </c>
      <c r="B33" s="231"/>
      <c r="C33" s="231"/>
      <c r="D33" s="231">
        <v>75.88</v>
      </c>
      <c r="G33" s="222" t="s">
        <v>599</v>
      </c>
      <c r="H33" s="213"/>
      <c r="I33" s="213"/>
      <c r="J33" s="231">
        <v>4.0880000000000001</v>
      </c>
      <c r="M33" s="223" t="s">
        <v>652</v>
      </c>
      <c r="N33" s="213"/>
      <c r="O33" s="213"/>
      <c r="P33" s="231"/>
    </row>
    <row r="34" spans="1:16">
      <c r="A34" s="231"/>
      <c r="B34" s="231"/>
      <c r="C34" s="231"/>
      <c r="D34" s="231"/>
      <c r="G34" s="222" t="s">
        <v>845</v>
      </c>
      <c r="H34" s="213"/>
      <c r="I34" s="213"/>
      <c r="J34" s="231">
        <v>153.81399999999999</v>
      </c>
      <c r="M34" s="224" t="s">
        <v>653</v>
      </c>
      <c r="N34" s="213"/>
      <c r="O34" s="213"/>
      <c r="P34" s="231"/>
    </row>
    <row r="35" spans="1:16">
      <c r="A35" s="236" t="s">
        <v>44</v>
      </c>
      <c r="B35" s="236"/>
      <c r="C35" s="236"/>
      <c r="D35" s="240">
        <f>D31-D33</f>
        <v>-53.813000000000514</v>
      </c>
      <c r="G35" s="252" t="s">
        <v>846</v>
      </c>
      <c r="H35" s="252"/>
      <c r="I35" s="252"/>
      <c r="J35" s="263">
        <f>'BS Old'!J39/'BS Old'!J38*'FY''26 Statements'!J34</f>
        <v>142.53478756737286</v>
      </c>
      <c r="M35" s="224" t="s">
        <v>654</v>
      </c>
      <c r="N35" s="213"/>
      <c r="O35" s="213"/>
      <c r="P35" s="231"/>
    </row>
    <row r="36" spans="1:16">
      <c r="A36" s="231"/>
      <c r="B36" s="231"/>
      <c r="C36" s="231"/>
      <c r="D36" s="231"/>
      <c r="G36" s="252" t="s">
        <v>847</v>
      </c>
      <c r="H36" s="252"/>
      <c r="I36" s="252"/>
      <c r="J36" s="263">
        <f>'BS Old'!J40/'BS Old'!J38*'FY''26 Statements'!J34</f>
        <v>11.279212432627151</v>
      </c>
      <c r="K36" s="762"/>
      <c r="M36" s="218" t="s">
        <v>655</v>
      </c>
      <c r="N36" s="213"/>
      <c r="O36" s="213"/>
      <c r="P36" s="231"/>
    </row>
    <row r="37" spans="1:16">
      <c r="A37" s="248"/>
      <c r="B37" s="231"/>
      <c r="C37" s="231"/>
      <c r="D37" s="231"/>
      <c r="G37" s="218"/>
      <c r="H37" s="213"/>
      <c r="I37" s="213"/>
      <c r="J37" s="231"/>
      <c r="M37" s="218" t="s">
        <v>632</v>
      </c>
      <c r="N37" s="213"/>
      <c r="O37" s="213"/>
      <c r="P37" s="231">
        <v>0</v>
      </c>
    </row>
    <row r="38" spans="1:16">
      <c r="A38" s="239" t="s">
        <v>512</v>
      </c>
      <c r="B38" s="231"/>
      <c r="C38" s="231"/>
      <c r="D38" s="231"/>
      <c r="G38" s="253" t="s">
        <v>604</v>
      </c>
      <c r="H38" s="253"/>
      <c r="I38" s="253"/>
      <c r="J38" s="264">
        <f>J19+J29+J30+J33+J34</f>
        <v>3192.348</v>
      </c>
      <c r="M38" s="218" t="s">
        <v>656</v>
      </c>
      <c r="N38" s="213"/>
      <c r="O38" s="213"/>
      <c r="P38" s="778">
        <v>-10.233000000000001</v>
      </c>
    </row>
    <row r="39" spans="1:16">
      <c r="A39" s="248" t="s">
        <v>513</v>
      </c>
      <c r="B39" s="231"/>
      <c r="C39" s="231"/>
      <c r="D39" s="231">
        <f>D35/D40</f>
        <v>-0.20684578720787403</v>
      </c>
      <c r="G39" s="213"/>
      <c r="H39" s="213"/>
      <c r="I39" s="213"/>
      <c r="J39" s="231"/>
      <c r="M39" s="213"/>
      <c r="N39" s="213"/>
      <c r="O39" s="213"/>
      <c r="P39" s="213"/>
    </row>
    <row r="40" spans="1:16">
      <c r="A40" s="248" t="s">
        <v>514</v>
      </c>
      <c r="B40" s="231"/>
      <c r="C40" s="231"/>
      <c r="D40" s="231">
        <v>260.16000000000003</v>
      </c>
      <c r="G40" s="253" t="s">
        <v>605</v>
      </c>
      <c r="H40" s="253"/>
      <c r="I40" s="253"/>
      <c r="J40" s="264">
        <f>J38+J17+J23</f>
        <v>6103.5289999999995</v>
      </c>
      <c r="M40" s="221" t="s">
        <v>657</v>
      </c>
      <c r="N40" s="221"/>
      <c r="O40" s="221"/>
      <c r="P40" s="236">
        <f>P30</f>
        <v>-1800.4849999999999</v>
      </c>
    </row>
    <row r="41" spans="1:16">
      <c r="A41" s="248" t="s">
        <v>517</v>
      </c>
      <c r="B41" s="231"/>
      <c r="C41" s="231"/>
      <c r="D41" s="231">
        <v>260.16000000000003</v>
      </c>
      <c r="G41" s="213"/>
      <c r="H41" s="213"/>
      <c r="I41" s="213"/>
      <c r="J41" s="231"/>
      <c r="M41" s="213"/>
      <c r="N41" s="213"/>
      <c r="O41" s="213"/>
      <c r="P41" s="213"/>
    </row>
    <row r="42" spans="1:16">
      <c r="A42" s="250" t="s">
        <v>515</v>
      </c>
      <c r="B42" s="231"/>
      <c r="C42" s="231"/>
      <c r="D42" s="231">
        <f>D35/D43</f>
        <v>-0.20684578720787403</v>
      </c>
      <c r="G42" s="217" t="s">
        <v>606</v>
      </c>
      <c r="H42" s="213"/>
      <c r="I42" s="213"/>
      <c r="J42" s="231"/>
      <c r="M42" s="221" t="s">
        <v>658</v>
      </c>
      <c r="N42" s="221"/>
      <c r="O42" s="221"/>
      <c r="P42" s="237">
        <f>P20+P27+P40+P38</f>
        <v>-1264.4670000000006</v>
      </c>
    </row>
    <row r="43" spans="1:16">
      <c r="A43" s="235" t="s">
        <v>516</v>
      </c>
      <c r="B43" s="231"/>
      <c r="C43" s="231"/>
      <c r="D43" s="231">
        <v>260.16000000000003</v>
      </c>
      <c r="G43" s="222" t="s">
        <v>607</v>
      </c>
      <c r="H43" s="213"/>
      <c r="I43" s="213"/>
      <c r="J43" s="231"/>
      <c r="M43" s="213"/>
      <c r="N43" s="213"/>
      <c r="O43" s="213"/>
      <c r="P43" s="239"/>
    </row>
    <row r="44" spans="1:16">
      <c r="A44" s="235" t="s">
        <v>517</v>
      </c>
      <c r="B44" s="231"/>
      <c r="C44" s="231"/>
      <c r="D44" s="231">
        <v>260.16000000000003</v>
      </c>
      <c r="G44" s="257" t="s">
        <v>848</v>
      </c>
      <c r="H44" s="213"/>
      <c r="I44" s="213"/>
      <c r="J44" s="231">
        <v>48.51</v>
      </c>
      <c r="M44" s="221" t="s">
        <v>660</v>
      </c>
      <c r="N44" s="221"/>
      <c r="O44" s="221"/>
      <c r="P44" s="237">
        <f>P20+P23</f>
        <v>1319.0839999999994</v>
      </c>
    </row>
    <row r="45" spans="1:16">
      <c r="A45" s="250"/>
      <c r="B45" s="231"/>
      <c r="C45" s="231"/>
      <c r="D45" s="231"/>
      <c r="G45" s="257" t="s">
        <v>609</v>
      </c>
      <c r="H45" s="213"/>
      <c r="I45" s="213"/>
      <c r="J45" s="231">
        <v>262.60899999999998</v>
      </c>
    </row>
    <row r="46" spans="1:16">
      <c r="A46" s="231"/>
      <c r="B46" s="231"/>
      <c r="C46" s="231"/>
      <c r="D46" s="231"/>
      <c r="G46" s="257" t="s">
        <v>849</v>
      </c>
      <c r="H46" s="213"/>
      <c r="I46" s="213"/>
      <c r="J46" s="231">
        <f>'BS Old'!J50/'IS Historical'!K21*'FY''26 Statements'!D17</f>
        <v>36.726026348243629</v>
      </c>
    </row>
    <row r="47" spans="1:16">
      <c r="A47" s="236" t="s">
        <v>38</v>
      </c>
      <c r="B47" s="236"/>
      <c r="C47" s="236"/>
      <c r="D47" s="240">
        <f>D23</f>
        <v>10.376999999999498</v>
      </c>
      <c r="G47" s="257" t="s">
        <v>850</v>
      </c>
      <c r="H47" s="213"/>
      <c r="I47" s="213"/>
      <c r="J47" s="231">
        <f>J48+J49</f>
        <v>3260.01</v>
      </c>
    </row>
    <row r="48" spans="1:16">
      <c r="A48" s="231" t="s">
        <v>36</v>
      </c>
      <c r="B48" s="231"/>
      <c r="C48" s="231"/>
      <c r="D48" s="232">
        <f>+datapoint0</f>
        <v>140.66800000000001</v>
      </c>
      <c r="G48" s="223" t="s">
        <v>851</v>
      </c>
      <c r="H48" s="213"/>
      <c r="I48" s="213"/>
      <c r="J48" s="231">
        <v>764.57899999999995</v>
      </c>
    </row>
    <row r="49" spans="1:10">
      <c r="A49" s="231"/>
      <c r="B49" s="231"/>
      <c r="C49" s="231"/>
      <c r="D49" s="231"/>
      <c r="G49" s="223" t="s">
        <v>852</v>
      </c>
      <c r="H49" s="213"/>
      <c r="I49" s="213"/>
      <c r="J49" s="231">
        <v>2495.431</v>
      </c>
    </row>
    <row r="50" spans="1:10">
      <c r="A50" s="236" t="s">
        <v>34</v>
      </c>
      <c r="B50" s="236"/>
      <c r="C50" s="236"/>
      <c r="D50" s="240">
        <f>D47+D48</f>
        <v>151.0449999999995</v>
      </c>
      <c r="G50" s="213"/>
      <c r="H50" s="213"/>
      <c r="I50" s="213"/>
      <c r="J50" s="231"/>
    </row>
    <row r="51" spans="1:10">
      <c r="A51" s="213"/>
      <c r="B51" s="213"/>
      <c r="C51" s="213"/>
      <c r="D51" s="213"/>
      <c r="G51" s="254" t="s">
        <v>615</v>
      </c>
      <c r="H51" s="253"/>
      <c r="I51" s="253"/>
      <c r="J51" s="264">
        <f>J45+J44+J47</f>
        <v>3571.1290000000004</v>
      </c>
    </row>
    <row r="52" spans="1:10">
      <c r="A52" s="217" t="s">
        <v>759</v>
      </c>
      <c r="B52" s="217"/>
      <c r="C52" s="213"/>
      <c r="D52" s="570"/>
      <c r="G52" s="213"/>
      <c r="H52" s="213"/>
      <c r="I52" s="213"/>
      <c r="J52" s="231"/>
    </row>
    <row r="53" spans="1:10">
      <c r="A53" s="1124" t="s">
        <v>760</v>
      </c>
      <c r="B53" s="1124"/>
      <c r="C53" s="226"/>
      <c r="D53" s="764"/>
      <c r="G53" s="222" t="s">
        <v>853</v>
      </c>
      <c r="H53" s="213"/>
      <c r="I53" s="213"/>
      <c r="J53" s="231"/>
    </row>
    <row r="54" spans="1:10">
      <c r="A54" s="217" t="s">
        <v>374</v>
      </c>
      <c r="B54" s="218"/>
      <c r="C54" s="213"/>
      <c r="D54" s="213"/>
      <c r="G54" s="257" t="s">
        <v>618</v>
      </c>
      <c r="H54" s="213"/>
      <c r="I54" s="213"/>
      <c r="J54" s="231">
        <f>J55+J56</f>
        <v>1184.4009999999998</v>
      </c>
    </row>
    <row r="55" spans="1:10">
      <c r="A55" s="217" t="s">
        <v>761</v>
      </c>
      <c r="B55" s="260"/>
      <c r="C55" s="213"/>
      <c r="D55" s="213"/>
      <c r="G55" s="223" t="s">
        <v>854</v>
      </c>
      <c r="H55" s="213"/>
      <c r="I55" s="213"/>
      <c r="J55" s="231">
        <v>989.56</v>
      </c>
    </row>
    <row r="56" spans="1:10">
      <c r="A56" s="217" t="s">
        <v>375</v>
      </c>
      <c r="B56" s="218"/>
      <c r="C56" s="213"/>
      <c r="D56" s="213"/>
      <c r="G56" s="223" t="s">
        <v>855</v>
      </c>
      <c r="H56" s="213"/>
      <c r="I56" s="213"/>
      <c r="J56" s="231">
        <v>194.84100000000001</v>
      </c>
    </row>
    <row r="57" spans="1:10">
      <c r="A57" s="217" t="s">
        <v>761</v>
      </c>
      <c r="B57" s="260"/>
      <c r="C57" s="213"/>
      <c r="D57" s="213"/>
      <c r="G57" s="257" t="s">
        <v>856</v>
      </c>
      <c r="H57" s="213"/>
      <c r="I57" s="213"/>
      <c r="J57" s="231">
        <v>0</v>
      </c>
    </row>
    <row r="58" spans="1:10">
      <c r="A58" s="217" t="s">
        <v>376</v>
      </c>
      <c r="B58" s="218"/>
      <c r="C58" s="213"/>
      <c r="D58" s="213"/>
      <c r="G58" s="257" t="s">
        <v>617</v>
      </c>
      <c r="H58" s="213"/>
      <c r="I58" s="213"/>
      <c r="J58" s="231">
        <v>27.853000000000002</v>
      </c>
    </row>
    <row r="59" spans="1:10">
      <c r="A59" s="217" t="s">
        <v>676</v>
      </c>
      <c r="B59" s="260"/>
      <c r="C59" s="213"/>
      <c r="D59" s="213"/>
      <c r="G59" s="257" t="s">
        <v>857</v>
      </c>
      <c r="H59" s="213"/>
      <c r="I59" s="213"/>
      <c r="J59" s="231">
        <f>J60+J61</f>
        <v>261.70499999999998</v>
      </c>
    </row>
    <row r="60" spans="1:10">
      <c r="A60" s="217" t="s">
        <v>377</v>
      </c>
      <c r="B60" s="218"/>
      <c r="C60" s="213"/>
      <c r="D60" s="213"/>
      <c r="G60" s="223" t="s">
        <v>858</v>
      </c>
      <c r="H60" s="213"/>
      <c r="I60" s="213"/>
      <c r="J60" s="231">
        <v>95.444999999999993</v>
      </c>
    </row>
    <row r="61" spans="1:10">
      <c r="A61" s="217" t="s">
        <v>761</v>
      </c>
      <c r="B61" s="213"/>
      <c r="C61" s="213"/>
      <c r="D61" s="213"/>
      <c r="G61" s="223" t="s">
        <v>859</v>
      </c>
      <c r="H61" s="213"/>
      <c r="I61" s="213"/>
      <c r="J61" s="231">
        <v>166.26</v>
      </c>
    </row>
    <row r="62" spans="1:10">
      <c r="G62" s="223"/>
      <c r="H62" s="213"/>
      <c r="I62" s="213"/>
      <c r="J62" s="231"/>
    </row>
    <row r="63" spans="1:10">
      <c r="G63" s="254" t="s">
        <v>621</v>
      </c>
      <c r="H63" s="253"/>
      <c r="I63" s="253"/>
      <c r="J63" s="264">
        <f>J54+J58+J59</f>
        <v>1473.9589999999998</v>
      </c>
    </row>
    <row r="64" spans="1:10">
      <c r="G64" s="213"/>
      <c r="H64" s="213"/>
      <c r="I64" s="213"/>
      <c r="J64" s="231"/>
    </row>
    <row r="65" spans="7:10">
      <c r="G65" s="254" t="s">
        <v>622</v>
      </c>
      <c r="H65" s="253"/>
      <c r="I65" s="253"/>
      <c r="J65" s="264">
        <f>J63+J51</f>
        <v>5045.0879999999997</v>
      </c>
    </row>
    <row r="66" spans="7:10">
      <c r="G66" s="213"/>
      <c r="H66" s="213"/>
      <c r="I66" s="213"/>
      <c r="J66" s="231"/>
    </row>
    <row r="67" spans="7:10">
      <c r="G67" s="217" t="s">
        <v>623</v>
      </c>
      <c r="H67" s="213"/>
      <c r="I67" s="213"/>
      <c r="J67" s="231"/>
    </row>
    <row r="68" spans="7:10">
      <c r="G68" s="242" t="s">
        <v>860</v>
      </c>
      <c r="H68" s="213"/>
      <c r="I68" s="213"/>
      <c r="J68" s="231">
        <v>1058.442</v>
      </c>
    </row>
    <row r="69" spans="7:10">
      <c r="G69" s="218" t="s">
        <v>861</v>
      </c>
      <c r="H69" s="213"/>
      <c r="I69" s="213"/>
      <c r="J69" s="231">
        <v>0</v>
      </c>
    </row>
    <row r="70" spans="7:10">
      <c r="G70" s="218" t="s">
        <v>862</v>
      </c>
      <c r="H70" s="213"/>
      <c r="I70" s="213"/>
      <c r="J70" s="231">
        <v>-6105.3779999999997</v>
      </c>
    </row>
    <row r="71" spans="7:10">
      <c r="G71" s="218" t="s">
        <v>863</v>
      </c>
      <c r="H71" s="213"/>
      <c r="I71" s="213"/>
      <c r="J71" s="231">
        <v>7180.8509999999997</v>
      </c>
    </row>
    <row r="72" spans="7:10">
      <c r="G72" s="218" t="s">
        <v>864</v>
      </c>
      <c r="H72" s="213"/>
      <c r="I72" s="213"/>
      <c r="J72" s="231" t="s">
        <v>269</v>
      </c>
    </row>
    <row r="73" spans="7:10">
      <c r="G73" s="218" t="s">
        <v>865</v>
      </c>
      <c r="H73" s="213"/>
      <c r="I73" s="213"/>
      <c r="J73" s="231" t="s">
        <v>269</v>
      </c>
    </row>
    <row r="74" spans="7:10">
      <c r="G74" s="218" t="s">
        <v>866</v>
      </c>
      <c r="H74" s="213"/>
      <c r="I74" s="213"/>
      <c r="J74" s="231">
        <v>-17.033999999999999</v>
      </c>
    </row>
    <row r="75" spans="7:10">
      <c r="G75" s="213"/>
      <c r="H75" s="213"/>
      <c r="I75" s="213"/>
      <c r="J75" s="231"/>
    </row>
    <row r="76" spans="7:10">
      <c r="G76" s="255" t="s">
        <v>867</v>
      </c>
      <c r="H76" s="253"/>
      <c r="I76" s="253"/>
      <c r="J76" s="771">
        <f>J68</f>
        <v>1058.442</v>
      </c>
    </row>
    <row r="77" spans="7:10">
      <c r="G77" s="213"/>
      <c r="H77" s="213"/>
      <c r="I77" s="213"/>
      <c r="J77" s="231"/>
    </row>
    <row r="78" spans="7:10">
      <c r="G78" s="253" t="s">
        <v>393</v>
      </c>
      <c r="H78" s="253"/>
      <c r="I78" s="253"/>
      <c r="J78" s="264">
        <f>J76</f>
        <v>1058.442</v>
      </c>
    </row>
    <row r="79" spans="7:10">
      <c r="G79" s="213"/>
      <c r="H79" s="213"/>
      <c r="I79" s="213"/>
      <c r="J79" s="231"/>
    </row>
    <row r="80" spans="7:10">
      <c r="G80" s="253" t="s">
        <v>627</v>
      </c>
      <c r="H80" s="253"/>
      <c r="I80" s="253"/>
      <c r="J80" s="264">
        <f>J78+J65</f>
        <v>6103.53</v>
      </c>
    </row>
    <row r="81" spans="7:10">
      <c r="G81" s="213"/>
      <c r="H81" s="213"/>
      <c r="I81" s="213"/>
      <c r="J81" s="243">
        <f>J40-J80</f>
        <v>-1.0000000002037268E-3</v>
      </c>
    </row>
  </sheetData>
  <mergeCells count="1">
    <mergeCell ref="A53:B53"/>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1BADB-4462-4943-8461-55E9787A3C2B}">
  <sheetPr codeName="Sheet31">
    <tabColor theme="8"/>
  </sheetPr>
  <dimension ref="A1"/>
  <sheetViews>
    <sheetView workbookViewId="0"/>
  </sheetViews>
  <sheetFormatPr defaultColWidth="8.81640625" defaultRowHeight="14.5"/>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09FE3-6712-49C3-8E39-7F4C9AACEBF0}">
  <sheetPr codeName="Sheet32">
    <tabColor rgb="FFFFC000"/>
  </sheetPr>
  <dimension ref="A1:AU281"/>
  <sheetViews>
    <sheetView topLeftCell="A4" zoomScale="79" zoomScaleNormal="79" workbookViewId="0">
      <selection activeCell="A23" sqref="A23"/>
    </sheetView>
  </sheetViews>
  <sheetFormatPr defaultColWidth="8.81640625" defaultRowHeight="14.5"/>
  <cols>
    <col min="1" max="1" width="34" customWidth="1"/>
    <col min="2" max="2" width="11.1796875" customWidth="1"/>
    <col min="3" max="3" width="8.453125" customWidth="1"/>
    <col min="4" max="4" width="8.81640625" customWidth="1"/>
    <col min="5" max="5" width="9.453125" bestFit="1" customWidth="1"/>
    <col min="7" max="7" width="16.26953125" bestFit="1" customWidth="1"/>
    <col min="8" max="8" width="22.1796875" customWidth="1"/>
    <col min="9" max="9" width="10.453125" customWidth="1"/>
    <col min="10" max="10" width="11.7265625" bestFit="1" customWidth="1"/>
    <col min="11" max="15" width="9.453125" bestFit="1" customWidth="1"/>
    <col min="17" max="17" width="8.7265625" customWidth="1"/>
    <col min="18" max="18" width="14.81640625" customWidth="1"/>
    <col min="19" max="19" width="9.1796875" customWidth="1"/>
    <col min="20" max="20" width="30.81640625" customWidth="1"/>
    <col min="21" max="21" width="16.453125" customWidth="1"/>
    <col min="22" max="22" width="9.453125" bestFit="1" customWidth="1"/>
    <col min="23" max="23" width="12.453125" customWidth="1"/>
    <col min="24" max="24" width="10.7265625" customWidth="1"/>
    <col min="25" max="25" width="11.7265625" customWidth="1"/>
    <col min="26" max="26" width="14.453125" customWidth="1"/>
    <col min="27" max="27" width="13.7265625" customWidth="1"/>
    <col min="32" max="32" width="44.453125" customWidth="1"/>
    <col min="35" max="35" width="11.453125" customWidth="1"/>
    <col min="38" max="38" width="16.81640625" customWidth="1"/>
    <col min="45" max="45" width="12.453125" bestFit="1" customWidth="1"/>
    <col min="47" max="47" width="10.453125" customWidth="1"/>
  </cols>
  <sheetData>
    <row r="1" spans="1:47" ht="15" thickBot="1">
      <c r="A1" s="121" t="s">
        <v>693</v>
      </c>
      <c r="B1" s="121" t="s">
        <v>694</v>
      </c>
      <c r="C1" s="121" t="s">
        <v>695</v>
      </c>
      <c r="D1" s="121" t="s">
        <v>696</v>
      </c>
      <c r="E1" s="121" t="s">
        <v>537</v>
      </c>
      <c r="F1" s="121" t="s">
        <v>697</v>
      </c>
      <c r="I1" s="2"/>
      <c r="P1" s="98"/>
    </row>
    <row r="2" spans="1:47" ht="15" thickTop="1">
      <c r="A2" s="3" t="s">
        <v>698</v>
      </c>
      <c r="B2" s="58"/>
      <c r="C2" s="118">
        <f>-SUM(C3:C4)</f>
        <v>-0.122</v>
      </c>
      <c r="D2" s="118">
        <f>-SUM(D3:D4)</f>
        <v>-0.16200000000000001</v>
      </c>
      <c r="E2" s="118">
        <f>-SUM(E3:E4)</f>
        <v>-9.1999999999999998E-2</v>
      </c>
      <c r="F2" s="108">
        <v>-1</v>
      </c>
    </row>
    <row r="3" spans="1:47" ht="18.5">
      <c r="A3" s="3" t="s">
        <v>699</v>
      </c>
      <c r="B3" s="58"/>
      <c r="C3" s="130">
        <v>0.1</v>
      </c>
      <c r="D3" s="130">
        <v>0.13</v>
      </c>
      <c r="E3" s="130">
        <v>0.06</v>
      </c>
      <c r="F3" s="130">
        <v>0.88</v>
      </c>
      <c r="T3" s="1129" t="s">
        <v>868</v>
      </c>
      <c r="U3" s="1129"/>
      <c r="V3" s="1129"/>
      <c r="W3" s="1129"/>
      <c r="X3" s="1129"/>
      <c r="Y3" s="1129"/>
      <c r="Z3" s="1129"/>
      <c r="AA3" s="1129"/>
    </row>
    <row r="4" spans="1:47" ht="21.5" thickBot="1">
      <c r="A4" s="3" t="s">
        <v>701</v>
      </c>
      <c r="B4" s="58"/>
      <c r="C4" s="128">
        <v>2.1999999999999999E-2</v>
      </c>
      <c r="D4" s="128">
        <v>3.2000000000000001E-2</v>
      </c>
      <c r="E4" s="128">
        <v>3.2000000000000001E-2</v>
      </c>
      <c r="F4" s="130">
        <v>0.12</v>
      </c>
      <c r="T4" s="181" t="s">
        <v>250</v>
      </c>
      <c r="U4" s="181">
        <v>0</v>
      </c>
      <c r="V4" s="181">
        <v>1</v>
      </c>
      <c r="W4" s="181">
        <v>2</v>
      </c>
      <c r="X4" s="181">
        <v>3</v>
      </c>
      <c r="Y4" s="181">
        <v>4</v>
      </c>
      <c r="Z4" s="181">
        <v>5</v>
      </c>
      <c r="AA4" s="181">
        <v>6</v>
      </c>
      <c r="AF4" s="1140" t="s">
        <v>52</v>
      </c>
      <c r="AG4" s="1141"/>
      <c r="AH4" s="1141"/>
      <c r="AI4" s="1141"/>
      <c r="AS4" s="1142" t="s">
        <v>869</v>
      </c>
      <c r="AT4" s="1142"/>
      <c r="AU4" s="1142"/>
    </row>
    <row r="5" spans="1:47" ht="15" thickTop="1">
      <c r="A5" s="3" t="s">
        <v>702</v>
      </c>
      <c r="B5" s="58">
        <f>I33</f>
        <v>1782.6079050000001</v>
      </c>
      <c r="C5" s="58">
        <f>B5*(1+C2)</f>
        <v>1565.12974059</v>
      </c>
      <c r="D5" s="58">
        <f>C5*(1+D2)</f>
        <v>1311.57872261442</v>
      </c>
      <c r="E5" s="58">
        <f>D5*(1+E2)</f>
        <v>1190.9134801338935</v>
      </c>
      <c r="F5" s="58">
        <f>E5*(1+F2)</f>
        <v>0</v>
      </c>
      <c r="T5" s="181"/>
      <c r="U5" s="181" t="str">
        <f t="shared" ref="U5:AA5" si="0">I27</f>
        <v>JUN '26</v>
      </c>
      <c r="V5" s="181" t="str">
        <f t="shared" si="0"/>
        <v>JUN '27</v>
      </c>
      <c r="W5" s="181" t="str">
        <f t="shared" si="0"/>
        <v>JUN '28</v>
      </c>
      <c r="X5" s="181" t="str">
        <f t="shared" si="0"/>
        <v>JUN '29</v>
      </c>
      <c r="Y5" s="181" t="str">
        <f t="shared" si="0"/>
        <v>JUN '30</v>
      </c>
      <c r="Z5" s="181" t="str">
        <f t="shared" si="0"/>
        <v>JUN '31</v>
      </c>
      <c r="AA5" s="181" t="str">
        <f t="shared" si="0"/>
        <v>JUN '32</v>
      </c>
      <c r="AF5" s="6" t="s">
        <v>19</v>
      </c>
      <c r="AS5" s="1143" t="s">
        <v>870</v>
      </c>
      <c r="AT5" s="1143"/>
      <c r="AU5" s="120">
        <f>AA22/(1-AA23)</f>
        <v>7.1447368421052634E-2</v>
      </c>
    </row>
    <row r="6" spans="1:47" ht="15" thickBot="1">
      <c r="A6" s="3" t="s">
        <v>871</v>
      </c>
      <c r="B6" s="58"/>
      <c r="C6" s="58">
        <f>B5*(C3)*1.15</f>
        <v>204.99990907500001</v>
      </c>
      <c r="D6" s="58">
        <f t="shared" ref="D6:F6" si="1">C5*(D3)*1.15</f>
        <v>233.986896218205</v>
      </c>
      <c r="E6" s="58">
        <f t="shared" si="1"/>
        <v>90.498931860394976</v>
      </c>
      <c r="F6" s="58">
        <f t="shared" si="1"/>
        <v>1205.2044418955002</v>
      </c>
      <c r="T6" s="3" t="s">
        <v>872</v>
      </c>
      <c r="U6" s="11"/>
      <c r="V6" s="9">
        <f t="shared" ref="V6:AA6" si="2">J26</f>
        <v>0.13597678082853304</v>
      </c>
      <c r="W6" s="9">
        <f t="shared" si="2"/>
        <v>0.16660933763057839</v>
      </c>
      <c r="X6" s="9">
        <f t="shared" si="2"/>
        <v>0.16368163174319439</v>
      </c>
      <c r="Y6" s="9">
        <f t="shared" si="2"/>
        <v>0.12972630470630042</v>
      </c>
      <c r="Z6" s="9">
        <f t="shared" si="2"/>
        <v>0.1077123420844146</v>
      </c>
      <c r="AA6" s="9">
        <f t="shared" si="2"/>
        <v>7.3837922569943704E-2</v>
      </c>
      <c r="AF6" s="122" t="s">
        <v>20</v>
      </c>
      <c r="AG6" s="122"/>
      <c r="AH6" s="122"/>
      <c r="AI6" s="122"/>
      <c r="AS6" s="1144" t="s">
        <v>398</v>
      </c>
      <c r="AT6" s="1144"/>
      <c r="AU6" s="211">
        <f>AA23</f>
        <v>0.24</v>
      </c>
    </row>
    <row r="7" spans="1:47" ht="15" thickTop="1">
      <c r="A7" s="3" t="s">
        <v>704</v>
      </c>
      <c r="B7" s="58"/>
      <c r="C7" s="128">
        <v>0.2</v>
      </c>
      <c r="D7" s="128">
        <v>0.22500000000000001</v>
      </c>
      <c r="E7" s="128">
        <v>0.20499999999999999</v>
      </c>
      <c r="F7" s="128">
        <f>15%</f>
        <v>0.15</v>
      </c>
      <c r="T7" s="3" t="s">
        <v>492</v>
      </c>
      <c r="U7" s="4">
        <f>I31</f>
        <v>6463.8144050000001</v>
      </c>
      <c r="V7" s="5">
        <f t="shared" ref="V7:AA7" si="3">U7*(1+V6)</f>
        <v>7342.7430796649996</v>
      </c>
      <c r="W7" s="5">
        <f t="shared" si="3"/>
        <v>8566.1126405594987</v>
      </c>
      <c r="X7" s="5">
        <f t="shared" si="3"/>
        <v>9968.2279352622809</v>
      </c>
      <c r="Y7" s="5">
        <f t="shared" si="3"/>
        <v>11261.369309773971</v>
      </c>
      <c r="Z7" s="5">
        <f t="shared" si="3"/>
        <v>12474.357773207272</v>
      </c>
      <c r="AA7" s="5">
        <f t="shared" si="3"/>
        <v>13395.438436575125</v>
      </c>
      <c r="AF7" t="s">
        <v>21</v>
      </c>
      <c r="AG7" s="1130">
        <f>AA13</f>
        <v>1355.7148398226532</v>
      </c>
      <c r="AH7" s="1131"/>
      <c r="AI7" s="1131"/>
      <c r="AS7" s="1145" t="s">
        <v>873</v>
      </c>
      <c r="AT7" s="1145"/>
      <c r="AU7" s="124">
        <f>AU5*(1-AU6)</f>
        <v>5.4300000000000001E-2</v>
      </c>
    </row>
    <row r="8" spans="1:47">
      <c r="B8" s="58"/>
      <c r="T8" s="3" t="s">
        <v>874</v>
      </c>
      <c r="U8" s="4">
        <f>I64</f>
        <v>-260.2696834404735</v>
      </c>
      <c r="V8" s="4">
        <f t="shared" ref="V8:AA8" si="4">J64</f>
        <v>-30.414266790814594</v>
      </c>
      <c r="W8" s="4">
        <f t="shared" si="4"/>
        <v>120.80555299196203</v>
      </c>
      <c r="X8" s="4">
        <f t="shared" si="4"/>
        <v>253.42203563426938</v>
      </c>
      <c r="Y8" s="4">
        <f t="shared" si="4"/>
        <v>408.73247590981589</v>
      </c>
      <c r="Z8" s="4">
        <f t="shared" si="4"/>
        <v>579.7723698040561</v>
      </c>
      <c r="AA8" s="4">
        <f t="shared" si="4"/>
        <v>761.13614646789131</v>
      </c>
      <c r="AF8" t="s">
        <v>22</v>
      </c>
      <c r="AG8" s="1132">
        <f>AA17</f>
        <v>0.10028440000000001</v>
      </c>
      <c r="AH8" s="1133"/>
      <c r="AI8" s="1133"/>
      <c r="AS8" s="1145" t="s">
        <v>825</v>
      </c>
      <c r="AT8" s="1145"/>
      <c r="AU8" s="124">
        <f>AA20</f>
        <v>4.5499999999999999E-2</v>
      </c>
    </row>
    <row r="9" spans="1:47">
      <c r="A9" s="6"/>
      <c r="T9" s="3" t="s">
        <v>875</v>
      </c>
      <c r="U9" s="148">
        <f t="shared" ref="U9:AA9" si="5">I38</f>
        <v>114.48898389468285</v>
      </c>
      <c r="V9" s="148">
        <f t="shared" si="5"/>
        <v>130.0568273650116</v>
      </c>
      <c r="W9" s="148">
        <f t="shared" si="5"/>
        <v>151.72550922663066</v>
      </c>
      <c r="X9" s="148">
        <f t="shared" si="5"/>
        <v>176.56018815391266</v>
      </c>
      <c r="Y9" s="148">
        <f t="shared" si="5"/>
        <v>199.46468892136886</v>
      </c>
      <c r="Z9" s="148">
        <f t="shared" si="5"/>
        <v>220.94949772822869</v>
      </c>
      <c r="AA9" s="148">
        <f t="shared" si="5"/>
        <v>243.11348745460649</v>
      </c>
      <c r="AF9" t="s">
        <v>24</v>
      </c>
      <c r="AG9" s="1132">
        <f>AA6</f>
        <v>7.3837922569943704E-2</v>
      </c>
      <c r="AH9" s="1133"/>
      <c r="AI9" s="1133"/>
      <c r="AS9" s="1145" t="s">
        <v>876</v>
      </c>
      <c r="AT9" s="1145"/>
      <c r="AU9" s="124">
        <f>AA19</f>
        <v>4.4200000000000003E-2</v>
      </c>
    </row>
    <row r="10" spans="1:47">
      <c r="T10" s="3" t="s">
        <v>877</v>
      </c>
      <c r="U10" s="160">
        <f t="shared" ref="U10:AA10" si="6">I212</f>
        <v>-101.02984507896758</v>
      </c>
      <c r="V10" s="160">
        <f t="shared" si="6"/>
        <v>-71.123178053824319</v>
      </c>
      <c r="W10" s="160">
        <f t="shared" si="6"/>
        <v>-98.995440259463265</v>
      </c>
      <c r="X10" s="160">
        <f t="shared" si="6"/>
        <v>-113.45959988749408</v>
      </c>
      <c r="Y10" s="160">
        <f t="shared" si="6"/>
        <v>-104.64139682690042</v>
      </c>
      <c r="Z10" s="160">
        <f t="shared" si="6"/>
        <v>-98.1553986674557</v>
      </c>
      <c r="AA10" s="160">
        <f t="shared" si="6"/>
        <v>-141.51132209690451</v>
      </c>
      <c r="AF10" t="s">
        <v>26</v>
      </c>
      <c r="AG10" s="1134">
        <f>AA26</f>
        <v>3.5000000000000003E-2</v>
      </c>
      <c r="AH10" s="1133"/>
      <c r="AI10" s="1133"/>
      <c r="AS10" s="1145" t="s">
        <v>878</v>
      </c>
      <c r="AT10" s="1145"/>
      <c r="AU10" s="58">
        <f>AA18</f>
        <v>1.28</v>
      </c>
    </row>
    <row r="11" spans="1:47">
      <c r="T11" s="3" t="s">
        <v>879</v>
      </c>
      <c r="U11" s="5">
        <f t="shared" ref="U11:AA11" si="7">I205</f>
        <v>570.2626091184261</v>
      </c>
      <c r="V11" s="5">
        <f t="shared" si="7"/>
        <v>401.45453112460279</v>
      </c>
      <c r="W11" s="5">
        <f t="shared" si="7"/>
        <v>558.77941819136106</v>
      </c>
      <c r="X11" s="5">
        <f t="shared" si="7"/>
        <v>640.42231689856044</v>
      </c>
      <c r="Y11" s="5">
        <f t="shared" si="7"/>
        <v>590.64800039694069</v>
      </c>
      <c r="Z11" s="5">
        <f t="shared" si="7"/>
        <v>554.0378063473371</v>
      </c>
      <c r="AA11" s="5">
        <f t="shared" si="7"/>
        <v>420.70763703461728</v>
      </c>
      <c r="AF11" t="s">
        <v>28</v>
      </c>
      <c r="AG11" s="1133">
        <v>8</v>
      </c>
      <c r="AH11" s="1133"/>
      <c r="AI11" s="1133"/>
      <c r="AS11" s="1133" t="s">
        <v>400</v>
      </c>
      <c r="AT11" s="1133"/>
      <c r="AU11" s="124">
        <f>AU8+AU10*AU9</f>
        <v>0.102076</v>
      </c>
    </row>
    <row r="12" spans="1:47">
      <c r="H12" s="1"/>
      <c r="I12" s="1" t="str">
        <f>I27</f>
        <v>JUN '26</v>
      </c>
      <c r="J12" s="1" t="str">
        <f>J27</f>
        <v>JUN '27</v>
      </c>
      <c r="K12" s="1" t="str">
        <f>K27</f>
        <v>JUN '28</v>
      </c>
      <c r="L12" s="1" t="str">
        <f>L27</f>
        <v>JUN '29</v>
      </c>
      <c r="M12" s="1" t="str">
        <f>M27</f>
        <v>JUN '30</v>
      </c>
      <c r="T12" s="3" t="s">
        <v>880</v>
      </c>
      <c r="U12" s="5">
        <f t="shared" ref="U12:AA12" si="8">I49*(1-$AA$23)</f>
        <v>112.98385592152957</v>
      </c>
      <c r="V12" s="5">
        <f t="shared" si="8"/>
        <v>116.99925398734264</v>
      </c>
      <c r="W12" s="5">
        <f t="shared" si="8"/>
        <v>119.84569426063369</v>
      </c>
      <c r="X12" s="5">
        <f t="shared" si="8"/>
        <v>117.94829402677512</v>
      </c>
      <c r="Y12" s="5">
        <f t="shared" si="8"/>
        <v>110.62390722191307</v>
      </c>
      <c r="Z12" s="5">
        <f t="shared" si="8"/>
        <v>94.603752168280764</v>
      </c>
      <c r="AA12" s="5">
        <f t="shared" si="8"/>
        <v>72.268890962442526</v>
      </c>
      <c r="AF12" t="s">
        <v>30</v>
      </c>
      <c r="AG12" s="1133">
        <f>AG11/2</f>
        <v>4</v>
      </c>
      <c r="AH12" s="1133"/>
      <c r="AI12" s="1133"/>
      <c r="AS12" s="1133" t="s">
        <v>881</v>
      </c>
      <c r="AT12" s="1133"/>
      <c r="AU12" s="99">
        <f>U25</f>
        <v>-716.10746849366797</v>
      </c>
    </row>
    <row r="13" spans="1:47">
      <c r="G13" s="58"/>
      <c r="H13" s="3" t="s">
        <v>882</v>
      </c>
      <c r="I13" s="133">
        <v>6469</v>
      </c>
      <c r="J13" s="133">
        <v>7361</v>
      </c>
      <c r="K13" s="133">
        <v>8585</v>
      </c>
      <c r="L13" s="133">
        <v>9975</v>
      </c>
      <c r="M13" s="133">
        <v>11334</v>
      </c>
      <c r="T13" s="3" t="s">
        <v>59</v>
      </c>
      <c r="U13" s="148">
        <f t="shared" ref="U13:AA13" si="9">U8+U9+U10+U11+U12</f>
        <v>436.43592041519742</v>
      </c>
      <c r="V13" s="148">
        <f t="shared" si="9"/>
        <v>546.97316763231811</v>
      </c>
      <c r="W13" s="148">
        <f t="shared" si="9"/>
        <v>852.16073441112417</v>
      </c>
      <c r="X13" s="148">
        <f t="shared" si="9"/>
        <v>1074.8932348260237</v>
      </c>
      <c r="Y13" s="148">
        <f t="shared" si="9"/>
        <v>1204.827675623138</v>
      </c>
      <c r="Z13" s="148">
        <f t="shared" si="9"/>
        <v>1351.208027380447</v>
      </c>
      <c r="AA13" s="148">
        <f t="shared" si="9"/>
        <v>1355.7148398226532</v>
      </c>
      <c r="AS13" s="1133" t="s">
        <v>883</v>
      </c>
      <c r="AT13" s="1133"/>
      <c r="AU13" s="100">
        <f>U26</f>
        <v>17698.071512649269</v>
      </c>
    </row>
    <row r="14" spans="1:47">
      <c r="G14" s="58"/>
      <c r="H14" s="3" t="s">
        <v>884</v>
      </c>
      <c r="I14" s="120">
        <f>I13/G31-1</f>
        <v>0.240387904521002</v>
      </c>
      <c r="J14" s="120">
        <f>J13/I13-1</f>
        <v>0.13788839078682957</v>
      </c>
      <c r="K14" s="120">
        <f>K13/J13-1</f>
        <v>0.16628175519630495</v>
      </c>
      <c r="L14" s="120">
        <f>L13/K13-1</f>
        <v>0.16191030867792655</v>
      </c>
      <c r="M14" s="120">
        <f>M13/L13-1</f>
        <v>0.13624060150375938</v>
      </c>
      <c r="T14" s="3" t="s">
        <v>885</v>
      </c>
      <c r="U14" s="148">
        <f>U13</f>
        <v>436.43592041519742</v>
      </c>
      <c r="V14" s="148">
        <f t="shared" ref="V14:AA14" si="10">V13/(1+$AA$17)^V4</f>
        <v>497.11980614495496</v>
      </c>
      <c r="W14" s="148">
        <f t="shared" si="10"/>
        <v>703.90104187880991</v>
      </c>
      <c r="X14" s="148">
        <f t="shared" si="10"/>
        <v>806.95712958125284</v>
      </c>
      <c r="Y14" s="148">
        <f t="shared" si="10"/>
        <v>822.06302145128245</v>
      </c>
      <c r="Z14" s="148">
        <f t="shared" si="10"/>
        <v>837.91012656435635</v>
      </c>
      <c r="AA14" s="148">
        <f t="shared" si="10"/>
        <v>764.07962139247729</v>
      </c>
      <c r="AF14" s="122" t="s">
        <v>33</v>
      </c>
      <c r="AG14" s="122"/>
      <c r="AH14" s="122"/>
      <c r="AI14" s="122"/>
      <c r="AS14" s="1133" t="s">
        <v>82</v>
      </c>
      <c r="AT14" s="1133"/>
      <c r="AU14" s="100">
        <f>U22</f>
        <v>16981.9640441556</v>
      </c>
    </row>
    <row r="15" spans="1:47">
      <c r="H15" s="3" t="s">
        <v>886</v>
      </c>
      <c r="I15" s="58" cm="1">
        <f t="array" ref="I15:M15">I31:M31</f>
        <v>6463.8144050000001</v>
      </c>
      <c r="J15" s="58">
        <v>7342.7430796649996</v>
      </c>
      <c r="K15" s="58">
        <v>8566.1126405594987</v>
      </c>
      <c r="L15" s="58">
        <v>9968.2279352622809</v>
      </c>
      <c r="M15" s="58">
        <v>11261.369309773971</v>
      </c>
      <c r="T15" s="6" t="s">
        <v>887</v>
      </c>
      <c r="AF15" t="s">
        <v>35</v>
      </c>
      <c r="AG15" s="1135">
        <f>AG7*(1+AG10)/(AG8-AG10)</f>
        <v>21493.111052815766</v>
      </c>
      <c r="AH15" s="1133"/>
      <c r="AI15" s="1133"/>
      <c r="AS15" s="1133" t="s">
        <v>22</v>
      </c>
      <c r="AT15" s="1133"/>
      <c r="AU15" s="212">
        <f>AU11*AA25+AA24*AU7</f>
        <v>0.10028440000000001</v>
      </c>
    </row>
    <row r="16" spans="1:47">
      <c r="H16" s="3" t="s">
        <v>888</v>
      </c>
      <c r="I16" s="120">
        <f>I15/G31-1</f>
        <v>0.2393936010249833</v>
      </c>
      <c r="J16" s="120">
        <f>J15/I15-1</f>
        <v>0.13597678082853304</v>
      </c>
      <c r="K16" s="120">
        <f>K15/J15-1</f>
        <v>0.16660933763057839</v>
      </c>
      <c r="L16" s="120">
        <f>L15/K15-1</f>
        <v>0.16368163174319439</v>
      </c>
      <c r="M16" s="120">
        <f>M15/L15-1</f>
        <v>0.12972630470630042</v>
      </c>
      <c r="N16" s="2"/>
      <c r="O16" s="2"/>
      <c r="P16" s="2"/>
      <c r="Q16" s="2"/>
      <c r="R16" s="2"/>
      <c r="S16" s="2"/>
      <c r="AF16" t="s">
        <v>37</v>
      </c>
      <c r="AG16" s="1135">
        <f>AG7*AG12*(AG9-AG10)/(AG8-AG10)</f>
        <v>3226.0783878510533</v>
      </c>
      <c r="AH16" s="1133"/>
      <c r="AI16" s="1133"/>
    </row>
    <row r="17" spans="1:35" ht="16.5">
      <c r="H17" s="132" t="s">
        <v>889</v>
      </c>
      <c r="I17" s="124">
        <f>I15/I13-1</f>
        <v>-8.0160689441954869E-4</v>
      </c>
      <c r="J17" s="124">
        <f>J15/J13-1</f>
        <v>-2.4802228413259853E-3</v>
      </c>
      <c r="K17" s="124">
        <f>K15/K13-1</f>
        <v>-2.2000418684334777E-3</v>
      </c>
      <c r="L17" s="124">
        <f>L15/L13-1</f>
        <v>-6.7890373310464103E-4</v>
      </c>
      <c r="M17" s="124">
        <f>M15/M13-1</f>
        <v>-6.4082133603343694E-3</v>
      </c>
      <c r="N17" s="117"/>
      <c r="O17" s="117"/>
      <c r="P17" s="117"/>
      <c r="Q17" s="117"/>
      <c r="R17" s="117"/>
      <c r="S17" s="117"/>
      <c r="U17" s="100"/>
      <c r="Y17" s="3" t="s">
        <v>22</v>
      </c>
      <c r="AA17" s="7">
        <f>AA21*AA25+AA24*AA22</f>
        <v>0.10028440000000001</v>
      </c>
      <c r="AB17" s="117"/>
      <c r="AF17" s="102" t="s">
        <v>39</v>
      </c>
      <c r="AG17" s="1136">
        <f>SUM(AG15+AG16)</f>
        <v>24719.189440666818</v>
      </c>
      <c r="AH17" s="1136"/>
      <c r="AI17" s="1136"/>
    </row>
    <row r="18" spans="1:35">
      <c r="I18" s="3"/>
      <c r="J18" s="117"/>
      <c r="K18" s="117"/>
      <c r="L18" s="117"/>
      <c r="M18" s="117"/>
      <c r="N18" s="117"/>
      <c r="O18" s="117"/>
      <c r="P18" s="117"/>
      <c r="Q18" s="117"/>
      <c r="R18" s="117"/>
      <c r="S18" s="117"/>
      <c r="T18" s="3" t="s">
        <v>890</v>
      </c>
      <c r="U18" s="148">
        <f>AG21</f>
        <v>21493.111052815766</v>
      </c>
      <c r="Y18" t="s">
        <v>891</v>
      </c>
      <c r="AA18" s="5">
        <v>1.28</v>
      </c>
      <c r="AF18" t="s">
        <v>41</v>
      </c>
      <c r="AG18" s="1137">
        <f>AG17/(1+AG8)^AA4</f>
        <v>13931.712152257896</v>
      </c>
      <c r="AH18" s="1137"/>
      <c r="AI18" s="1137"/>
    </row>
    <row r="19" spans="1:35">
      <c r="I19" s="119"/>
      <c r="T19" s="3" t="s">
        <v>892</v>
      </c>
      <c r="U19" s="148">
        <f>U18/(1+AA17)^AA4</f>
        <v>12113.49737672727</v>
      </c>
      <c r="Y19" t="s">
        <v>893</v>
      </c>
      <c r="AA19" s="9">
        <v>4.4200000000000003E-2</v>
      </c>
    </row>
    <row r="20" spans="1:35" ht="16">
      <c r="A20" s="6"/>
      <c r="B20" s="58"/>
      <c r="H20" s="3" t="s">
        <v>894</v>
      </c>
      <c r="I20" s="134">
        <v>0.84499999999999997</v>
      </c>
      <c r="J20" s="128">
        <v>0.84799999999999998</v>
      </c>
      <c r="K20" s="128">
        <v>0.85</v>
      </c>
      <c r="L20" s="128">
        <v>0.85199999999999998</v>
      </c>
      <c r="M20" s="128">
        <v>0.85299999999999998</v>
      </c>
      <c r="N20" s="128">
        <v>0.85299999999999998</v>
      </c>
      <c r="O20" s="128">
        <v>0.85299999999999998</v>
      </c>
      <c r="Y20" t="s">
        <v>895</v>
      </c>
      <c r="AA20" s="10">
        <v>4.5499999999999999E-2</v>
      </c>
      <c r="AF20" s="122" t="s">
        <v>43</v>
      </c>
      <c r="AG20" s="122"/>
      <c r="AH20" s="122"/>
      <c r="AI20" s="122"/>
    </row>
    <row r="21" spans="1:35">
      <c r="A21" s="58"/>
      <c r="C21" s="120"/>
      <c r="D21" s="120"/>
      <c r="E21" s="120"/>
      <c r="H21" s="3" t="s">
        <v>704</v>
      </c>
      <c r="I21" s="120">
        <f>I32/G32-1</f>
        <v>0.26500000000000012</v>
      </c>
      <c r="J21" s="118">
        <f>C7</f>
        <v>0.2</v>
      </c>
      <c r="K21" s="118">
        <f>D7</f>
        <v>0.22500000000000001</v>
      </c>
      <c r="L21" s="118">
        <f>E7</f>
        <v>0.20499999999999999</v>
      </c>
      <c r="M21" s="118">
        <f>F7</f>
        <v>0.15</v>
      </c>
      <c r="N21" s="119">
        <v>0.11</v>
      </c>
      <c r="O21" s="119">
        <v>7.4999999999999997E-2</v>
      </c>
      <c r="T21" t="s">
        <v>896</v>
      </c>
      <c r="U21" s="148">
        <f>SUM(U14:AA14)</f>
        <v>4868.4666674283308</v>
      </c>
      <c r="Y21" t="s">
        <v>897</v>
      </c>
      <c r="AA21" s="9">
        <v>0.102076</v>
      </c>
      <c r="AF21" t="s">
        <v>45</v>
      </c>
      <c r="AG21" s="1137">
        <f>AG7*(1+AA26)/(AG8-AG10)</f>
        <v>21493.111052815766</v>
      </c>
      <c r="AH21" s="1138"/>
      <c r="AI21" s="1138"/>
    </row>
    <row r="22" spans="1:35">
      <c r="H22" s="3" t="s">
        <v>375</v>
      </c>
      <c r="I22" s="119">
        <f>I33/G33-1</f>
        <v>0.21500000000000008</v>
      </c>
      <c r="J22" s="120">
        <f>C2</f>
        <v>-0.122</v>
      </c>
      <c r="K22" s="120">
        <f>D2</f>
        <v>-0.16200000000000001</v>
      </c>
      <c r="L22" s="120">
        <f>E2</f>
        <v>-9.1999999999999998E-2</v>
      </c>
      <c r="M22" s="120">
        <f>F2</f>
        <v>-1</v>
      </c>
      <c r="N22" t="s">
        <v>269</v>
      </c>
      <c r="O22" t="s">
        <v>269</v>
      </c>
      <c r="T22" t="s">
        <v>58</v>
      </c>
      <c r="U22" s="148">
        <f>U19+U21</f>
        <v>16981.9640441556</v>
      </c>
      <c r="Y22" t="s">
        <v>898</v>
      </c>
      <c r="AA22" s="8">
        <v>5.4300000000000001E-2</v>
      </c>
      <c r="AF22" t="s">
        <v>46</v>
      </c>
      <c r="AG22" s="1139">
        <f>AG17/AG21-1</f>
        <v>0.15009825147804334</v>
      </c>
      <c r="AH22" s="1139"/>
      <c r="AI22" s="1139"/>
    </row>
    <row r="23" spans="1:35">
      <c r="A23" s="12" t="s">
        <v>899</v>
      </c>
      <c r="H23" s="3" t="s">
        <v>900</v>
      </c>
      <c r="I23" s="134">
        <f>I35/G35-1</f>
        <v>6.4999999999999947E-2</v>
      </c>
      <c r="J23" s="129">
        <v>0.06</v>
      </c>
      <c r="K23" s="129">
        <v>5.7000000000000002E-2</v>
      </c>
      <c r="L23" s="129">
        <v>5.1999999999999998E-2</v>
      </c>
      <c r="M23" s="129">
        <v>0.05</v>
      </c>
      <c r="N23" s="129">
        <v>4.4999999999999998E-2</v>
      </c>
      <c r="O23" s="129">
        <v>0.04</v>
      </c>
      <c r="T23" t="s">
        <v>60</v>
      </c>
      <c r="U23" s="4">
        <f>I94</f>
        <v>3640.2750001017216</v>
      </c>
      <c r="Y23" t="s">
        <v>901</v>
      </c>
      <c r="AA23" s="9">
        <v>0.24</v>
      </c>
    </row>
    <row r="24" spans="1:35">
      <c r="A24" s="13" t="s">
        <v>902</v>
      </c>
      <c r="B24" s="13"/>
      <c r="C24" s="13"/>
      <c r="D24" s="13"/>
      <c r="E24" s="13"/>
      <c r="F24" s="13"/>
      <c r="G24" s="13"/>
      <c r="H24" s="13"/>
      <c r="I24" s="1125" t="s">
        <v>903</v>
      </c>
      <c r="J24" s="1125"/>
      <c r="K24" s="1125"/>
      <c r="L24" s="1125"/>
      <c r="M24" s="1125"/>
      <c r="N24" s="1125"/>
      <c r="O24" s="15"/>
      <c r="P24" s="103"/>
      <c r="T24" t="s">
        <v>62</v>
      </c>
      <c r="U24" s="166">
        <f>I137+I129</f>
        <v>2924.1675316080537</v>
      </c>
      <c r="Y24" t="s">
        <v>904</v>
      </c>
      <c r="AA24" s="9">
        <v>3.7499999999999999E-2</v>
      </c>
      <c r="AF24" s="89" t="s">
        <v>50</v>
      </c>
      <c r="AG24" s="89"/>
      <c r="AH24" s="89"/>
      <c r="AI24" s="89"/>
    </row>
    <row r="25" spans="1:35">
      <c r="A25" s="13" t="s">
        <v>783</v>
      </c>
      <c r="B25" s="13"/>
      <c r="C25" s="13"/>
      <c r="D25" s="13"/>
      <c r="E25" s="13"/>
      <c r="F25" s="13"/>
      <c r="G25" s="13"/>
      <c r="H25" s="13"/>
      <c r="I25" s="17"/>
      <c r="J25" s="17"/>
      <c r="K25" s="17"/>
      <c r="L25" s="17"/>
      <c r="M25" s="17"/>
      <c r="N25" s="17"/>
      <c r="O25" s="15"/>
      <c r="P25" s="99"/>
      <c r="T25" t="s">
        <v>63</v>
      </c>
      <c r="U25" s="166">
        <f>U24-U23</f>
        <v>-716.10746849366797</v>
      </c>
      <c r="Y25" t="s">
        <v>905</v>
      </c>
      <c r="AA25" s="11">
        <f>1-AA24</f>
        <v>0.96250000000000002</v>
      </c>
      <c r="AF25" s="3" t="s">
        <v>52</v>
      </c>
      <c r="AH25" s="103"/>
      <c r="AI25" s="169">
        <f>AG17</f>
        <v>24719.189440666818</v>
      </c>
    </row>
    <row r="26" spans="1:35">
      <c r="A26" s="13" t="s">
        <v>906</v>
      </c>
      <c r="B26" s="13"/>
      <c r="C26" s="13"/>
      <c r="D26" s="13"/>
      <c r="E26" s="13"/>
      <c r="F26" s="13"/>
      <c r="G26" s="13" t="s">
        <v>907</v>
      </c>
      <c r="H26" s="177"/>
      <c r="I26" s="105">
        <f>(I31/G31)-1</f>
        <v>0.2393936010249833</v>
      </c>
      <c r="J26" s="105">
        <f>(J31/I31)-1</f>
        <v>0.13597678082853304</v>
      </c>
      <c r="K26" s="105">
        <f t="shared" ref="K26:O26" si="11">(K31/J31)-1</f>
        <v>0.16660933763057839</v>
      </c>
      <c r="L26" s="105">
        <f t="shared" si="11"/>
        <v>0.16368163174319439</v>
      </c>
      <c r="M26" s="105">
        <f t="shared" si="11"/>
        <v>0.12972630470630042</v>
      </c>
      <c r="N26" s="105">
        <f t="shared" si="11"/>
        <v>0.1077123420844146</v>
      </c>
      <c r="O26" s="105">
        <f t="shared" si="11"/>
        <v>7.3837922569943704E-2</v>
      </c>
      <c r="T26" t="s">
        <v>908</v>
      </c>
      <c r="U26" s="148">
        <f>U22+U23-U24</f>
        <v>17698.071512649269</v>
      </c>
      <c r="Y26" t="s">
        <v>909</v>
      </c>
      <c r="AA26" s="104">
        <v>3.5000000000000003E-2</v>
      </c>
      <c r="AF26" t="s">
        <v>55</v>
      </c>
      <c r="AH26" s="103"/>
      <c r="AI26" s="169">
        <f>AI25/(1+AG8)^AA4</f>
        <v>13931.712152257896</v>
      </c>
    </row>
    <row r="27" spans="1:35">
      <c r="A27" s="13" t="s">
        <v>910</v>
      </c>
      <c r="B27" s="13" t="s">
        <v>911</v>
      </c>
      <c r="C27" s="13" t="s">
        <v>912</v>
      </c>
      <c r="D27" s="13" t="s">
        <v>913</v>
      </c>
      <c r="E27" s="13" t="s">
        <v>914</v>
      </c>
      <c r="F27" s="13" t="s">
        <v>915</v>
      </c>
      <c r="G27" s="13" t="s">
        <v>916</v>
      </c>
      <c r="H27" s="18" t="s">
        <v>917</v>
      </c>
      <c r="I27" s="13" t="s">
        <v>918</v>
      </c>
      <c r="J27" s="13" t="s">
        <v>919</v>
      </c>
      <c r="K27" s="13" t="s">
        <v>920</v>
      </c>
      <c r="L27" s="13" t="s">
        <v>921</v>
      </c>
      <c r="M27" s="13" t="s">
        <v>922</v>
      </c>
      <c r="N27" s="13" t="s">
        <v>923</v>
      </c>
      <c r="O27" s="13" t="s">
        <v>924</v>
      </c>
      <c r="Q27" s="58"/>
      <c r="R27" s="58"/>
      <c r="Y27" s="6" t="s">
        <v>925</v>
      </c>
      <c r="AF27" t="s">
        <v>896</v>
      </c>
      <c r="AI27" s="148">
        <f>SUM(U14:AA14)</f>
        <v>4868.4666674283308</v>
      </c>
    </row>
    <row r="28" spans="1:35">
      <c r="A28" s="13" t="s">
        <v>926</v>
      </c>
      <c r="B28" s="13"/>
      <c r="C28" s="13"/>
      <c r="D28" s="13"/>
      <c r="E28" s="13"/>
      <c r="F28" s="13"/>
      <c r="G28" s="13"/>
      <c r="H28" s="18" t="s">
        <v>927</v>
      </c>
      <c r="I28" s="17"/>
      <c r="J28" s="17"/>
      <c r="K28" s="17"/>
      <c r="L28" s="17"/>
      <c r="M28" s="17"/>
      <c r="N28" s="17"/>
      <c r="O28" s="15"/>
      <c r="T28" t="s">
        <v>68</v>
      </c>
      <c r="U28" s="125">
        <v>276.40250830742798</v>
      </c>
      <c r="AA28" s="135"/>
      <c r="AF28" t="s">
        <v>58</v>
      </c>
      <c r="AI28" s="148">
        <f>AI26+AI27</f>
        <v>18800.178819686225</v>
      </c>
    </row>
    <row r="29" spans="1:35">
      <c r="A29" s="13"/>
      <c r="B29" s="13"/>
      <c r="C29" s="13"/>
      <c r="D29" s="13" t="s">
        <v>928</v>
      </c>
      <c r="E29" s="13"/>
      <c r="F29" s="13" t="s">
        <v>928</v>
      </c>
      <c r="G29" s="13"/>
      <c r="H29" s="19" t="s">
        <v>929</v>
      </c>
      <c r="I29" s="17"/>
      <c r="J29" s="17"/>
      <c r="K29" s="17"/>
      <c r="L29" s="17"/>
      <c r="M29" s="17"/>
      <c r="N29" s="17"/>
      <c r="O29" s="15"/>
      <c r="T29" s="3" t="s">
        <v>930</v>
      </c>
      <c r="U29" s="173">
        <f>U26/U28</f>
        <v>64.030068399251405</v>
      </c>
      <c r="AF29" t="s">
        <v>60</v>
      </c>
      <c r="AH29" s="136"/>
      <c r="AI29" s="4">
        <f>I94</f>
        <v>3640.2750001017216</v>
      </c>
    </row>
    <row r="30" spans="1:35">
      <c r="A30" s="23" t="s">
        <v>931</v>
      </c>
      <c r="B30" s="23"/>
      <c r="C30" s="23"/>
      <c r="D30" s="23"/>
      <c r="E30" s="23"/>
      <c r="F30" s="23"/>
      <c r="G30" s="23"/>
      <c r="H30" s="180"/>
      <c r="I30" s="180"/>
      <c r="J30" s="180"/>
      <c r="K30" s="180"/>
      <c r="P30" s="3" t="s">
        <v>932</v>
      </c>
      <c r="AF30" t="s">
        <v>62</v>
      </c>
      <c r="AI30" s="166">
        <f>I137+I129</f>
        <v>2924.1675316080537</v>
      </c>
    </row>
    <row r="31" spans="1:35">
      <c r="A31" s="26" t="s">
        <v>492</v>
      </c>
      <c r="B31" s="27">
        <v>1614.173</v>
      </c>
      <c r="C31" s="27">
        <v>2089.1320000000001</v>
      </c>
      <c r="D31" s="27">
        <v>2802.8820000000001</v>
      </c>
      <c r="E31" s="27">
        <v>3534.6469999999999</v>
      </c>
      <c r="F31" s="27">
        <v>4358.6030000000001</v>
      </c>
      <c r="G31" s="27">
        <v>5215.3040000000001</v>
      </c>
      <c r="H31" s="28">
        <v>4805.8</v>
      </c>
      <c r="I31" s="29">
        <f>SUM(I32:I35)</f>
        <v>6463.8144050000001</v>
      </c>
      <c r="J31" s="29">
        <f>SUM(J32:J35)</f>
        <v>7342.7430796649996</v>
      </c>
      <c r="K31" s="29">
        <f t="shared" ref="K31:O31" si="12">SUM(K32:K35)</f>
        <v>8566.1126405594987</v>
      </c>
      <c r="L31" s="29">
        <f t="shared" si="12"/>
        <v>9968.2279352622809</v>
      </c>
      <c r="M31" s="29">
        <f t="shared" si="12"/>
        <v>11261.369309773971</v>
      </c>
      <c r="N31" s="29">
        <f t="shared" si="12"/>
        <v>12474.357773207274</v>
      </c>
      <c r="O31" s="110">
        <f t="shared" si="12"/>
        <v>13395.438436575127</v>
      </c>
      <c r="P31" s="167">
        <f>(O31/G31)^(1/COLUMNS(I31:O31))-1</f>
        <v>0.14426161416734384</v>
      </c>
      <c r="V31" s="124"/>
      <c r="AE31" s="6"/>
      <c r="AF31" t="s">
        <v>63</v>
      </c>
      <c r="AH31" s="99"/>
      <c r="AI31" s="166">
        <f>AI30-AI29</f>
        <v>-716.10746849366797</v>
      </c>
    </row>
    <row r="32" spans="1:35">
      <c r="A32" s="107" t="s">
        <v>374</v>
      </c>
      <c r="B32" s="131" t="s">
        <v>676</v>
      </c>
      <c r="C32" s="131" t="s">
        <v>676</v>
      </c>
      <c r="D32" s="131">
        <f>1515424/1000</f>
        <v>1515.424</v>
      </c>
      <c r="E32" s="131">
        <v>2085.5</v>
      </c>
      <c r="F32" s="131">
        <v>2698.9</v>
      </c>
      <c r="G32" s="131">
        <v>3447.4</v>
      </c>
      <c r="H32" s="115">
        <f>G32/G31</f>
        <v>0.66101611718128028</v>
      </c>
      <c r="I32" s="58">
        <f>G32*(1+0.265)</f>
        <v>4360.9610000000002</v>
      </c>
      <c r="J32" s="58">
        <f>I32*(1+J21)+C6</f>
        <v>5438.1531090749995</v>
      </c>
      <c r="K32" s="58">
        <f>J32*(1+K21)+D6</f>
        <v>6895.72445483508</v>
      </c>
      <c r="L32" s="58">
        <f>K32*(1+L21)+E6</f>
        <v>8399.8468999366669</v>
      </c>
      <c r="M32" s="58">
        <f>L32*(1+M21)+F6</f>
        <v>10865.028376822665</v>
      </c>
      <c r="N32" s="58">
        <f>M32*(1+N21)</f>
        <v>12060.181498273159</v>
      </c>
      <c r="O32" s="58">
        <f>N32*(1+O21)</f>
        <v>12964.695110643646</v>
      </c>
      <c r="Q32" s="120"/>
      <c r="T32" t="s">
        <v>933</v>
      </c>
      <c r="U32" s="106">
        <f>93.29</f>
        <v>93.29</v>
      </c>
      <c r="AF32" t="s">
        <v>908</v>
      </c>
      <c r="AI32" s="148">
        <f>AI28+AI29-AI30</f>
        <v>19516.286288179894</v>
      </c>
    </row>
    <row r="33" spans="1:43">
      <c r="A33" s="107" t="s">
        <v>375</v>
      </c>
      <c r="B33" s="131" t="s">
        <v>676</v>
      </c>
      <c r="C33" s="131" t="s">
        <v>676</v>
      </c>
      <c r="D33" s="131">
        <f>560319/1000</f>
        <v>560.31899999999996</v>
      </c>
      <c r="E33" s="131">
        <f>819251/1000</f>
        <v>819.25099999999998</v>
      </c>
      <c r="F33" s="131">
        <f>1208498/1000</f>
        <v>1208.498</v>
      </c>
      <c r="G33" s="131">
        <f>1467167/1000</f>
        <v>1467.1669999999999</v>
      </c>
      <c r="H33" s="116">
        <f>G33/G31</f>
        <v>0.28131955490993427</v>
      </c>
      <c r="I33" s="58">
        <f>G33*(1+0.215)</f>
        <v>1782.6079050000001</v>
      </c>
      <c r="J33" s="58">
        <f>C5</f>
        <v>1565.12974059</v>
      </c>
      <c r="K33" s="58">
        <f>D5</f>
        <v>1311.57872261442</v>
      </c>
      <c r="L33" s="58">
        <f>E5</f>
        <v>1190.9134801338935</v>
      </c>
      <c r="M33" s="114" t="s">
        <v>269</v>
      </c>
      <c r="N33" s="114" t="s">
        <v>269</v>
      </c>
      <c r="O33" s="114" t="s">
        <v>269</v>
      </c>
      <c r="Q33" s="120"/>
      <c r="T33" t="s">
        <v>72</v>
      </c>
      <c r="U33" s="168">
        <f>U29/U32-1</f>
        <v>-0.31364488799173118</v>
      </c>
    </row>
    <row r="34" spans="1:43">
      <c r="A34" s="107" t="s">
        <v>376</v>
      </c>
      <c r="B34" s="131" t="s">
        <v>676</v>
      </c>
      <c r="C34" s="131" t="s">
        <v>676</v>
      </c>
      <c r="D34" s="131">
        <f>525028/1000</f>
        <v>525.02800000000002</v>
      </c>
      <c r="E34" s="131">
        <f>400519/1000</f>
        <v>400.51900000000001</v>
      </c>
      <c r="F34" s="131">
        <f>177645/1000</f>
        <v>177.64500000000001</v>
      </c>
      <c r="G34" s="111" t="s">
        <v>269</v>
      </c>
      <c r="H34" s="112" t="s">
        <v>269</v>
      </c>
      <c r="I34" s="113" t="s">
        <v>269</v>
      </c>
      <c r="J34" s="113" t="s">
        <v>269</v>
      </c>
      <c r="K34" s="113" t="s">
        <v>269</v>
      </c>
      <c r="L34" s="113" t="s">
        <v>269</v>
      </c>
      <c r="M34" s="113" t="s">
        <v>269</v>
      </c>
      <c r="N34" s="113" t="s">
        <v>269</v>
      </c>
      <c r="O34" s="113" t="s">
        <v>269</v>
      </c>
      <c r="P34" s="29"/>
      <c r="Q34" s="120"/>
      <c r="AF34" t="s">
        <v>68</v>
      </c>
      <c r="AH34" s="143"/>
      <c r="AI34" s="125">
        <v>276.40250830742798</v>
      </c>
    </row>
    <row r="35" spans="1:43">
      <c r="A35" s="107" t="s">
        <v>377</v>
      </c>
      <c r="B35" s="131" t="s">
        <v>676</v>
      </c>
      <c r="C35" s="131" t="s">
        <v>676</v>
      </c>
      <c r="D35" s="131">
        <f>202111/1000</f>
        <v>202.11099999999999</v>
      </c>
      <c r="E35" s="131">
        <f>229379/1000</f>
        <v>229.37899999999999</v>
      </c>
      <c r="F35" s="131">
        <f>273561/1000</f>
        <v>273.56099999999998</v>
      </c>
      <c r="G35" s="131">
        <v>300.7</v>
      </c>
      <c r="H35" s="27"/>
      <c r="I35" s="126">
        <f>G35*(1+0.065)</f>
        <v>320.24549999999999</v>
      </c>
      <c r="J35" s="126">
        <f t="shared" ref="J35:O35" si="13">I35*(1+J23)</f>
        <v>339.46023000000002</v>
      </c>
      <c r="K35" s="126">
        <f t="shared" si="13"/>
        <v>358.80946311000002</v>
      </c>
      <c r="L35" s="126">
        <f t="shared" si="13"/>
        <v>377.46755519172007</v>
      </c>
      <c r="M35" s="126">
        <f t="shared" si="13"/>
        <v>396.34093295130606</v>
      </c>
      <c r="N35" s="126">
        <f t="shared" si="13"/>
        <v>414.17627493411482</v>
      </c>
      <c r="O35" s="126">
        <f t="shared" si="13"/>
        <v>430.74332593147943</v>
      </c>
      <c r="Q35" s="127"/>
      <c r="AF35" s="3" t="s">
        <v>71</v>
      </c>
      <c r="AH35" s="170"/>
      <c r="AI35" s="172">
        <f>AI32/AI34</f>
        <v>70.608209772369193</v>
      </c>
    </row>
    <row r="36" spans="1:43">
      <c r="A36" s="35" t="s">
        <v>934</v>
      </c>
      <c r="B36" s="36">
        <v>281.02600000000001</v>
      </c>
      <c r="C36" s="36">
        <v>346.70699999999999</v>
      </c>
      <c r="D36" s="36">
        <v>462.09300000000002</v>
      </c>
      <c r="E36" s="36">
        <v>642.20799999999997</v>
      </c>
      <c r="F36" s="36">
        <v>815.18299999999999</v>
      </c>
      <c r="G36" s="36">
        <v>908.41300000000001</v>
      </c>
      <c r="H36" s="41">
        <v>724.33359599999994</v>
      </c>
      <c r="I36" s="58">
        <f>I31-I41</f>
        <v>1001.8912327750004</v>
      </c>
      <c r="J36" s="58">
        <f t="shared" ref="J36:O36" si="14">J31-J41</f>
        <v>1116.0969481090797</v>
      </c>
      <c r="K36" s="58">
        <f t="shared" si="14"/>
        <v>1284.9168960839252</v>
      </c>
      <c r="L36" s="58">
        <f t="shared" si="14"/>
        <v>1475.2977344188184</v>
      </c>
      <c r="M36" s="58">
        <f t="shared" si="14"/>
        <v>1655.4212885367742</v>
      </c>
      <c r="N36" s="58">
        <f t="shared" si="14"/>
        <v>1833.7305926614699</v>
      </c>
      <c r="O36" s="58">
        <f t="shared" si="14"/>
        <v>1969.1294501765442</v>
      </c>
    </row>
    <row r="37" spans="1:43">
      <c r="A37" s="42" t="s">
        <v>935</v>
      </c>
      <c r="B37" s="43">
        <v>183.62799999999999</v>
      </c>
      <c r="C37" s="43">
        <v>253.85900000000001</v>
      </c>
      <c r="D37" s="43">
        <v>410.35399999999998</v>
      </c>
      <c r="E37" s="43">
        <v>581.28499999999997</v>
      </c>
      <c r="F37" s="43">
        <v>736.44500000000005</v>
      </c>
      <c r="G37" s="43">
        <v>816.03800000000001</v>
      </c>
      <c r="H37" s="47">
        <v>622.67305799999997</v>
      </c>
      <c r="I37" s="100">
        <f>I36-I38</f>
        <v>887.40224888031753</v>
      </c>
      <c r="J37" s="100">
        <f t="shared" ref="J37:O37" si="15">J36-J38</f>
        <v>986.04012074406808</v>
      </c>
      <c r="K37" s="100">
        <f t="shared" si="15"/>
        <v>1133.1913868572944</v>
      </c>
      <c r="L37" s="100">
        <f t="shared" si="15"/>
        <v>1298.7375462649059</v>
      </c>
      <c r="M37" s="100">
        <f t="shared" si="15"/>
        <v>1455.9565996154054</v>
      </c>
      <c r="N37" s="100">
        <f t="shared" si="15"/>
        <v>1612.7810949332413</v>
      </c>
      <c r="O37" s="100">
        <f t="shared" si="15"/>
        <v>1726.0159627219377</v>
      </c>
      <c r="U37" s="176"/>
      <c r="AF37" t="s">
        <v>219</v>
      </c>
      <c r="AI37" s="106">
        <f>U32</f>
        <v>93.29</v>
      </c>
    </row>
    <row r="38" spans="1:43">
      <c r="A38" s="48" t="s">
        <v>936</v>
      </c>
      <c r="B38" s="36">
        <v>97.397999999999996</v>
      </c>
      <c r="C38" s="36">
        <v>92.847999999999999</v>
      </c>
      <c r="D38" s="36">
        <v>51.738999999999997</v>
      </c>
      <c r="E38" s="36">
        <v>60.923000000000002</v>
      </c>
      <c r="F38" s="36">
        <v>78.738</v>
      </c>
      <c r="G38" s="36">
        <v>92.375</v>
      </c>
      <c r="H38" s="41">
        <v>101.660539</v>
      </c>
      <c r="I38" s="109">
        <f t="shared" ref="I38:O38" si="16">SUM(I39:I40)</f>
        <v>114.48898389468285</v>
      </c>
      <c r="J38" s="109">
        <f t="shared" si="16"/>
        <v>130.0568273650116</v>
      </c>
      <c r="K38" s="109">
        <f t="shared" si="16"/>
        <v>151.72550922663066</v>
      </c>
      <c r="L38" s="109">
        <f t="shared" si="16"/>
        <v>176.56018815391266</v>
      </c>
      <c r="M38" s="109">
        <f t="shared" si="16"/>
        <v>199.46468892136886</v>
      </c>
      <c r="N38" s="109">
        <f t="shared" si="16"/>
        <v>220.94949772822869</v>
      </c>
      <c r="O38" s="109">
        <f t="shared" si="16"/>
        <v>243.11348745460649</v>
      </c>
      <c r="U38" s="176" t="s">
        <v>937</v>
      </c>
      <c r="AF38" t="s">
        <v>72</v>
      </c>
      <c r="AI38" s="168">
        <f>AI35/AI37-1</f>
        <v>-0.24313206375421603</v>
      </c>
    </row>
    <row r="39" spans="1:43">
      <c r="A39" s="49" t="s">
        <v>496</v>
      </c>
      <c r="B39" s="43">
        <v>54.863</v>
      </c>
      <c r="C39" s="43">
        <v>61.094000000000001</v>
      </c>
      <c r="D39" s="43">
        <v>19.341000000000001</v>
      </c>
      <c r="E39" s="43">
        <v>27.795999999999999</v>
      </c>
      <c r="F39" s="43">
        <v>28.99</v>
      </c>
      <c r="G39" s="43">
        <v>36.857999999999997</v>
      </c>
      <c r="H39" s="47">
        <v>31.022943000000001</v>
      </c>
      <c r="I39" s="100">
        <f>G39/G107*I107</f>
        <v>45.68156934657884</v>
      </c>
      <c r="J39" s="100">
        <f t="shared" ref="J39:O39" si="17">I39/I107*J107</f>
        <v>51.893202089522028</v>
      </c>
      <c r="K39" s="100">
        <f t="shared" si="17"/>
        <v>60.539094117187034</v>
      </c>
      <c r="L39" s="100">
        <f t="shared" si="17"/>
        <v>70.448231826543037</v>
      </c>
      <c r="M39" s="100">
        <f t="shared" si="17"/>
        <v>79.587220614493233</v>
      </c>
      <c r="N39" s="100">
        <f t="shared" si="17"/>
        <v>88.159746546869314</v>
      </c>
      <c r="O39" s="100">
        <f t="shared" si="17"/>
        <v>100.51881690743579</v>
      </c>
      <c r="P39" s="100" t="s">
        <v>938</v>
      </c>
      <c r="Z39" s="3" t="s">
        <v>939</v>
      </c>
    </row>
    <row r="40" spans="1:43">
      <c r="A40" s="51" t="s">
        <v>940</v>
      </c>
      <c r="B40" s="52">
        <v>42.534999999999997</v>
      </c>
      <c r="C40" s="52">
        <v>31.754000000000001</v>
      </c>
      <c r="D40" s="52">
        <v>32.398000000000003</v>
      </c>
      <c r="E40" s="52">
        <v>33.127000000000002</v>
      </c>
      <c r="F40" s="52">
        <v>49.747999999999998</v>
      </c>
      <c r="G40" s="52">
        <v>55.517000000000003</v>
      </c>
      <c r="H40" s="47">
        <v>70.637596000000002</v>
      </c>
      <c r="I40" s="100">
        <f>G40/G31*I31</f>
        <v>68.807414548104006</v>
      </c>
      <c r="J40" s="100">
        <f t="shared" ref="J40:O40" si="18">I40/I31*J31</f>
        <v>78.163625275489565</v>
      </c>
      <c r="K40" s="100">
        <f t="shared" si="18"/>
        <v>91.186415109443629</v>
      </c>
      <c r="L40" s="100">
        <f t="shared" si="18"/>
        <v>106.11195632736963</v>
      </c>
      <c r="M40" s="100">
        <f t="shared" si="18"/>
        <v>119.87746830687561</v>
      </c>
      <c r="N40" s="100">
        <f t="shared" si="18"/>
        <v>132.78975118135938</v>
      </c>
      <c r="O40" s="100">
        <f t="shared" si="18"/>
        <v>142.59467054717069</v>
      </c>
      <c r="V40" s="29">
        <f>IF(ISERROR(U29),"",IF(U29&lt;0,"",U29))</f>
        <v>64.030068399251405</v>
      </c>
      <c r="W40" s="124">
        <f>X40-0.005</f>
        <v>0.02</v>
      </c>
      <c r="X40" s="124">
        <f>Y40-0.005</f>
        <v>2.5000000000000001E-2</v>
      </c>
      <c r="Y40" s="124">
        <f>Z40-0.005</f>
        <v>3.0000000000000002E-2</v>
      </c>
      <c r="Z40" s="178">
        <v>3.5000000000000003E-2</v>
      </c>
      <c r="AA40" s="124">
        <f>Z40+0.005</f>
        <v>0.04</v>
      </c>
      <c r="AB40" s="124">
        <f>AA40+0.005</f>
        <v>4.4999999999999998E-2</v>
      </c>
      <c r="AC40" s="124">
        <f>AB40+0.005</f>
        <v>4.9999999999999996E-2</v>
      </c>
    </row>
    <row r="41" spans="1:43">
      <c r="A41" s="26" t="s">
        <v>500</v>
      </c>
      <c r="B41" s="27">
        <v>1333.1469999999999</v>
      </c>
      <c r="C41" s="27">
        <v>1742.425</v>
      </c>
      <c r="D41" s="27">
        <v>2340.7890000000002</v>
      </c>
      <c r="E41" s="27">
        <v>2892.4389999999999</v>
      </c>
      <c r="F41" s="27">
        <v>3543.42</v>
      </c>
      <c r="G41" s="27">
        <v>4306.8909999999996</v>
      </c>
      <c r="H41" s="41">
        <v>4101.5636039999999</v>
      </c>
      <c r="I41" s="29">
        <f t="shared" ref="I41:O41" si="19">I31*I20</f>
        <v>5461.9231722249997</v>
      </c>
      <c r="J41" s="29">
        <f t="shared" si="19"/>
        <v>6226.64613155592</v>
      </c>
      <c r="K41" s="29">
        <f t="shared" si="19"/>
        <v>7281.1957444755735</v>
      </c>
      <c r="L41" s="29">
        <f t="shared" si="19"/>
        <v>8492.9302008434624</v>
      </c>
      <c r="M41" s="29">
        <f t="shared" si="19"/>
        <v>9605.9480212371964</v>
      </c>
      <c r="N41" s="29">
        <f t="shared" si="19"/>
        <v>10640.627180545804</v>
      </c>
      <c r="O41" s="29">
        <f t="shared" si="19"/>
        <v>11426.308986398582</v>
      </c>
      <c r="V41" s="124">
        <f t="shared" ref="V41:V43" si="20">V42-0.005</f>
        <v>8.0284399999999992E-2</v>
      </c>
      <c r="W41" s="58">
        <f t="dataTable" ref="W41:AC49" dt2D="1" dtr="1" r1="AA26" r2="AA17"/>
        <v>73.552144811512647</v>
      </c>
      <c r="X41" s="58">
        <v>78.553622177664522</v>
      </c>
      <c r="Y41" s="58">
        <v>84.549737516259526</v>
      </c>
      <c r="Z41" s="58">
        <v>91.869954607024155</v>
      </c>
      <c r="AA41" s="58">
        <v>101.0073061445634</v>
      </c>
      <c r="AB41" s="58">
        <v>112.73428696233387</v>
      </c>
      <c r="AC41" s="58">
        <v>128.33355213038718</v>
      </c>
      <c r="AF41" s="186"/>
      <c r="AG41" s="187" t="s">
        <v>253</v>
      </c>
      <c r="AH41" s="187" t="s">
        <v>254</v>
      </c>
      <c r="AI41" s="187" t="s">
        <v>255</v>
      </c>
      <c r="AJ41" s="187" t="s">
        <v>256</v>
      </c>
      <c r="AK41" s="188" t="s">
        <v>941</v>
      </c>
      <c r="AL41" s="188" t="s">
        <v>258</v>
      </c>
      <c r="AM41" s="188" t="s">
        <v>259</v>
      </c>
      <c r="AN41" s="188" t="s">
        <v>260</v>
      </c>
      <c r="AO41" s="188" t="s">
        <v>261</v>
      </c>
      <c r="AP41" s="189" t="s">
        <v>262</v>
      </c>
      <c r="AQ41" s="188" t="s">
        <v>263</v>
      </c>
    </row>
    <row r="42" spans="1:43">
      <c r="A42" s="35" t="s">
        <v>838</v>
      </c>
      <c r="B42" s="36">
        <v>1305.239</v>
      </c>
      <c r="C42" s="36">
        <v>1674.778</v>
      </c>
      <c r="D42" s="36">
        <v>2257.8420000000001</v>
      </c>
      <c r="E42" s="36">
        <v>3212.04</v>
      </c>
      <c r="F42" s="36">
        <v>3648.123</v>
      </c>
      <c r="G42" s="36">
        <v>4425.7870000000003</v>
      </c>
      <c r="H42" s="41">
        <v>4014.4384799999998</v>
      </c>
      <c r="I42" s="138">
        <f>I41-I45</f>
        <v>5563.784554014338</v>
      </c>
      <c r="J42" s="138">
        <f>SUM(J43:J44)</f>
        <v>6241.3316177152501</v>
      </c>
      <c r="K42" s="138">
        <f t="shared" ref="K42:O42" si="21">SUM(K43:K44)</f>
        <v>7152.7040548671812</v>
      </c>
      <c r="L42" s="138">
        <f t="shared" si="21"/>
        <v>8223.7880465913804</v>
      </c>
      <c r="M42" s="138">
        <f t="shared" si="21"/>
        <v>9178.0159874657857</v>
      </c>
      <c r="N42" s="138">
        <f t="shared" si="21"/>
        <v>10041.858007431856</v>
      </c>
      <c r="O42" s="138">
        <f t="shared" si="21"/>
        <v>10649.373557077226</v>
      </c>
      <c r="V42" s="124">
        <f t="shared" si="20"/>
        <v>8.5284399999999996E-2</v>
      </c>
      <c r="W42" s="58">
        <v>67.94167309512757</v>
      </c>
      <c r="X42" s="58">
        <v>72.080375622246848</v>
      </c>
      <c r="Y42" s="58">
        <v>76.967698470310069</v>
      </c>
      <c r="Z42" s="58">
        <v>82.826957514900059</v>
      </c>
      <c r="AA42" s="58">
        <v>89.980096801823009</v>
      </c>
      <c r="AB42" s="58">
        <v>98.908895968729936</v>
      </c>
      <c r="AC42" s="58">
        <v>110.36821830363945</v>
      </c>
      <c r="AF42" s="89" t="s">
        <v>264</v>
      </c>
      <c r="AG42" s="21"/>
      <c r="AH42" s="21"/>
      <c r="AI42" s="21"/>
      <c r="AJ42" s="21"/>
      <c r="AK42" s="21"/>
      <c r="AL42" s="21"/>
      <c r="AM42" s="21"/>
      <c r="AN42" s="21"/>
      <c r="AO42" s="21"/>
      <c r="AP42" s="185"/>
      <c r="AQ42" s="21"/>
    </row>
    <row r="43" spans="1:43">
      <c r="A43" s="42" t="s">
        <v>942</v>
      </c>
      <c r="B43" s="43">
        <v>753.375</v>
      </c>
      <c r="C43" s="43">
        <v>991.64800000000002</v>
      </c>
      <c r="D43" s="43">
        <v>1280.99</v>
      </c>
      <c r="E43" s="43">
        <v>1852.617</v>
      </c>
      <c r="F43" s="43">
        <v>2176.0189999999998</v>
      </c>
      <c r="G43" s="43">
        <v>2661.7440000000001</v>
      </c>
      <c r="H43" s="47">
        <v>2372.2891049999998</v>
      </c>
      <c r="I43" s="58">
        <f>(I31)*(0.51)</f>
        <v>3296.54534655</v>
      </c>
      <c r="J43" s="58">
        <f>J31*0.5</f>
        <v>3671.3715398324998</v>
      </c>
      <c r="K43" s="58">
        <f>K31*0.49</f>
        <v>4197.3951938741538</v>
      </c>
      <c r="L43" s="58">
        <f>L31*0.48</f>
        <v>4784.7494089258944</v>
      </c>
      <c r="M43" s="58">
        <f>M31*0.47</f>
        <v>5292.8435755937662</v>
      </c>
      <c r="N43" s="58">
        <f>0.46*N31</f>
        <v>5738.204575675346</v>
      </c>
      <c r="O43" s="58">
        <f>O31*0.45</f>
        <v>6027.9472964588067</v>
      </c>
      <c r="P43" s="58"/>
      <c r="V43" s="124">
        <f t="shared" si="20"/>
        <v>9.0284400000000001E-2</v>
      </c>
      <c r="W43" s="58">
        <v>63.133739682813726</v>
      </c>
      <c r="X43" s="58">
        <v>66.602937183152392</v>
      </c>
      <c r="Y43" s="58">
        <v>70.64760653032684</v>
      </c>
      <c r="Z43" s="58">
        <v>75.423887208577398</v>
      </c>
      <c r="AA43" s="58">
        <v>81.150021256511337</v>
      </c>
      <c r="AB43" s="58">
        <v>88.140638006641581</v>
      </c>
      <c r="AC43" s="58">
        <v>96.866570846903542</v>
      </c>
      <c r="AF43" s="190" t="s">
        <v>265</v>
      </c>
      <c r="AG43" s="192">
        <f>D41/D31</f>
        <v>0.8351364773829224</v>
      </c>
      <c r="AH43" s="192">
        <f>E41/E31</f>
        <v>0.81831056962689619</v>
      </c>
      <c r="AI43" s="192">
        <f>F41/F31</f>
        <v>0.81297149568336458</v>
      </c>
      <c r="AJ43" s="192">
        <f>G41/G31</f>
        <v>0.82581782385072844</v>
      </c>
      <c r="AK43" s="192">
        <f t="shared" ref="AK43:AQ43" si="22">I41/I31</f>
        <v>0.84499999999999997</v>
      </c>
      <c r="AL43" s="192">
        <f t="shared" si="22"/>
        <v>0.84800000000000009</v>
      </c>
      <c r="AM43" s="192">
        <f t="shared" si="22"/>
        <v>0.85</v>
      </c>
      <c r="AN43" s="192">
        <f t="shared" si="22"/>
        <v>0.85199999999999987</v>
      </c>
      <c r="AO43" s="192">
        <f t="shared" si="22"/>
        <v>0.85299999999999998</v>
      </c>
      <c r="AP43" s="192">
        <f t="shared" si="22"/>
        <v>0.85299999999999998</v>
      </c>
      <c r="AQ43" s="192">
        <f t="shared" si="22"/>
        <v>0.85299999999999998</v>
      </c>
    </row>
    <row r="44" spans="1:43">
      <c r="A44" s="57" t="s">
        <v>839</v>
      </c>
      <c r="B44" s="52">
        <v>551.86400000000003</v>
      </c>
      <c r="C44" s="52">
        <v>683.13</v>
      </c>
      <c r="D44" s="52">
        <v>976.85199999999998</v>
      </c>
      <c r="E44" s="52">
        <v>1359.423</v>
      </c>
      <c r="F44" s="52">
        <v>1472.104</v>
      </c>
      <c r="G44" s="52">
        <v>1764.0429999999999</v>
      </c>
      <c r="H44" s="47">
        <v>1642.1493760000001</v>
      </c>
      <c r="I44" s="58">
        <f>I42-I43</f>
        <v>2267.2392074643381</v>
      </c>
      <c r="J44" s="58">
        <f>J31*0.35</f>
        <v>2569.9600778827498</v>
      </c>
      <c r="K44" s="58">
        <f>K31*0.345</f>
        <v>2955.3088609930269</v>
      </c>
      <c r="L44" s="58">
        <f t="shared" ref="L44:O44" si="23">L31*0.345</f>
        <v>3439.0386376654865</v>
      </c>
      <c r="M44" s="58">
        <f t="shared" si="23"/>
        <v>3885.1724118720194</v>
      </c>
      <c r="N44" s="58">
        <f t="shared" si="23"/>
        <v>4303.6534317565092</v>
      </c>
      <c r="O44" s="58">
        <f t="shared" si="23"/>
        <v>4621.4262606184184</v>
      </c>
      <c r="P44" s="123"/>
      <c r="Q44" s="108"/>
      <c r="V44" s="124">
        <f>V45-0.005</f>
        <v>9.5284400000000005E-2</v>
      </c>
      <c r="W44" s="58">
        <v>58.968358193257309</v>
      </c>
      <c r="X44" s="58">
        <v>61.908700742604807</v>
      </c>
      <c r="Y44" s="58">
        <v>65.299433055716307</v>
      </c>
      <c r="Z44" s="58">
        <v>69.252621379522367</v>
      </c>
      <c r="AA44" s="58">
        <v>73.920873685899636</v>
      </c>
      <c r="AB44" s="58">
        <v>79.517495885599146</v>
      </c>
      <c r="AC44" s="58">
        <v>86.350001126632876</v>
      </c>
      <c r="AF44" s="191" t="s">
        <v>266</v>
      </c>
      <c r="AG44" s="193">
        <f>D76/D31</f>
        <v>4.80526829170832E-2</v>
      </c>
      <c r="AH44" s="193">
        <f>E76/E31</f>
        <v>-7.318354562704564E-2</v>
      </c>
      <c r="AI44" s="193">
        <f>F76/F31</f>
        <v>-5.9571839876217218E-3</v>
      </c>
      <c r="AJ44" s="193">
        <f>G76/G31</f>
        <v>-5.0852260961201882E-3</v>
      </c>
      <c r="AK44" s="193">
        <f t="shared" ref="AK44:AQ44" si="24">I76/I31</f>
        <v>1.9535836449104797E-3</v>
      </c>
      <c r="AL44" s="193">
        <f t="shared" si="24"/>
        <v>1.5712294431925716E-2</v>
      </c>
      <c r="AM44" s="193">
        <f t="shared" si="24"/>
        <v>3.271229443192572E-2</v>
      </c>
      <c r="AN44" s="193">
        <f t="shared" si="24"/>
        <v>4.4712294431925786E-2</v>
      </c>
      <c r="AO44" s="193">
        <f t="shared" si="24"/>
        <v>5.571229443192572E-2</v>
      </c>
      <c r="AP44" s="193">
        <f t="shared" si="24"/>
        <v>6.5712294431925611E-2</v>
      </c>
      <c r="AQ44" s="193">
        <f t="shared" si="24"/>
        <v>7.6148975758106169E-2</v>
      </c>
    </row>
    <row r="45" spans="1:43">
      <c r="A45" s="26" t="s">
        <v>943</v>
      </c>
      <c r="B45" s="27">
        <v>27.908000000000001</v>
      </c>
      <c r="C45" s="27">
        <v>67.647000000000006</v>
      </c>
      <c r="D45" s="27">
        <v>82.947000000000003</v>
      </c>
      <c r="E45" s="27">
        <v>-319.601</v>
      </c>
      <c r="F45" s="27">
        <v>-104.703</v>
      </c>
      <c r="G45" s="27">
        <v>-118.896</v>
      </c>
      <c r="H45" s="41">
        <v>87.125119999999995</v>
      </c>
      <c r="I45" s="29">
        <f>I31*-0.02+J58</f>
        <v>-101.86138178933808</v>
      </c>
      <c r="J45" s="29">
        <f>J41-J42</f>
        <v>-14.685486159330139</v>
      </c>
      <c r="K45" s="29">
        <f t="shared" ref="K45:O45" si="25">K41-K42</f>
        <v>128.49168960839233</v>
      </c>
      <c r="L45" s="29">
        <f t="shared" si="25"/>
        <v>269.14215425208204</v>
      </c>
      <c r="M45" s="29">
        <f t="shared" si="25"/>
        <v>427.93203377141072</v>
      </c>
      <c r="N45" s="29">
        <f t="shared" si="25"/>
        <v>598.76917311394755</v>
      </c>
      <c r="O45" s="29">
        <f t="shared" si="25"/>
        <v>776.93542932135642</v>
      </c>
      <c r="U45" s="3" t="s">
        <v>22</v>
      </c>
      <c r="V45" s="120">
        <v>0.10028440000000001</v>
      </c>
      <c r="W45" s="58">
        <v>55.325399259471084</v>
      </c>
      <c r="X45" s="58">
        <v>57.841542940362359</v>
      </c>
      <c r="Y45" s="58">
        <v>60.715681237539947</v>
      </c>
      <c r="Z45" s="29">
        <v>64.030068399251405</v>
      </c>
      <c r="AA45" s="58">
        <v>67.894247407893673</v>
      </c>
      <c r="AB45" s="58">
        <v>72.457390140234153</v>
      </c>
      <c r="AC45" s="58">
        <v>77.927999747458401</v>
      </c>
      <c r="AD45" s="124"/>
      <c r="AF45" s="190" t="s">
        <v>267</v>
      </c>
      <c r="AG45" s="194">
        <f>D64/D31</f>
        <v>-0.21909591627474864</v>
      </c>
      <c r="AH45" s="194">
        <f>E64/E31</f>
        <v>-0.13771134713027922</v>
      </c>
      <c r="AI45" s="194">
        <f>F64/F31</f>
        <v>-6.8948468121551795E-2</v>
      </c>
      <c r="AJ45" s="194">
        <f>G64/G31</f>
        <v>-4.9218032160733102E-2</v>
      </c>
      <c r="AK45" s="194">
        <f t="shared" ref="AK45:AQ45" si="26">I64/I31</f>
        <v>-4.0265649217766097E-2</v>
      </c>
      <c r="AL45" s="194">
        <f t="shared" si="26"/>
        <v>-4.1420851119037374E-3</v>
      </c>
      <c r="AM45" s="194">
        <f t="shared" si="26"/>
        <v>1.4102727580298497E-2</v>
      </c>
      <c r="AN45" s="194">
        <f t="shared" si="26"/>
        <v>2.5422977612479868E-2</v>
      </c>
      <c r="AO45" s="194">
        <f t="shared" si="26"/>
        <v>3.6295095619949938E-2</v>
      </c>
      <c r="AP45" s="194">
        <f t="shared" si="26"/>
        <v>4.64771317565787E-2</v>
      </c>
      <c r="AQ45" s="194">
        <f t="shared" si="26"/>
        <v>5.6820547537262581E-2</v>
      </c>
    </row>
    <row r="46" spans="1:43">
      <c r="A46" s="35" t="s">
        <v>944</v>
      </c>
      <c r="B46" s="36">
        <v>11.446</v>
      </c>
      <c r="C46" s="36">
        <v>37.948</v>
      </c>
      <c r="D46" s="36">
        <v>-516.21100000000001</v>
      </c>
      <c r="E46" s="36">
        <v>25.693000000000001</v>
      </c>
      <c r="F46" s="36">
        <v>82.863</v>
      </c>
      <c r="G46" s="36">
        <v>76.313000000000002</v>
      </c>
      <c r="H46" s="41">
        <v>23.400258999999998</v>
      </c>
      <c r="I46" s="58">
        <f>I47+I48</f>
        <v>14.387999999999998</v>
      </c>
      <c r="J46" s="58">
        <f t="shared" ref="J46:O46" si="27">J47+J48</f>
        <v>165.63251250462832</v>
      </c>
      <c r="K46" s="58">
        <f t="shared" si="27"/>
        <v>188.15468835554944</v>
      </c>
      <c r="L46" s="58">
        <f t="shared" si="27"/>
        <v>219.50301635455546</v>
      </c>
      <c r="M46" s="58">
        <f t="shared" si="27"/>
        <v>255.43162824402216</v>
      </c>
      <c r="N46" s="58">
        <f t="shared" si="27"/>
        <v>288.56782948123259</v>
      </c>
      <c r="O46" s="58">
        <f t="shared" si="27"/>
        <v>319.65014624487219</v>
      </c>
      <c r="V46" s="124">
        <f>V45+0.005</f>
        <v>0.10528440000000001</v>
      </c>
      <c r="W46" s="58">
        <v>52.112906907772796</v>
      </c>
      <c r="X46" s="58">
        <v>54.284234782811602</v>
      </c>
      <c r="Y46" s="58">
        <v>56.743979365035258</v>
      </c>
      <c r="Z46" s="58">
        <v>59.553694151489665</v>
      </c>
      <c r="AA46" s="58">
        <v>62.793789670010938</v>
      </c>
      <c r="AB46" s="58">
        <v>66.571353508449334</v>
      </c>
      <c r="AC46" s="58">
        <v>71.03221387148389</v>
      </c>
      <c r="AD46" s="58"/>
      <c r="AF46" s="191" t="s">
        <v>268</v>
      </c>
      <c r="AG46" s="195">
        <f>D31/((D126+C126)/2)</f>
        <v>0.89375135319906629</v>
      </c>
      <c r="AH46" s="195">
        <f>E31/((E126+D126)/2)</f>
        <v>0.95099083096783799</v>
      </c>
      <c r="AI46" s="195">
        <f>F31/((F126+E126)/2)</f>
        <v>0.93543173280314262</v>
      </c>
      <c r="AJ46" s="195">
        <f>G31/((G126+F126)/2)</f>
        <v>0.92682713140265383</v>
      </c>
      <c r="AK46" s="195">
        <f>I31/((I126+G126)/2)</f>
        <v>0.90287708355527796</v>
      </c>
      <c r="AL46" s="195">
        <f t="shared" ref="AL46:AQ46" si="28">J31/((J126+I126)/2)</f>
        <v>0.85551032847624042</v>
      </c>
      <c r="AM46" s="195">
        <f t="shared" si="28"/>
        <v>0.91804100933995036</v>
      </c>
      <c r="AN46" s="195">
        <f t="shared" si="28"/>
        <v>0.96997421283804763</v>
      </c>
      <c r="AO46" s="195">
        <f t="shared" si="28"/>
        <v>1.0029394833505549</v>
      </c>
      <c r="AP46" s="195">
        <f t="shared" si="28"/>
        <v>1.0301366089053807</v>
      </c>
      <c r="AQ46" s="195">
        <f t="shared" si="28"/>
        <v>1.0371093798271749</v>
      </c>
    </row>
    <row r="47" spans="1:43">
      <c r="A47" s="42" t="s">
        <v>945</v>
      </c>
      <c r="B47" s="43">
        <v>27.800999999999998</v>
      </c>
      <c r="C47" s="43">
        <v>7.1740000000000004</v>
      </c>
      <c r="D47" s="43">
        <v>2.2839999999999998</v>
      </c>
      <c r="E47" s="43">
        <v>49.731999999999999</v>
      </c>
      <c r="F47" s="43">
        <v>96.662999999999997</v>
      </c>
      <c r="G47" s="43">
        <v>112.324</v>
      </c>
      <c r="H47" s="47">
        <v>60.716358999999997</v>
      </c>
      <c r="I47" s="58">
        <f t="shared" ref="I47:O47" si="29">H94*$AA$20</f>
        <v>51.687999999999995</v>
      </c>
      <c r="J47" s="58">
        <f t="shared" si="29"/>
        <v>165.63251250462832</v>
      </c>
      <c r="K47" s="58">
        <f t="shared" si="29"/>
        <v>188.15468835554944</v>
      </c>
      <c r="L47" s="58">
        <f t="shared" si="29"/>
        <v>219.50301635455546</v>
      </c>
      <c r="M47" s="58">
        <f t="shared" si="29"/>
        <v>255.43162824402216</v>
      </c>
      <c r="N47" s="58">
        <f t="shared" si="29"/>
        <v>288.56782948123259</v>
      </c>
      <c r="O47" s="58">
        <f t="shared" si="29"/>
        <v>319.65014624487219</v>
      </c>
      <c r="V47" s="124">
        <f t="shared" ref="V47:V48" si="30">V46+0.005</f>
        <v>0.11028440000000002</v>
      </c>
      <c r="W47" s="58">
        <v>49.259297211191232</v>
      </c>
      <c r="X47" s="58">
        <v>51.147040220380873</v>
      </c>
      <c r="Y47" s="58">
        <v>53.269915211523369</v>
      </c>
      <c r="Z47" s="58">
        <v>55.674770930564655</v>
      </c>
      <c r="AA47" s="58">
        <v>58.421787316701561</v>
      </c>
      <c r="AB47" s="58">
        <v>61.589580547863726</v>
      </c>
      <c r="AC47" s="58">
        <v>65.28284856705767</v>
      </c>
      <c r="AD47" s="58"/>
      <c r="AF47" s="196" t="s">
        <v>270</v>
      </c>
      <c r="AG47" s="197">
        <f>D64/((D126+C126)/2)</f>
        <v>-0.19581727165094592</v>
      </c>
      <c r="AH47" s="197">
        <f>E64/((E126+D126)/2)</f>
        <v>-0.13096222844112462</v>
      </c>
      <c r="AI47" s="197">
        <f>F64/((F126+E126)/2)</f>
        <v>-6.4496585009065438E-2</v>
      </c>
      <c r="AJ47" s="197">
        <f>G64/((G126+F126)/2)</f>
        <v>-4.5616607560815828E-2</v>
      </c>
      <c r="AK47" s="197">
        <f>I64/((I126+G126)/2)</f>
        <v>-3.6354931933196513E-2</v>
      </c>
      <c r="AL47" s="198">
        <f t="shared" ref="AL47:AQ47" si="31">J64/((J126+I126)/2)</f>
        <v>-3.5435965946613115E-3</v>
      </c>
      <c r="AM47" s="197">
        <f t="shared" si="31"/>
        <v>1.2946882262263587E-2</v>
      </c>
      <c r="AN47" s="197">
        <f t="shared" si="31"/>
        <v>2.4659632697664469E-2</v>
      </c>
      <c r="AO47" s="197">
        <f t="shared" si="31"/>
        <v>3.6401784449231582E-2</v>
      </c>
      <c r="AP47" s="197">
        <f t="shared" si="31"/>
        <v>4.7877794899370565E-2</v>
      </c>
      <c r="AQ47" s="197">
        <f t="shared" si="31"/>
        <v>5.8929122817810903E-2</v>
      </c>
    </row>
    <row r="48" spans="1:43">
      <c r="A48" s="57" t="s">
        <v>505</v>
      </c>
      <c r="B48" s="61">
        <v>-16.355</v>
      </c>
      <c r="C48" s="52">
        <v>30.774000000000001</v>
      </c>
      <c r="D48" s="61">
        <v>-518.495</v>
      </c>
      <c r="E48" s="61">
        <v>-24.039000000000001</v>
      </c>
      <c r="F48" s="61">
        <v>-13.8</v>
      </c>
      <c r="G48" s="61">
        <v>-36.011000000000003</v>
      </c>
      <c r="H48" s="34">
        <v>-37.316099999999999</v>
      </c>
      <c r="I48" s="61">
        <v>-37.299999999999997</v>
      </c>
      <c r="J48" s="126">
        <v>0</v>
      </c>
      <c r="K48" s="126">
        <v>0</v>
      </c>
      <c r="L48" s="126">
        <v>0</v>
      </c>
      <c r="M48" s="126">
        <v>0</v>
      </c>
      <c r="N48" s="126">
        <v>0</v>
      </c>
      <c r="O48" s="126">
        <v>0</v>
      </c>
      <c r="P48" t="s">
        <v>946</v>
      </c>
      <c r="V48" s="124">
        <f t="shared" si="30"/>
        <v>0.11528440000000002</v>
      </c>
      <c r="W48" s="58">
        <v>46.708013174712562</v>
      </c>
      <c r="X48" s="58">
        <v>48.360103229120945</v>
      </c>
      <c r="Y48" s="58">
        <v>50.205908670447499</v>
      </c>
      <c r="Z48" s="58">
        <v>52.281622467734437</v>
      </c>
      <c r="AA48" s="58">
        <v>54.633052588361529</v>
      </c>
      <c r="AB48" s="58">
        <v>57.319042030918823</v>
      </c>
      <c r="AC48" s="58">
        <v>60.416460458433818</v>
      </c>
      <c r="AD48" s="58"/>
      <c r="AF48" s="201" t="s">
        <v>271</v>
      </c>
      <c r="AG48" s="195">
        <f>((D126+C126)/2)/((D154+C154)/2)</f>
        <v>10.079246520088832</v>
      </c>
      <c r="AH48" s="195">
        <f>((E126+D126)/2)/((E154+D154)/2)</f>
        <v>7.5695274346159636</v>
      </c>
      <c r="AI48" s="195">
        <f>((F126+E126)/2)/((F154+E154)/2)</f>
        <v>5.5222429560960054</v>
      </c>
      <c r="AJ48" s="195">
        <f>((G126+F126)/2)/((G154+F154)/2)</f>
        <v>4.7315868581314726</v>
      </c>
      <c r="AK48" s="195">
        <f>((I126+G126)/2)/((I154+G154)/2)</f>
        <v>5.9195488786139219</v>
      </c>
      <c r="AL48" s="195">
        <f t="shared" ref="AL48:AQ48" si="32">((J126+I126)/2)/((J154+I154)/2)</f>
        <v>8.1127609348871559</v>
      </c>
      <c r="AM48" s="195">
        <f t="shared" si="32"/>
        <v>8.4584261193847219</v>
      </c>
      <c r="AN48" s="195">
        <f t="shared" si="32"/>
        <v>7.9649185451744016</v>
      </c>
      <c r="AO48" s="195">
        <f t="shared" si="32"/>
        <v>6.9253822176693909</v>
      </c>
      <c r="AP48" s="195">
        <f t="shared" si="32"/>
        <v>5.723905081233494</v>
      </c>
      <c r="AQ48" s="195">
        <f t="shared" si="32"/>
        <v>4.6360144446402947</v>
      </c>
    </row>
    <row r="49" spans="1:43">
      <c r="A49" s="64" t="s">
        <v>758</v>
      </c>
      <c r="B49" s="27">
        <v>49.61</v>
      </c>
      <c r="C49" s="27">
        <v>122.71299999999999</v>
      </c>
      <c r="D49" s="27">
        <v>44.619</v>
      </c>
      <c r="E49" s="27">
        <v>10.242000000000001</v>
      </c>
      <c r="F49" s="27">
        <v>64.022999999999996</v>
      </c>
      <c r="G49" s="27">
        <v>56.893999999999998</v>
      </c>
      <c r="H49" s="41">
        <v>42.642237000000002</v>
      </c>
      <c r="I49" s="140">
        <f>$B$85*H138</f>
        <v>148.66296831780207</v>
      </c>
      <c r="J49" s="140">
        <f t="shared" ref="J49:O49" si="33">$B$85*I138</f>
        <v>153.94638682545084</v>
      </c>
      <c r="K49" s="140">
        <f t="shared" si="33"/>
        <v>157.69170297451802</v>
      </c>
      <c r="L49" s="140">
        <f t="shared" si="33"/>
        <v>155.19512371944094</v>
      </c>
      <c r="M49" s="140">
        <f t="shared" si="33"/>
        <v>145.55777266041193</v>
      </c>
      <c r="N49" s="140">
        <f t="shared" si="33"/>
        <v>124.47862127405364</v>
      </c>
      <c r="O49" s="140">
        <f t="shared" si="33"/>
        <v>95.090646003213848</v>
      </c>
      <c r="V49" s="124">
        <f>V48+0.005</f>
        <v>0.12028440000000003</v>
      </c>
      <c r="W49" s="58">
        <v>44.413778609150349</v>
      </c>
      <c r="X49" s="58">
        <v>45.868231797705825</v>
      </c>
      <c r="Y49" s="58">
        <v>47.483781830074349</v>
      </c>
      <c r="Z49" s="58">
        <v>49.288762758640608</v>
      </c>
      <c r="AA49" s="58">
        <v>51.318567056200862</v>
      </c>
      <c r="AB49" s="58">
        <v>53.61798953462732</v>
      </c>
      <c r="AC49" s="58">
        <v>56.244571735328748</v>
      </c>
      <c r="AD49" s="58"/>
      <c r="AF49" s="190" t="s">
        <v>272</v>
      </c>
      <c r="AG49" s="200">
        <f>D64/((D154+C154)/2)</f>
        <v>-1.9736905538610863</v>
      </c>
      <c r="AH49" s="200">
        <f>E64/((E154+D154)/2)</f>
        <v>-0.99132218108353587</v>
      </c>
      <c r="AI49" s="200">
        <f>F64/((F154+E154)/2)</f>
        <v>-0.35616581225855881</v>
      </c>
      <c r="AJ49" s="200">
        <f>G64/((G154+F154)/2)</f>
        <v>-0.21583894084729693</v>
      </c>
      <c r="AK49" s="200">
        <f>I64/((I154+G154)/2)</f>
        <v>-0.21520479655723887</v>
      </c>
      <c r="AL49" s="200">
        <f t="shared" ref="AL49:AQ49" si="34">J64/((J154+I154)/2)</f>
        <v>-2.8748352022167446E-2</v>
      </c>
      <c r="AM49" s="200">
        <f t="shared" si="34"/>
        <v>0.10951024709172907</v>
      </c>
      <c r="AN49" s="200">
        <f>L64/((L154+K154)/2)</f>
        <v>0.19641196579081677</v>
      </c>
      <c r="AO49" s="200">
        <f t="shared" si="34"/>
        <v>0.25209627071614255</v>
      </c>
      <c r="AP49" s="200">
        <f t="shared" si="34"/>
        <v>0.27404795350276218</v>
      </c>
      <c r="AQ49" s="200">
        <f t="shared" si="34"/>
        <v>0.27319626459335333</v>
      </c>
    </row>
    <row r="50" spans="1:43">
      <c r="A50" s="57" t="s">
        <v>507</v>
      </c>
      <c r="B50" s="52">
        <v>49.61</v>
      </c>
      <c r="C50" s="52">
        <v>122.71299999999999</v>
      </c>
      <c r="D50" s="52">
        <v>44.619</v>
      </c>
      <c r="E50" s="52">
        <v>10.242000000000001</v>
      </c>
      <c r="F50" s="52">
        <v>64.022999999999996</v>
      </c>
      <c r="G50" s="52">
        <v>56.893999999999998</v>
      </c>
      <c r="H50" s="47">
        <v>42.642237000000002</v>
      </c>
      <c r="I50" s="58">
        <f t="shared" ref="I50:O50" si="35">I49</f>
        <v>148.66296831780207</v>
      </c>
      <c r="J50" s="58">
        <f t="shared" si="35"/>
        <v>153.94638682545084</v>
      </c>
      <c r="K50" s="58">
        <f t="shared" si="35"/>
        <v>157.69170297451802</v>
      </c>
      <c r="L50" s="58">
        <f t="shared" si="35"/>
        <v>155.19512371944094</v>
      </c>
      <c r="M50" s="58">
        <f t="shared" si="35"/>
        <v>145.55777266041193</v>
      </c>
      <c r="N50" s="58">
        <f t="shared" si="35"/>
        <v>124.47862127405364</v>
      </c>
      <c r="O50" s="58">
        <f t="shared" si="35"/>
        <v>95.090646003213848</v>
      </c>
      <c r="AD50" s="58"/>
      <c r="AF50" s="190" t="s">
        <v>122</v>
      </c>
      <c r="AG50" s="200">
        <f>(D31/C31-1)+(D238/D31)</f>
        <v>0.60939526602830441</v>
      </c>
      <c r="AH50" s="200">
        <f>(E31/D31-1)+(E238/E31)</f>
        <v>0.49941909939913848</v>
      </c>
      <c r="AI50" s="200">
        <f>(F31/E31-1)+(F238/F31)</f>
        <v>0.55776451458673892</v>
      </c>
      <c r="AJ50" s="200">
        <f>(G31/F31-1)+(G238/G31)</f>
        <v>0.46797502830874338</v>
      </c>
      <c r="AK50" s="200">
        <f>(I31/G31-1)+(I238/I31)</f>
        <v>0.50443403291663325</v>
      </c>
      <c r="AL50" s="200">
        <f t="shared" ref="AL50:AQ50" si="36">(J31/I31-1)+(J238/J31)</f>
        <v>0.39953444912496922</v>
      </c>
      <c r="AM50" s="200">
        <f t="shared" si="36"/>
        <v>0.44709911238360561</v>
      </c>
      <c r="AN50" s="200">
        <f t="shared" si="36"/>
        <v>0.44468113606974441</v>
      </c>
      <c r="AO50" s="200">
        <f t="shared" si="36"/>
        <v>0.40189066707665116</v>
      </c>
      <c r="AP50" s="200">
        <f t="shared" si="36"/>
        <v>0.37344732965316385</v>
      </c>
      <c r="AQ50" s="200">
        <f t="shared" si="36"/>
        <v>0.32465008690760866</v>
      </c>
    </row>
    <row r="51" spans="1:43">
      <c r="A51" s="67" t="s">
        <v>947</v>
      </c>
      <c r="B51" s="27">
        <v>335.95299999999997</v>
      </c>
      <c r="C51" s="27">
        <v>617.54600000000005</v>
      </c>
      <c r="D51" s="27">
        <v>-6.9450000000000003</v>
      </c>
      <c r="E51" s="27">
        <v>6.9859999999999998</v>
      </c>
      <c r="F51" s="27">
        <v>-0.45600000000000002</v>
      </c>
      <c r="G51" s="27">
        <v>-0.58199999999999996</v>
      </c>
      <c r="H51" s="41">
        <v>243.48802599999999</v>
      </c>
      <c r="I51" s="142">
        <v>0</v>
      </c>
      <c r="J51" s="141">
        <v>0</v>
      </c>
      <c r="K51">
        <v>0</v>
      </c>
      <c r="L51">
        <v>0</v>
      </c>
      <c r="M51">
        <v>0</v>
      </c>
      <c r="N51">
        <v>0</v>
      </c>
      <c r="O51">
        <v>0</v>
      </c>
      <c r="AD51" s="58"/>
      <c r="AF51" s="89" t="s">
        <v>276</v>
      </c>
      <c r="AG51" s="55"/>
      <c r="AH51" s="55"/>
      <c r="AI51" s="55"/>
      <c r="AJ51" s="55"/>
      <c r="AK51" s="55"/>
      <c r="AL51" s="55"/>
      <c r="AM51" s="55"/>
      <c r="AN51" s="55"/>
      <c r="AO51" s="55"/>
      <c r="AP51" s="55"/>
      <c r="AQ51" s="55"/>
    </row>
    <row r="52" spans="1:43">
      <c r="A52" s="51" t="s">
        <v>948</v>
      </c>
      <c r="B52" s="52">
        <v>0</v>
      </c>
      <c r="C52" s="52">
        <v>0</v>
      </c>
      <c r="D52" s="52">
        <v>0</v>
      </c>
      <c r="E52" s="52">
        <v>0</v>
      </c>
      <c r="F52" s="52">
        <v>0</v>
      </c>
      <c r="G52" s="52">
        <v>0</v>
      </c>
      <c r="H52" s="41">
        <v>80.651216000000005</v>
      </c>
      <c r="I52" s="144">
        <f>H52</f>
        <v>80.651216000000005</v>
      </c>
      <c r="J52">
        <f>0</f>
        <v>0</v>
      </c>
      <c r="K52">
        <f>0</f>
        <v>0</v>
      </c>
      <c r="L52">
        <f>0</f>
        <v>0</v>
      </c>
      <c r="M52">
        <f>0</f>
        <v>0</v>
      </c>
      <c r="N52">
        <f>0</f>
        <v>0</v>
      </c>
      <c r="O52">
        <f>0</f>
        <v>0</v>
      </c>
      <c r="AD52" s="58"/>
      <c r="AF52" s="190" t="s">
        <v>278</v>
      </c>
      <c r="AG52" s="199">
        <f>D105/D135</f>
        <v>1.1900165364328479</v>
      </c>
      <c r="AH52" s="199">
        <f>E105/E135</f>
        <v>1.349564754215596</v>
      </c>
      <c r="AI52" s="199">
        <f>F105/F135</f>
        <v>1.167412607667216</v>
      </c>
      <c r="AJ52" s="199">
        <f>G105/G135</f>
        <v>1.2075367062796558</v>
      </c>
      <c r="AK52" s="199">
        <f t="shared" ref="AK52:AQ52" si="37">I105/I135</f>
        <v>1.2112262810376231</v>
      </c>
      <c r="AL52" s="199">
        <f t="shared" si="37"/>
        <v>1.2130795908817069</v>
      </c>
      <c r="AM52" s="199">
        <f t="shared" si="37"/>
        <v>1.2150322196152861</v>
      </c>
      <c r="AN52" s="199">
        <f t="shared" si="37"/>
        <v>1.2166856091325922</v>
      </c>
      <c r="AO52" s="199">
        <f t="shared" si="37"/>
        <v>1.2178482227685037</v>
      </c>
      <c r="AP52" s="199">
        <f t="shared" si="37"/>
        <v>1.2187211374783271</v>
      </c>
      <c r="AQ52" s="199">
        <f t="shared" si="37"/>
        <v>1.2192790383191414</v>
      </c>
    </row>
    <row r="53" spans="1:43">
      <c r="A53" s="42" t="s">
        <v>949</v>
      </c>
      <c r="B53" s="43">
        <v>0</v>
      </c>
      <c r="C53" s="43">
        <v>1.1000000000000001</v>
      </c>
      <c r="D53" s="43">
        <v>0</v>
      </c>
      <c r="E53" s="43">
        <v>0</v>
      </c>
      <c r="F53" s="43">
        <v>0</v>
      </c>
      <c r="G53" s="43">
        <v>0</v>
      </c>
      <c r="H53" s="47">
        <v>80.651216000000005</v>
      </c>
      <c r="I53" s="145">
        <f>H53</f>
        <v>80.651216000000005</v>
      </c>
      <c r="J53">
        <f>0</f>
        <v>0</v>
      </c>
      <c r="K53">
        <f>0</f>
        <v>0</v>
      </c>
      <c r="L53">
        <f>0</f>
        <v>0</v>
      </c>
      <c r="M53">
        <f>0</f>
        <v>0</v>
      </c>
      <c r="N53">
        <f>0</f>
        <v>0</v>
      </c>
      <c r="O53">
        <f>0</f>
        <v>0</v>
      </c>
      <c r="AF53" s="190" t="s">
        <v>280</v>
      </c>
      <c r="AG53" s="199">
        <f>(D94+D98)/D135</f>
        <v>1.1082960698996773</v>
      </c>
      <c r="AH53" s="199">
        <f>(E94+E98)/E135</f>
        <v>1.2774910114964071</v>
      </c>
      <c r="AI53" s="199">
        <f>(F94+F98)/F135</f>
        <v>1.1367083428156339</v>
      </c>
      <c r="AJ53" s="199">
        <f>(G94+G98)/G135</f>
        <v>1.1680630923910806</v>
      </c>
      <c r="AK53" s="199">
        <f t="shared" ref="AK53:AQ53" si="38">(I94+I98)/I135</f>
        <v>1.1716320572755328</v>
      </c>
      <c r="AL53" s="199">
        <f t="shared" si="38"/>
        <v>1.1734247835888461</v>
      </c>
      <c r="AM53" s="199">
        <f t="shared" si="38"/>
        <v>1.1753135821197522</v>
      </c>
      <c r="AN53" s="199">
        <f t="shared" si="38"/>
        <v>1.1769129233757722</v>
      </c>
      <c r="AO53" s="199">
        <f t="shared" si="38"/>
        <v>1.1780375319046534</v>
      </c>
      <c r="AP53" s="199">
        <f t="shared" si="38"/>
        <v>1.1788819115827596</v>
      </c>
      <c r="AQ53" s="199">
        <f t="shared" si="38"/>
        <v>1.1794215749966996</v>
      </c>
    </row>
    <row r="54" spans="1:43">
      <c r="A54" s="48" t="s">
        <v>841</v>
      </c>
      <c r="B54" s="36">
        <v>-335.95299999999997</v>
      </c>
      <c r="C54" s="36">
        <v>-616.44600000000003</v>
      </c>
      <c r="D54" s="36">
        <v>6.9450000000000003</v>
      </c>
      <c r="E54" s="36">
        <v>-6.9859999999999998</v>
      </c>
      <c r="F54" s="36">
        <v>0.45600000000000002</v>
      </c>
      <c r="G54" s="36">
        <v>0.58199999999999996</v>
      </c>
      <c r="H54" s="47">
        <v>200.02437499999999</v>
      </c>
      <c r="I54" s="142">
        <v>200</v>
      </c>
      <c r="J54">
        <f>0</f>
        <v>0</v>
      </c>
      <c r="K54">
        <f>0</f>
        <v>0</v>
      </c>
      <c r="L54">
        <f>0</f>
        <v>0</v>
      </c>
      <c r="M54">
        <f>0</f>
        <v>0</v>
      </c>
      <c r="N54">
        <f>0</f>
        <v>0</v>
      </c>
      <c r="O54">
        <f>0</f>
        <v>0</v>
      </c>
      <c r="AF54" s="89" t="s">
        <v>282</v>
      </c>
      <c r="AG54" s="55"/>
      <c r="AH54" s="55"/>
      <c r="AI54" s="55"/>
      <c r="AJ54" s="55"/>
      <c r="AK54" s="55"/>
      <c r="AL54" s="55"/>
      <c r="AM54" s="55"/>
      <c r="AN54" s="55"/>
      <c r="AO54" s="55"/>
      <c r="AP54" s="55"/>
      <c r="AQ54" s="55"/>
    </row>
    <row r="55" spans="1:43">
      <c r="A55" s="49" t="s">
        <v>950</v>
      </c>
      <c r="B55" s="68"/>
      <c r="C55" s="68"/>
      <c r="D55" s="43">
        <v>6.9450000000000003</v>
      </c>
      <c r="E55" s="69">
        <v>-6.9859999999999998</v>
      </c>
      <c r="F55" s="43">
        <v>0.45600000000000002</v>
      </c>
      <c r="G55" s="43">
        <v>0.58199999999999996</v>
      </c>
      <c r="H55" s="41">
        <v>37.187564999999999</v>
      </c>
      <c r="I55" s="52">
        <v>37.200000000000003</v>
      </c>
      <c r="J55">
        <v>0</v>
      </c>
      <c r="K55">
        <v>0</v>
      </c>
      <c r="L55">
        <v>0</v>
      </c>
      <c r="M55">
        <v>0</v>
      </c>
      <c r="N55">
        <v>0</v>
      </c>
      <c r="O55">
        <v>0</v>
      </c>
      <c r="AF55" s="190" t="s">
        <v>283</v>
      </c>
      <c r="AG55" s="199">
        <f>D45/D49</f>
        <v>1.8590062529415721</v>
      </c>
      <c r="AH55" s="199">
        <f>E45/E49</f>
        <v>-31.204940441320051</v>
      </c>
      <c r="AI55" s="199">
        <f>F45/F49</f>
        <v>-1.6353966543273513</v>
      </c>
      <c r="AJ55" s="199">
        <f>G45/G49</f>
        <v>-2.0897809962386193</v>
      </c>
      <c r="AK55" s="199">
        <f t="shared" ref="AK55:AQ55" si="39">I45/I49</f>
        <v>-0.68518329037790648</v>
      </c>
      <c r="AL55" s="199">
        <f t="shared" si="39"/>
        <v>-9.5393509793646511E-2</v>
      </c>
      <c r="AM55" s="199">
        <f t="shared" si="39"/>
        <v>0.81482847343690479</v>
      </c>
      <c r="AN55" s="199">
        <f t="shared" si="39"/>
        <v>1.7342178529953851</v>
      </c>
      <c r="AO55" s="199">
        <f t="shared" si="39"/>
        <v>2.939946290396882</v>
      </c>
      <c r="AP55" s="199">
        <f t="shared" si="39"/>
        <v>4.8102169431623931</v>
      </c>
      <c r="AQ55" s="199">
        <f t="shared" si="39"/>
        <v>8.1704716707371805</v>
      </c>
    </row>
    <row r="56" spans="1:43">
      <c r="A56" s="51" t="s">
        <v>951</v>
      </c>
      <c r="B56" s="245"/>
      <c r="C56" s="245"/>
      <c r="D56" s="245"/>
      <c r="E56" s="245"/>
      <c r="F56" s="245"/>
      <c r="G56" s="245"/>
      <c r="H56" s="46"/>
      <c r="I56">
        <v>0</v>
      </c>
      <c r="J56">
        <v>0</v>
      </c>
      <c r="K56">
        <v>0</v>
      </c>
      <c r="L56">
        <v>0</v>
      </c>
      <c r="M56">
        <v>0</v>
      </c>
      <c r="N56">
        <v>0</v>
      </c>
      <c r="O56">
        <v>0</v>
      </c>
      <c r="AF56" s="190" t="s">
        <v>284</v>
      </c>
      <c r="AG56" s="199">
        <f>D163/D76</f>
        <v>9.7596706413435683</v>
      </c>
      <c r="AH56" s="199" t="s">
        <v>952</v>
      </c>
      <c r="AI56" s="199" t="s">
        <v>952</v>
      </c>
      <c r="AJ56" s="199" t="s">
        <v>952</v>
      </c>
      <c r="AK56" s="199" t="s">
        <v>952</v>
      </c>
      <c r="AL56" s="199">
        <f t="shared" ref="AL56:AQ56" si="40">(J129+J137)/J76</f>
        <v>25.909263622743577</v>
      </c>
      <c r="AM56" s="199">
        <f t="shared" si="40"/>
        <v>10.51272265813977</v>
      </c>
      <c r="AN56" s="199">
        <f t="shared" si="40"/>
        <v>6.2340721867009474</v>
      </c>
      <c r="AO56" s="199">
        <f t="shared" si="40"/>
        <v>3.8454216921059929</v>
      </c>
      <c r="AP56" s="199">
        <f t="shared" si="40"/>
        <v>2.3208298592736223</v>
      </c>
      <c r="AQ56" s="199">
        <f t="shared" si="40"/>
        <v>1.255143941286142</v>
      </c>
    </row>
    <row r="57" spans="1:43">
      <c r="A57" s="26" t="s">
        <v>509</v>
      </c>
      <c r="B57" s="27">
        <v>-346.209</v>
      </c>
      <c r="C57" s="27">
        <v>-634.66399999999999</v>
      </c>
      <c r="D57" s="27">
        <v>-470.93799999999999</v>
      </c>
      <c r="E57" s="27">
        <v>-311.13600000000002</v>
      </c>
      <c r="F57" s="27">
        <v>-85.406999999999996</v>
      </c>
      <c r="G57" s="27">
        <v>-98.894999999999996</v>
      </c>
      <c r="H57" s="28">
        <v>-175.6</v>
      </c>
      <c r="I57" s="58">
        <f>I45+I46-I49-I51</f>
        <v>-236.13635010714015</v>
      </c>
      <c r="J57" s="58">
        <f t="shared" ref="J57:O57" si="41">J45+J46-J49-J51</f>
        <v>-2.9993604801526601</v>
      </c>
      <c r="K57" s="58">
        <f t="shared" si="41"/>
        <v>158.95467498942372</v>
      </c>
      <c r="L57" s="58">
        <f t="shared" si="41"/>
        <v>333.45004688719655</v>
      </c>
      <c r="M57" s="58">
        <f t="shared" si="41"/>
        <v>537.80588935502089</v>
      </c>
      <c r="N57" s="58">
        <f t="shared" si="41"/>
        <v>762.85838132112644</v>
      </c>
      <c r="O57" s="58">
        <f t="shared" si="41"/>
        <v>1001.4949295630149</v>
      </c>
    </row>
    <row r="58" spans="1:43">
      <c r="A58" s="35" t="s">
        <v>510</v>
      </c>
      <c r="B58" s="36">
        <v>4.4450000000000003</v>
      </c>
      <c r="C58" s="36">
        <v>61.651000000000003</v>
      </c>
      <c r="D58" s="36">
        <v>48.572000000000003</v>
      </c>
      <c r="E58" s="36">
        <v>175.625</v>
      </c>
      <c r="F58" s="36">
        <v>215.11199999999999</v>
      </c>
      <c r="G58" s="36">
        <v>157.792</v>
      </c>
      <c r="H58" s="28">
        <v>18.100000000000001</v>
      </c>
      <c r="I58" s="136">
        <f>(H58/0.75)</f>
        <v>24.133333333333336</v>
      </c>
      <c r="J58" s="58">
        <f>I58*(1+J26)</f>
        <v>27.414906310661934</v>
      </c>
      <c r="K58" s="58">
        <f>K57*$AA$23</f>
        <v>38.149121997461691</v>
      </c>
      <c r="L58" s="58">
        <f>L57*$AA$23</f>
        <v>80.028011252927172</v>
      </c>
      <c r="M58" s="58">
        <f>M57*$AA$23</f>
        <v>129.07341344520501</v>
      </c>
      <c r="N58" s="58">
        <f>N57*$AA$23</f>
        <v>183.08601151707035</v>
      </c>
      <c r="O58" s="58">
        <f>O57*$AA$23</f>
        <v>240.35878309512358</v>
      </c>
    </row>
    <row r="59" spans="1:43">
      <c r="A59" s="42" t="s">
        <v>953</v>
      </c>
      <c r="B59" s="43">
        <v>24.439</v>
      </c>
      <c r="C59" s="43">
        <v>73.424000000000007</v>
      </c>
      <c r="D59" s="43">
        <v>0.85</v>
      </c>
      <c r="E59" s="43">
        <v>5.3719999999999999</v>
      </c>
      <c r="F59" s="43">
        <v>6.1029999999999998</v>
      </c>
      <c r="G59" s="43">
        <v>3.2850000000000001</v>
      </c>
      <c r="H59" s="24"/>
      <c r="I59" s="1126" t="s">
        <v>676</v>
      </c>
      <c r="J59" s="1126"/>
      <c r="K59" s="1126"/>
      <c r="L59" s="1126"/>
      <c r="M59" s="1126"/>
      <c r="N59" s="1126"/>
      <c r="O59" s="1126"/>
    </row>
    <row r="60" spans="1:43">
      <c r="A60" s="57" t="s">
        <v>954</v>
      </c>
      <c r="B60" s="52">
        <v>0</v>
      </c>
      <c r="C60" s="52">
        <v>0</v>
      </c>
      <c r="D60" s="52">
        <v>51.04</v>
      </c>
      <c r="E60" s="52">
        <v>162.072</v>
      </c>
      <c r="F60" s="52">
        <v>209.00200000000001</v>
      </c>
      <c r="G60" s="52">
        <v>149.90799999999999</v>
      </c>
      <c r="H60" s="24"/>
      <c r="I60" s="1126"/>
      <c r="J60" s="1126"/>
      <c r="K60" s="1126"/>
      <c r="L60" s="1126"/>
      <c r="M60" s="1126"/>
      <c r="N60" s="1126"/>
      <c r="O60" s="1126"/>
    </row>
    <row r="61" spans="1:43">
      <c r="A61" s="42" t="s">
        <v>955</v>
      </c>
      <c r="B61" s="69">
        <v>-19.994</v>
      </c>
      <c r="C61" s="69">
        <v>-11.773</v>
      </c>
      <c r="D61" s="69">
        <v>-1.6850000000000001</v>
      </c>
      <c r="E61" s="43">
        <v>0.40100000000000002</v>
      </c>
      <c r="F61" s="69">
        <v>-10.35</v>
      </c>
      <c r="G61" s="43">
        <v>2.7410000000000001</v>
      </c>
      <c r="H61" s="24"/>
      <c r="I61" s="1126"/>
      <c r="J61" s="1126"/>
      <c r="K61" s="1126"/>
      <c r="L61" s="1126"/>
      <c r="M61" s="1126"/>
      <c r="N61" s="1126"/>
      <c r="O61" s="1126"/>
    </row>
    <row r="62" spans="1:43">
      <c r="A62" s="57" t="s">
        <v>956</v>
      </c>
      <c r="B62" s="52">
        <v>0</v>
      </c>
      <c r="C62" s="52">
        <v>0</v>
      </c>
      <c r="D62" s="61">
        <v>-1.633</v>
      </c>
      <c r="E62" s="52">
        <v>7.78</v>
      </c>
      <c r="F62" s="52">
        <v>10.356999999999999</v>
      </c>
      <c r="G62" s="52">
        <v>1.8580000000000001</v>
      </c>
      <c r="H62" s="24"/>
      <c r="I62" s="1126"/>
      <c r="J62" s="1126"/>
      <c r="K62" s="1126"/>
      <c r="L62" s="1126"/>
      <c r="M62" s="1126"/>
      <c r="N62" s="1126"/>
      <c r="O62" s="1126"/>
    </row>
    <row r="63" spans="1:43">
      <c r="A63" s="68" t="s">
        <v>957</v>
      </c>
      <c r="B63" s="69">
        <v>-350.654</v>
      </c>
      <c r="C63" s="69">
        <v>-696.31500000000005</v>
      </c>
      <c r="D63" s="69">
        <v>-614.1</v>
      </c>
      <c r="E63" s="69">
        <v>-486.76100000000002</v>
      </c>
      <c r="F63" s="69">
        <v>-300.51900000000001</v>
      </c>
      <c r="G63" s="69">
        <v>-256.68700000000001</v>
      </c>
      <c r="H63" s="62">
        <v>-193.7</v>
      </c>
      <c r="I63" s="1126"/>
      <c r="J63" s="1126"/>
      <c r="K63" s="1126"/>
      <c r="L63" s="1126"/>
      <c r="M63" s="1126"/>
      <c r="N63" s="1126"/>
      <c r="O63" s="1126"/>
      <c r="R63" s="58"/>
    </row>
    <row r="64" spans="1:43">
      <c r="A64" s="70" t="s">
        <v>44</v>
      </c>
      <c r="B64" s="36">
        <v>-350.654</v>
      </c>
      <c r="C64" s="36">
        <v>-696.31500000000005</v>
      </c>
      <c r="D64" s="36">
        <f>D63</f>
        <v>-614.1</v>
      </c>
      <c r="E64" s="36">
        <v>-486.76100000000002</v>
      </c>
      <c r="F64" s="36">
        <v>-300.51900000000001</v>
      </c>
      <c r="G64" s="36">
        <v>-256.68700000000001</v>
      </c>
      <c r="H64" s="62">
        <v>-193.7</v>
      </c>
      <c r="I64" s="138">
        <f>I57-I58</f>
        <v>-260.2696834404735</v>
      </c>
      <c r="J64" s="138">
        <f t="shared" ref="J64:O64" si="42">J57-J58</f>
        <v>-30.414266790814594</v>
      </c>
      <c r="K64" s="138">
        <f t="shared" si="42"/>
        <v>120.80555299196203</v>
      </c>
      <c r="L64" s="138">
        <f t="shared" si="42"/>
        <v>253.42203563426938</v>
      </c>
      <c r="M64" s="138">
        <f t="shared" si="42"/>
        <v>408.73247590981589</v>
      </c>
      <c r="N64" s="138">
        <f t="shared" si="42"/>
        <v>579.7723698040561</v>
      </c>
      <c r="O64" s="138">
        <f t="shared" si="42"/>
        <v>761.13614646789131</v>
      </c>
    </row>
    <row r="65" spans="1:22">
      <c r="A65" s="71" t="s">
        <v>958</v>
      </c>
      <c r="B65" s="69">
        <v>-350.654</v>
      </c>
      <c r="C65" s="69">
        <v>-696.31500000000005</v>
      </c>
      <c r="D65" s="69">
        <f>D63</f>
        <v>-614.1</v>
      </c>
      <c r="E65" s="69">
        <v>-486.76100000000002</v>
      </c>
      <c r="F65" s="69">
        <v>-300.51900000000001</v>
      </c>
      <c r="G65" s="69">
        <v>-256.68700000000001</v>
      </c>
      <c r="H65" s="62">
        <v>-193.7</v>
      </c>
      <c r="I65" s="1127" t="s">
        <v>676</v>
      </c>
      <c r="J65" s="1127"/>
      <c r="K65" s="1127"/>
      <c r="L65" s="1127"/>
      <c r="M65" s="1127"/>
      <c r="N65" s="1127"/>
      <c r="O65" s="1127"/>
    </row>
    <row r="66" spans="1:22">
      <c r="A66" s="70" t="s">
        <v>512</v>
      </c>
      <c r="B66" s="70"/>
      <c r="C66" s="70">
        <f>C64/C69</f>
        <v>-2.7888408716792363</v>
      </c>
      <c r="D66" s="70"/>
      <c r="E66" s="70"/>
      <c r="F66" s="70"/>
      <c r="G66" s="70"/>
      <c r="H66" s="72"/>
      <c r="I66" s="1127"/>
      <c r="J66" s="1127"/>
      <c r="K66" s="1127"/>
      <c r="L66" s="1127"/>
      <c r="M66" s="1127"/>
      <c r="N66" s="1127"/>
      <c r="O66" s="1127"/>
    </row>
    <row r="67" spans="1:22">
      <c r="A67" s="71" t="s">
        <v>959</v>
      </c>
      <c r="B67" s="73">
        <v>-0.47167500000000001</v>
      </c>
      <c r="C67" s="73">
        <v>-1.0574889999999999</v>
      </c>
      <c r="D67" s="73">
        <v>-2.0700620000000001</v>
      </c>
      <c r="E67" s="73">
        <v>-1.880053</v>
      </c>
      <c r="F67" s="73">
        <v>-1.160941</v>
      </c>
      <c r="G67" s="73">
        <v>-0.98207500000000003</v>
      </c>
      <c r="H67" s="74">
        <v>-0.09</v>
      </c>
      <c r="I67" s="1127"/>
      <c r="J67" s="1127"/>
      <c r="K67" s="1127"/>
      <c r="L67" s="1127"/>
      <c r="M67" s="1127"/>
      <c r="N67" s="1127"/>
      <c r="O67" s="1127"/>
    </row>
    <row r="68" spans="1:22">
      <c r="A68" s="35" t="s">
        <v>513</v>
      </c>
      <c r="B68" s="75">
        <v>-1.4321999999999999</v>
      </c>
      <c r="C68" s="75">
        <v>-2.7888000000000002</v>
      </c>
      <c r="D68" s="75">
        <v>-2.0508999999999999</v>
      </c>
      <c r="E68" s="75">
        <v>-1.8991</v>
      </c>
      <c r="F68" s="75">
        <v>-1.1597</v>
      </c>
      <c r="G68" s="75">
        <v>-0.98050000000000004</v>
      </c>
      <c r="H68" s="76">
        <v>-0.99</v>
      </c>
      <c r="I68" s="1127"/>
      <c r="J68" s="1127"/>
      <c r="K68" s="1127"/>
      <c r="L68" s="1127"/>
      <c r="M68" s="1127"/>
      <c r="N68" s="1127"/>
      <c r="O68" s="1127"/>
    </row>
    <row r="69" spans="1:22">
      <c r="A69" s="42" t="s">
        <v>514</v>
      </c>
      <c r="B69" s="78">
        <v>244.84399999999999</v>
      </c>
      <c r="C69" s="78">
        <v>249.679</v>
      </c>
      <c r="D69" s="78">
        <v>253.31200000000001</v>
      </c>
      <c r="E69" s="78">
        <v>256.30700000000002</v>
      </c>
      <c r="F69" s="78">
        <v>259.13299999999998</v>
      </c>
      <c r="G69" s="78">
        <v>261.78699999999998</v>
      </c>
      <c r="H69" s="83">
        <v>260.96499999999997</v>
      </c>
      <c r="I69" s="1127"/>
      <c r="J69" s="1127"/>
      <c r="K69" s="1127"/>
      <c r="L69" s="1127"/>
      <c r="M69" s="1127"/>
      <c r="N69" s="1127"/>
      <c r="O69" s="1127"/>
    </row>
    <row r="70" spans="1:22">
      <c r="A70" s="57" t="s">
        <v>517</v>
      </c>
      <c r="B70" s="79">
        <v>247.44728000000001</v>
      </c>
      <c r="C70" s="79">
        <v>251.64716300000001</v>
      </c>
      <c r="D70" s="79">
        <v>254.92739800000001</v>
      </c>
      <c r="E70" s="79">
        <v>257.566776</v>
      </c>
      <c r="F70" s="79">
        <v>260.55651599999999</v>
      </c>
      <c r="G70" s="79">
        <v>262.98018300000001</v>
      </c>
      <c r="H70" s="83">
        <v>255.86401499999999</v>
      </c>
      <c r="I70" s="1127"/>
      <c r="J70" s="1127"/>
      <c r="K70" s="1127"/>
      <c r="L70" s="1127"/>
      <c r="M70" s="1127"/>
      <c r="N70" s="1127"/>
      <c r="O70" s="1127"/>
    </row>
    <row r="71" spans="1:22">
      <c r="A71" s="64" t="s">
        <v>515</v>
      </c>
      <c r="B71" s="80">
        <v>-1.4321999999999999</v>
      </c>
      <c r="C71" s="80">
        <v>-2.7888000000000002</v>
      </c>
      <c r="D71" s="80">
        <v>-2.0508999999999999</v>
      </c>
      <c r="E71" s="80">
        <v>-1.8991</v>
      </c>
      <c r="F71" s="80">
        <v>-1.1597</v>
      </c>
      <c r="G71" s="80">
        <v>-0.98050000000000004</v>
      </c>
      <c r="H71" s="137">
        <v>-0.98980000000000001</v>
      </c>
      <c r="I71" s="58">
        <f t="shared" ref="I71:O71" si="43">I64/$U$28</f>
        <v>-0.94163285649705175</v>
      </c>
      <c r="J71" s="58">
        <f t="shared" si="43"/>
        <v>-0.11003614611552802</v>
      </c>
      <c r="K71" s="58">
        <f t="shared" si="43"/>
        <v>0.43706388097461246</v>
      </c>
      <c r="L71" s="58">
        <f t="shared" si="43"/>
        <v>0.91685866812902206</v>
      </c>
      <c r="M71" s="58">
        <f t="shared" si="43"/>
        <v>1.4787582009031708</v>
      </c>
      <c r="N71" s="58">
        <f t="shared" si="43"/>
        <v>2.0975655154301487</v>
      </c>
      <c r="O71" s="58">
        <f t="shared" si="43"/>
        <v>2.7537237311222937</v>
      </c>
    </row>
    <row r="72" spans="1:22">
      <c r="A72" s="57" t="s">
        <v>516</v>
      </c>
      <c r="B72" s="79">
        <v>244.84399999999999</v>
      </c>
      <c r="C72" s="79">
        <v>249.679</v>
      </c>
      <c r="D72" s="79">
        <v>253.31200000000001</v>
      </c>
      <c r="E72" s="79">
        <v>256.30700000000002</v>
      </c>
      <c r="F72" s="79">
        <v>259.13299999999998</v>
      </c>
      <c r="G72" s="79">
        <v>261.78699999999998</v>
      </c>
      <c r="H72" s="83">
        <v>260.96499999999997</v>
      </c>
      <c r="I72" s="143">
        <f>U28</f>
        <v>276.40250830742798</v>
      </c>
      <c r="J72" s="58">
        <v>276.40250830742843</v>
      </c>
      <c r="K72" s="58">
        <v>276.40250830742843</v>
      </c>
      <c r="L72" s="58">
        <v>276.40250830742843</v>
      </c>
      <c r="M72" s="58">
        <v>276.40250830742843</v>
      </c>
      <c r="N72" s="58">
        <v>276.40250830742843</v>
      </c>
      <c r="O72" s="58">
        <v>276.40250830742843</v>
      </c>
    </row>
    <row r="73" spans="1:22">
      <c r="A73" s="42" t="s">
        <v>517</v>
      </c>
      <c r="B73" s="78">
        <v>244.84399999999999</v>
      </c>
      <c r="C73" s="78">
        <v>249.679</v>
      </c>
      <c r="D73" s="78">
        <v>253.31200000000001</v>
      </c>
      <c r="E73" s="78">
        <v>256.30700000000002</v>
      </c>
      <c r="F73" s="78">
        <v>259.13299999999998</v>
      </c>
      <c r="G73" s="78">
        <v>261.78699999999998</v>
      </c>
      <c r="H73" s="83">
        <v>255.86401499999999</v>
      </c>
      <c r="I73" s="79">
        <v>253.77</v>
      </c>
      <c r="J73" s="79">
        <v>253.77</v>
      </c>
      <c r="K73" s="79">
        <v>253.77</v>
      </c>
      <c r="L73" s="79">
        <v>253.77</v>
      </c>
      <c r="M73" s="79">
        <v>253.77</v>
      </c>
      <c r="N73" s="79">
        <v>253.77</v>
      </c>
      <c r="O73" s="79">
        <v>253.77</v>
      </c>
      <c r="V73" s="179"/>
    </row>
    <row r="74" spans="1:22">
      <c r="A74" s="81" t="s">
        <v>960</v>
      </c>
      <c r="B74" s="79">
        <v>49.640999999999998</v>
      </c>
      <c r="C74" s="79">
        <v>21.481000000000002</v>
      </c>
      <c r="D74" s="79">
        <v>0</v>
      </c>
      <c r="E74" s="79">
        <v>0</v>
      </c>
      <c r="F74" s="79">
        <v>1.6830000000000001</v>
      </c>
      <c r="G74" s="79">
        <v>0</v>
      </c>
      <c r="H74" s="24"/>
      <c r="I74" s="1126" t="s">
        <v>676</v>
      </c>
      <c r="J74" s="1126"/>
      <c r="K74" s="1126"/>
      <c r="L74" s="1126"/>
      <c r="M74" s="1126"/>
      <c r="N74" s="1126"/>
      <c r="O74" s="1126"/>
      <c r="V74" s="179"/>
    </row>
    <row r="75" spans="1:22">
      <c r="A75" s="26" t="s">
        <v>34</v>
      </c>
      <c r="B75" s="26"/>
      <c r="C75" s="26"/>
      <c r="D75" s="26"/>
      <c r="E75" s="26"/>
      <c r="F75" s="26"/>
      <c r="G75" s="26"/>
      <c r="H75" s="41"/>
      <c r="I75" s="1126"/>
      <c r="J75" s="1126"/>
      <c r="K75" s="1126"/>
      <c r="L75" s="1126"/>
      <c r="M75" s="1126"/>
      <c r="N75" s="1126"/>
      <c r="O75" s="1126"/>
      <c r="V75" s="58"/>
    </row>
    <row r="76" spans="1:22">
      <c r="A76" s="35" t="s">
        <v>34</v>
      </c>
      <c r="B76" s="36">
        <v>125.306</v>
      </c>
      <c r="C76" s="36">
        <v>160.495</v>
      </c>
      <c r="D76" s="36">
        <v>134.68600000000001</v>
      </c>
      <c r="E76" s="36">
        <v>-258.678</v>
      </c>
      <c r="F76" s="36">
        <v>-25.965</v>
      </c>
      <c r="G76" s="36">
        <v>-26.521000000000001</v>
      </c>
      <c r="H76" s="41">
        <v>188.78566000000001</v>
      </c>
      <c r="I76" s="163">
        <f>I45+I38</f>
        <v>12.627602105344764</v>
      </c>
      <c r="J76" s="58">
        <f t="shared" ref="J76:O76" si="44">J45+J38</f>
        <v>115.37134120568146</v>
      </c>
      <c r="K76" s="58">
        <f t="shared" si="44"/>
        <v>280.217198835023</v>
      </c>
      <c r="L76" s="58">
        <f t="shared" si="44"/>
        <v>445.70234240599473</v>
      </c>
      <c r="M76" s="58">
        <f t="shared" si="44"/>
        <v>627.39672269277958</v>
      </c>
      <c r="N76" s="58">
        <f t="shared" si="44"/>
        <v>819.71867084217627</v>
      </c>
      <c r="O76" s="58">
        <f t="shared" si="44"/>
        <v>1020.0489167759629</v>
      </c>
      <c r="V76" s="58"/>
    </row>
    <row r="77" spans="1:22">
      <c r="A77" s="42" t="s">
        <v>38</v>
      </c>
      <c r="B77" s="43">
        <v>27.908000000000001</v>
      </c>
      <c r="C77" s="43">
        <v>67.647000000000006</v>
      </c>
      <c r="D77" s="43">
        <v>82.947000000000003</v>
      </c>
      <c r="E77" s="69">
        <v>-319.601</v>
      </c>
      <c r="F77" s="69">
        <v>-104.703</v>
      </c>
      <c r="G77" s="69">
        <v>-118.896</v>
      </c>
      <c r="H77" s="47">
        <v>87.125119999999995</v>
      </c>
      <c r="I77" s="146">
        <f>I45</f>
        <v>-101.86138178933808</v>
      </c>
      <c r="J77" s="147">
        <f t="shared" ref="J77:O77" si="45">J45</f>
        <v>-14.685486159330139</v>
      </c>
      <c r="K77" s="58">
        <f t="shared" si="45"/>
        <v>128.49168960839233</v>
      </c>
      <c r="L77" s="58">
        <f t="shared" si="45"/>
        <v>269.14215425208204</v>
      </c>
      <c r="M77" s="58">
        <f t="shared" si="45"/>
        <v>427.93203377141072</v>
      </c>
      <c r="N77" s="58">
        <f t="shared" si="45"/>
        <v>598.76917311394755</v>
      </c>
      <c r="O77" s="58">
        <f t="shared" si="45"/>
        <v>776.93542932135642</v>
      </c>
      <c r="V77" s="58"/>
    </row>
    <row r="78" spans="1:22">
      <c r="A78" s="57" t="s">
        <v>936</v>
      </c>
      <c r="B78" s="52">
        <v>97.397999999999996</v>
      </c>
      <c r="C78" s="52">
        <v>92.847999999999999</v>
      </c>
      <c r="D78" s="52">
        <v>51.738999999999997</v>
      </c>
      <c r="E78" s="52">
        <v>60.923000000000002</v>
      </c>
      <c r="F78" s="52">
        <v>78.738</v>
      </c>
      <c r="G78" s="52">
        <v>92.375</v>
      </c>
      <c r="H78" s="47">
        <v>101.660539</v>
      </c>
      <c r="I78" s="100">
        <f>I38</f>
        <v>114.48898389468285</v>
      </c>
      <c r="J78" s="100">
        <f t="shared" ref="J78:O78" si="46">J38</f>
        <v>130.0568273650116</v>
      </c>
      <c r="K78" s="100">
        <f t="shared" si="46"/>
        <v>151.72550922663066</v>
      </c>
      <c r="L78" s="100">
        <f t="shared" si="46"/>
        <v>176.56018815391266</v>
      </c>
      <c r="M78" s="100">
        <f t="shared" si="46"/>
        <v>199.46468892136886</v>
      </c>
      <c r="N78" s="100">
        <f t="shared" si="46"/>
        <v>220.94949772822869</v>
      </c>
      <c r="O78" s="100">
        <f t="shared" si="46"/>
        <v>243.11348745460649</v>
      </c>
      <c r="V78" s="58"/>
    </row>
    <row r="79" spans="1:22">
      <c r="A79" s="68" t="s">
        <v>961</v>
      </c>
      <c r="B79" s="68"/>
      <c r="C79" s="68"/>
      <c r="D79" s="68"/>
      <c r="E79" s="68"/>
      <c r="F79" s="68"/>
      <c r="G79" s="68"/>
      <c r="H79" s="24"/>
      <c r="V79" s="58"/>
    </row>
    <row r="80" spans="1:22">
      <c r="A80" s="23" t="s">
        <v>962</v>
      </c>
      <c r="B80" s="52">
        <v>2.2999999999999998</v>
      </c>
      <c r="C80" s="52">
        <v>1.772</v>
      </c>
      <c r="D80" s="52">
        <v>61.723999999999997</v>
      </c>
      <c r="E80" s="52">
        <v>63.228000000000002</v>
      </c>
      <c r="F80" s="52">
        <v>53.334000000000003</v>
      </c>
      <c r="G80" s="52">
        <v>58.500999999999998</v>
      </c>
      <c r="H80" s="44"/>
      <c r="V80" s="58"/>
    </row>
    <row r="81" spans="1:22">
      <c r="A81" s="68" t="s">
        <v>963</v>
      </c>
      <c r="B81" s="43">
        <v>253.84995000000001</v>
      </c>
      <c r="C81" s="43">
        <v>312.44292000000002</v>
      </c>
      <c r="D81" s="43">
        <v>414.81162</v>
      </c>
      <c r="E81" s="43">
        <v>748.98873000000003</v>
      </c>
      <c r="F81" s="43">
        <v>854.33207000000004</v>
      </c>
      <c r="G81" s="43">
        <v>1076.1553799999999</v>
      </c>
      <c r="H81" s="44"/>
      <c r="V81" s="58"/>
    </row>
    <row r="82" spans="1:22">
      <c r="A82" s="23" t="s">
        <v>964</v>
      </c>
      <c r="B82" s="52">
        <v>0.91</v>
      </c>
      <c r="C82" s="52">
        <v>4.0540000000000003</v>
      </c>
      <c r="D82" s="23"/>
      <c r="E82" s="23"/>
      <c r="F82" s="23"/>
      <c r="G82" s="23"/>
      <c r="H82" s="23"/>
      <c r="T82" s="6"/>
      <c r="V82" s="58"/>
    </row>
    <row r="83" spans="1:22">
      <c r="A83" s="86" t="s">
        <v>887</v>
      </c>
      <c r="V83" s="174"/>
    </row>
    <row r="84" spans="1:22">
      <c r="F84" t="s">
        <v>965</v>
      </c>
      <c r="G84">
        <f>G109/(G107-G108)</f>
        <v>5.9344318042523242E-2</v>
      </c>
      <c r="V84" s="58"/>
    </row>
    <row r="85" spans="1:22">
      <c r="A85" t="s">
        <v>966</v>
      </c>
      <c r="B85">
        <f>G49/G138</f>
        <v>5.7603444016507306E-2</v>
      </c>
      <c r="G85">
        <f>G111/(G107-G108)</f>
        <v>0.2315527665413192</v>
      </c>
      <c r="I85" s="99"/>
      <c r="J85" s="99"/>
      <c r="K85" s="99"/>
      <c r="L85" s="99"/>
      <c r="M85" s="99"/>
      <c r="N85" s="99"/>
      <c r="O85" s="99"/>
      <c r="V85" s="58"/>
    </row>
    <row r="86" spans="1:22">
      <c r="A86" s="87"/>
      <c r="B86" s="87"/>
      <c r="C86" s="87"/>
      <c r="D86" s="87"/>
      <c r="E86" s="87"/>
      <c r="F86" s="87"/>
      <c r="G86" s="161">
        <f>G112/(G107-G108)</f>
        <v>0.70910291541615766</v>
      </c>
      <c r="H86" s="3"/>
      <c r="I86" s="58"/>
      <c r="J86" s="58"/>
      <c r="K86" s="58"/>
      <c r="L86" s="58"/>
      <c r="M86" s="58"/>
      <c r="N86" s="58"/>
      <c r="O86" s="58"/>
      <c r="V86" s="58"/>
    </row>
    <row r="87" spans="1:22">
      <c r="A87" s="16" t="s">
        <v>967</v>
      </c>
      <c r="B87" s="16"/>
      <c r="C87" s="16"/>
      <c r="D87" s="16"/>
      <c r="E87" s="16"/>
      <c r="F87" s="16"/>
      <c r="G87" s="1"/>
      <c r="H87" s="1"/>
      <c r="I87" s="14" t="s">
        <v>903</v>
      </c>
      <c r="J87" s="14"/>
      <c r="K87" s="14"/>
      <c r="L87" s="14"/>
      <c r="M87" s="14"/>
      <c r="N87" s="14"/>
      <c r="O87" s="15"/>
      <c r="V87" s="182"/>
    </row>
    <row r="88" spans="1:22">
      <c r="A88" s="16" t="s">
        <v>783</v>
      </c>
      <c r="B88" s="16"/>
      <c r="C88" s="16"/>
      <c r="D88" s="16"/>
      <c r="E88" s="16"/>
      <c r="F88" s="16"/>
      <c r="G88" s="1"/>
      <c r="H88" s="1"/>
      <c r="I88" s="1"/>
      <c r="J88" s="1"/>
      <c r="K88" s="1"/>
      <c r="L88" s="1"/>
      <c r="M88" s="1"/>
      <c r="N88" s="15"/>
      <c r="O88" s="15"/>
      <c r="T88" s="136"/>
      <c r="V88" s="58"/>
    </row>
    <row r="89" spans="1:22">
      <c r="A89" s="16" t="s">
        <v>906</v>
      </c>
      <c r="B89" s="16"/>
      <c r="C89" s="16"/>
      <c r="D89" s="16"/>
      <c r="E89" s="16"/>
      <c r="F89" s="16"/>
      <c r="G89" s="1"/>
      <c r="H89" s="1"/>
      <c r="I89" s="1"/>
      <c r="J89" s="1"/>
      <c r="K89" s="1"/>
      <c r="L89" s="1"/>
      <c r="M89" s="1"/>
      <c r="N89" s="15"/>
      <c r="O89" s="15"/>
      <c r="Q89" s="136"/>
      <c r="V89" s="58"/>
    </row>
    <row r="90" spans="1:22">
      <c r="A90" s="13" t="s">
        <v>926</v>
      </c>
      <c r="B90" s="16" t="s">
        <v>911</v>
      </c>
      <c r="C90" s="16" t="s">
        <v>912</v>
      </c>
      <c r="D90" s="16" t="s">
        <v>913</v>
      </c>
      <c r="E90" s="16" t="s">
        <v>914</v>
      </c>
      <c r="F90" s="16" t="s">
        <v>915</v>
      </c>
      <c r="G90" s="16" t="s">
        <v>916</v>
      </c>
      <c r="H90" s="203" t="s">
        <v>968</v>
      </c>
      <c r="I90" s="13" t="s">
        <v>918</v>
      </c>
      <c r="J90" s="13" t="s">
        <v>919</v>
      </c>
      <c r="K90" s="13" t="s">
        <v>920</v>
      </c>
      <c r="L90" s="13" t="s">
        <v>921</v>
      </c>
      <c r="M90" s="13" t="s">
        <v>922</v>
      </c>
      <c r="N90" s="13" t="s">
        <v>923</v>
      </c>
      <c r="O90" s="13" t="s">
        <v>924</v>
      </c>
      <c r="P90" s="91"/>
      <c r="Q90" s="136"/>
      <c r="V90" s="58"/>
    </row>
    <row r="91" spans="1:22">
      <c r="A91" s="16"/>
      <c r="B91" s="16"/>
      <c r="C91" s="16"/>
      <c r="D91" s="16" t="s">
        <v>928</v>
      </c>
      <c r="E91" s="16"/>
      <c r="F91" s="16" t="s">
        <v>928</v>
      </c>
      <c r="G91" s="16"/>
      <c r="H91" s="204" t="s">
        <v>969</v>
      </c>
      <c r="I91" s="1"/>
      <c r="J91" s="1"/>
      <c r="K91" s="1"/>
      <c r="L91" s="1"/>
      <c r="M91" s="1"/>
      <c r="N91" s="15"/>
      <c r="O91" s="15"/>
      <c r="Q91" s="136"/>
      <c r="S91" t="s">
        <v>179</v>
      </c>
    </row>
    <row r="92" spans="1:22">
      <c r="A92" s="20" t="s">
        <v>970</v>
      </c>
      <c r="B92" s="20"/>
      <c r="C92" s="20"/>
      <c r="D92" s="20"/>
      <c r="E92" s="20"/>
      <c r="F92" s="20"/>
      <c r="G92" s="20"/>
      <c r="H92" s="205"/>
    </row>
    <row r="93" spans="1:22">
      <c r="A93" s="25" t="s">
        <v>582</v>
      </c>
      <c r="B93" s="25"/>
      <c r="C93" s="25"/>
      <c r="D93" s="25"/>
      <c r="E93" s="25"/>
      <c r="F93" s="25"/>
      <c r="G93" s="25"/>
      <c r="H93" s="205"/>
    </row>
    <row r="94" spans="1:22">
      <c r="A94" s="30" t="s">
        <v>829</v>
      </c>
      <c r="B94" s="31">
        <v>2156.0410000000002</v>
      </c>
      <c r="C94" s="31">
        <v>1232.2280000000001</v>
      </c>
      <c r="D94" s="31">
        <v>1458.559</v>
      </c>
      <c r="E94" s="31">
        <v>2112.5500000000002</v>
      </c>
      <c r="F94" s="31">
        <v>2338.9029999999998</v>
      </c>
      <c r="G94" s="31">
        <v>2937.1419999999998</v>
      </c>
      <c r="H94" s="205">
        <v>1136</v>
      </c>
      <c r="I94" s="138">
        <f>G94/G31*I31</f>
        <v>3640.2750001017216</v>
      </c>
      <c r="J94" s="138">
        <f>I94/I31*J31</f>
        <v>4135.2678759461414</v>
      </c>
      <c r="K94" s="138">
        <f t="shared" ref="K94:O94" si="47">J94/J31*K31</f>
        <v>4824.2421176825374</v>
      </c>
      <c r="L94" s="138">
        <f t="shared" si="47"/>
        <v>5613.8819394290585</v>
      </c>
      <c r="M94" s="138">
        <f t="shared" si="47"/>
        <v>6342.1500984886288</v>
      </c>
      <c r="N94" s="138">
        <f t="shared" si="47"/>
        <v>7025.2779394477402</v>
      </c>
      <c r="O94" s="138">
        <f t="shared" si="47"/>
        <v>7544.0098679730154</v>
      </c>
      <c r="P94" t="s">
        <v>971</v>
      </c>
    </row>
    <row r="95" spans="1:22">
      <c r="A95" s="37" t="s">
        <v>972</v>
      </c>
      <c r="B95" s="38">
        <v>1479.9690000000001</v>
      </c>
      <c r="C95" s="38">
        <v>919.22699999999998</v>
      </c>
      <c r="D95" s="38">
        <v>1385.2650000000001</v>
      </c>
      <c r="E95" s="38">
        <v>2102.5500000000002</v>
      </c>
      <c r="F95" s="38">
        <v>2176.9299999999998</v>
      </c>
      <c r="G95" s="38">
        <v>2512.8739999999998</v>
      </c>
      <c r="H95" s="205">
        <v>1136</v>
      </c>
      <c r="I95" s="136">
        <f t="shared" ref="I95:O95" si="48">I94</f>
        <v>3640.2750001017216</v>
      </c>
      <c r="J95" s="136">
        <f t="shared" si="48"/>
        <v>4135.2678759461414</v>
      </c>
      <c r="K95" s="136">
        <f t="shared" si="48"/>
        <v>4824.2421176825374</v>
      </c>
      <c r="L95" s="136">
        <f t="shared" si="48"/>
        <v>5613.8819394290585</v>
      </c>
      <c r="M95" s="136">
        <f t="shared" si="48"/>
        <v>6342.1500984886288</v>
      </c>
      <c r="N95" s="136">
        <f t="shared" si="48"/>
        <v>7025.2779394477402</v>
      </c>
      <c r="O95" s="136">
        <f t="shared" si="48"/>
        <v>7544.0098679730154</v>
      </c>
    </row>
    <row r="96" spans="1:22">
      <c r="A96" s="45" t="s">
        <v>973</v>
      </c>
      <c r="B96" s="46">
        <v>676.072</v>
      </c>
      <c r="C96" s="46">
        <v>313.00099999999998</v>
      </c>
      <c r="D96" s="46">
        <v>73.293999999999997</v>
      </c>
      <c r="E96" s="46">
        <v>10</v>
      </c>
      <c r="F96" s="46">
        <v>161.97300000000001</v>
      </c>
      <c r="G96" s="46">
        <v>424.26799999999997</v>
      </c>
      <c r="H96" s="205">
        <v>0</v>
      </c>
      <c r="I96" s="38">
        <v>0</v>
      </c>
      <c r="J96" s="38">
        <v>0</v>
      </c>
      <c r="K96" s="38">
        <v>0</v>
      </c>
      <c r="L96" s="38">
        <v>0</v>
      </c>
      <c r="M96" s="38">
        <v>0</v>
      </c>
      <c r="N96" s="38">
        <v>0</v>
      </c>
      <c r="O96" s="38">
        <v>0</v>
      </c>
    </row>
    <row r="97" spans="1:20">
      <c r="A97" s="39" t="s">
        <v>830</v>
      </c>
      <c r="B97" s="40">
        <v>128.16200000000001</v>
      </c>
      <c r="C97" s="40">
        <v>183.36500000000001</v>
      </c>
      <c r="D97" s="40">
        <v>308.12700000000001</v>
      </c>
      <c r="E97" s="40">
        <v>477.678</v>
      </c>
      <c r="F97" s="40">
        <v>628.04899999999998</v>
      </c>
      <c r="G97" s="40">
        <v>778.30200000000002</v>
      </c>
      <c r="H97" s="205">
        <v>907</v>
      </c>
      <c r="I97" s="29">
        <f t="shared" ref="I97:O97" si="49">I98</f>
        <v>964.62251846494655</v>
      </c>
      <c r="J97" s="29">
        <f t="shared" si="49"/>
        <v>1095.7887832405222</v>
      </c>
      <c r="K97" s="29">
        <f t="shared" si="49"/>
        <v>1278.3574265992431</v>
      </c>
      <c r="L97" s="29">
        <f t="shared" si="49"/>
        <v>1487.6010561360381</v>
      </c>
      <c r="M97" s="29">
        <f t="shared" si="49"/>
        <v>1680.5820440257562</v>
      </c>
      <c r="N97" s="29">
        <f t="shared" si="49"/>
        <v>1861.6014720527833</v>
      </c>
      <c r="O97" s="29">
        <f t="shared" si="49"/>
        <v>1999.0582574023099</v>
      </c>
      <c r="P97" s="1128" t="s">
        <v>974</v>
      </c>
      <c r="Q97" s="1128"/>
      <c r="R97" s="1128"/>
      <c r="T97" s="6"/>
    </row>
    <row r="98" spans="1:20">
      <c r="A98" s="50" t="s">
        <v>831</v>
      </c>
      <c r="B98" s="31">
        <v>112.01900000000001</v>
      </c>
      <c r="C98" s="31">
        <v>173.47300000000001</v>
      </c>
      <c r="D98" s="31">
        <v>308.12700000000001</v>
      </c>
      <c r="E98" s="31">
        <v>477.678</v>
      </c>
      <c r="F98" s="31">
        <v>628.04899999999998</v>
      </c>
      <c r="G98" s="31">
        <v>778.30200000000002</v>
      </c>
      <c r="H98" s="205">
        <v>907</v>
      </c>
      <c r="I98" s="29">
        <f>G98*(1+I26)</f>
        <v>964.62251846494655</v>
      </c>
      <c r="J98" s="29">
        <f>I98*(1+J26)</f>
        <v>1095.7887832405222</v>
      </c>
      <c r="K98" s="29">
        <f t="shared" ref="K98:N98" si="50">J98*(1+K26)</f>
        <v>1278.3574265992431</v>
      </c>
      <c r="L98" s="29">
        <f t="shared" si="50"/>
        <v>1487.6010561360381</v>
      </c>
      <c r="M98" s="29">
        <f t="shared" si="50"/>
        <v>1680.5820440257562</v>
      </c>
      <c r="N98" s="29">
        <f t="shared" si="50"/>
        <v>1861.6014720527833</v>
      </c>
      <c r="O98" s="29">
        <f>N98*(1+O26)</f>
        <v>1999.0582574023099</v>
      </c>
      <c r="P98" s="1128"/>
      <c r="Q98" s="1128"/>
      <c r="R98" s="1128"/>
    </row>
    <row r="99" spans="1:20">
      <c r="A99" s="53" t="s">
        <v>832</v>
      </c>
      <c r="B99" s="38">
        <v>113.175</v>
      </c>
      <c r="C99" s="38">
        <v>173.84899999999999</v>
      </c>
      <c r="D99" s="38">
        <v>308.12700000000001</v>
      </c>
      <c r="E99" s="38">
        <v>477.678</v>
      </c>
      <c r="F99" s="38">
        <v>628.04899999999998</v>
      </c>
      <c r="G99" s="38">
        <v>778.30200000000002</v>
      </c>
      <c r="H99" s="205">
        <f ca="1">-H99</f>
        <v>0</v>
      </c>
      <c r="I99" s="29">
        <f>I98</f>
        <v>964.62251846494655</v>
      </c>
      <c r="J99" s="29">
        <f t="shared" ref="J99:O99" si="51">J98</f>
        <v>1095.7887832405222</v>
      </c>
      <c r="K99" s="29">
        <f t="shared" si="51"/>
        <v>1278.3574265992431</v>
      </c>
      <c r="L99" s="29">
        <f t="shared" si="51"/>
        <v>1487.6010561360381</v>
      </c>
      <c r="M99" s="29">
        <f t="shared" si="51"/>
        <v>1680.5820440257562</v>
      </c>
      <c r="N99" s="29">
        <f t="shared" si="51"/>
        <v>1861.6014720527833</v>
      </c>
      <c r="O99" s="29">
        <f t="shared" si="51"/>
        <v>1999.0582574023099</v>
      </c>
      <c r="P99" s="1128"/>
      <c r="Q99" s="1128"/>
      <c r="R99" s="1128"/>
    </row>
    <row r="100" spans="1:20">
      <c r="A100" s="54" t="s">
        <v>833</v>
      </c>
      <c r="B100" s="33">
        <v>-1.1559999999999999</v>
      </c>
      <c r="C100" s="33">
        <v>-0.376</v>
      </c>
      <c r="D100" s="20"/>
      <c r="E100" s="20"/>
      <c r="F100" s="20"/>
      <c r="G100" s="20"/>
      <c r="H100" s="206" t="s">
        <v>269</v>
      </c>
      <c r="I100">
        <v>0</v>
      </c>
      <c r="J100">
        <v>0</v>
      </c>
      <c r="K100">
        <v>0</v>
      </c>
      <c r="L100">
        <v>0</v>
      </c>
      <c r="M100">
        <v>0</v>
      </c>
      <c r="N100">
        <v>0</v>
      </c>
      <c r="O100">
        <v>0</v>
      </c>
    </row>
    <row r="101" spans="1:20">
      <c r="A101" s="37" t="s">
        <v>834</v>
      </c>
      <c r="B101" s="38">
        <v>16.143000000000001</v>
      </c>
      <c r="C101" s="38">
        <v>9.8919999999999995</v>
      </c>
      <c r="D101" s="38">
        <v>0</v>
      </c>
      <c r="E101" s="38">
        <v>0</v>
      </c>
      <c r="F101" s="38">
        <v>0</v>
      </c>
      <c r="G101" s="38">
        <v>0</v>
      </c>
      <c r="H101" s="206" t="s">
        <v>269</v>
      </c>
      <c r="I101">
        <v>0</v>
      </c>
      <c r="J101">
        <v>0</v>
      </c>
      <c r="K101">
        <v>0</v>
      </c>
      <c r="L101">
        <v>0</v>
      </c>
      <c r="M101">
        <v>0</v>
      </c>
      <c r="N101">
        <v>0</v>
      </c>
      <c r="O101">
        <v>0</v>
      </c>
    </row>
    <row r="102" spans="1:20">
      <c r="A102" s="30" t="s">
        <v>835</v>
      </c>
      <c r="B102" s="31">
        <v>359.58300000000003</v>
      </c>
      <c r="C102" s="31">
        <v>211.91300000000001</v>
      </c>
      <c r="D102" s="31">
        <v>130.267</v>
      </c>
      <c r="E102" s="31">
        <v>146.136</v>
      </c>
      <c r="F102" s="31">
        <v>80.141999999999996</v>
      </c>
      <c r="G102" s="31">
        <v>125.56</v>
      </c>
      <c r="H102" s="205"/>
      <c r="I102" s="110">
        <f>G102*(1+I26)</f>
        <v>155.61826054469691</v>
      </c>
      <c r="J102" s="110">
        <f>I102*(1+J26)</f>
        <v>176.7787306517007</v>
      </c>
      <c r="K102" s="110">
        <f t="shared" ref="K102:O102" si="52">J102*(1+K26)</f>
        <v>206.23171787275498</v>
      </c>
      <c r="L102" s="110">
        <f t="shared" si="52"/>
        <v>239.98806197136963</v>
      </c>
      <c r="M102" s="110">
        <f t="shared" si="52"/>
        <v>271.12082642454203</v>
      </c>
      <c r="N102" s="110">
        <f t="shared" si="52"/>
        <v>300.3238856265915</v>
      </c>
      <c r="O102" s="110">
        <f t="shared" si="52"/>
        <v>322.49917743939238</v>
      </c>
    </row>
    <row r="103" spans="1:20">
      <c r="A103" s="37" t="s">
        <v>638</v>
      </c>
      <c r="B103" s="38">
        <v>31.527000000000001</v>
      </c>
      <c r="C103" s="38">
        <v>36.866</v>
      </c>
      <c r="D103" s="59"/>
      <c r="E103" s="59"/>
      <c r="F103" s="59"/>
      <c r="G103" s="59"/>
      <c r="H103" s="205">
        <v>290</v>
      </c>
      <c r="I103" s="155">
        <f>G103</f>
        <v>0</v>
      </c>
      <c r="J103" s="155">
        <f>I103</f>
        <v>0</v>
      </c>
      <c r="K103" s="155">
        <f t="shared" ref="K103:O103" si="53">J103</f>
        <v>0</v>
      </c>
      <c r="L103" s="155">
        <f t="shared" si="53"/>
        <v>0</v>
      </c>
      <c r="M103" s="155">
        <f t="shared" si="53"/>
        <v>0</v>
      </c>
      <c r="N103" s="155">
        <f t="shared" si="53"/>
        <v>0</v>
      </c>
      <c r="O103" s="155">
        <f t="shared" si="53"/>
        <v>0</v>
      </c>
      <c r="T103" s="150"/>
    </row>
    <row r="104" spans="1:20">
      <c r="A104" s="45" t="s">
        <v>836</v>
      </c>
      <c r="B104" s="46">
        <v>328.05599999999998</v>
      </c>
      <c r="C104" s="46">
        <v>175.047</v>
      </c>
      <c r="D104" s="46">
        <v>130.267</v>
      </c>
      <c r="E104" s="46">
        <v>146.136</v>
      </c>
      <c r="F104" s="46">
        <v>80.141999999999996</v>
      </c>
      <c r="G104" s="46">
        <v>125.56</v>
      </c>
      <c r="H104" s="205"/>
      <c r="I104" s="136">
        <f>G104/G31*I31</f>
        <v>155.61826054469694</v>
      </c>
      <c r="J104" s="136">
        <f>I104/I31*J31</f>
        <v>176.77873065170076</v>
      </c>
      <c r="K104" s="136">
        <f t="shared" ref="K104:O104" si="54">J104/J31*K31</f>
        <v>206.23171787275504</v>
      </c>
      <c r="L104" s="136">
        <f t="shared" si="54"/>
        <v>239.98806197136969</v>
      </c>
      <c r="M104" s="136">
        <f t="shared" si="54"/>
        <v>271.12082642454209</v>
      </c>
      <c r="N104" s="136">
        <f t="shared" si="54"/>
        <v>300.32388562659156</v>
      </c>
      <c r="O104" s="136">
        <f t="shared" si="54"/>
        <v>322.49917743939244</v>
      </c>
    </row>
    <row r="105" spans="1:20">
      <c r="A105" s="56" t="s">
        <v>589</v>
      </c>
      <c r="B105" s="38">
        <v>2643.7860000000001</v>
      </c>
      <c r="C105" s="38">
        <v>1627.5060000000001</v>
      </c>
      <c r="D105" s="38">
        <v>1896.953</v>
      </c>
      <c r="E105" s="38">
        <v>2736.364</v>
      </c>
      <c r="F105" s="38">
        <v>3047.0940000000001</v>
      </c>
      <c r="G105" s="38">
        <v>3841.0039999999999</v>
      </c>
      <c r="H105" s="205">
        <v>2334</v>
      </c>
      <c r="I105" s="99">
        <f>(I94+I98+I102)</f>
        <v>4760.5157791113643</v>
      </c>
      <c r="J105" s="99">
        <f>(J94+J98+J102)</f>
        <v>5407.8353898383648</v>
      </c>
      <c r="K105" s="99">
        <f t="shared" ref="K105:O105" si="55">(K94+K98+K102)</f>
        <v>6308.8312621545356</v>
      </c>
      <c r="L105" s="99">
        <f t="shared" si="55"/>
        <v>7341.4710575364661</v>
      </c>
      <c r="M105" s="99">
        <f t="shared" si="55"/>
        <v>8293.852968938927</v>
      </c>
      <c r="N105" s="99">
        <f t="shared" si="55"/>
        <v>9187.2032971271146</v>
      </c>
      <c r="O105" s="99">
        <f t="shared" si="55"/>
        <v>9865.5673028147176</v>
      </c>
    </row>
    <row r="106" spans="1:20">
      <c r="A106" s="153" t="s">
        <v>975</v>
      </c>
      <c r="B106" s="154">
        <f t="shared" ref="B106:G106" si="56">B107-B113</f>
        <v>315.33099999999996</v>
      </c>
      <c r="C106" s="154">
        <f t="shared" si="56"/>
        <v>271.52100000000002</v>
      </c>
      <c r="D106" s="154">
        <f t="shared" si="56"/>
        <v>377.93799999999999</v>
      </c>
      <c r="E106" s="154">
        <f t="shared" si="56"/>
        <v>265.59699999999998</v>
      </c>
      <c r="F106" s="154">
        <f t="shared" si="56"/>
        <v>258.78299999999996</v>
      </c>
      <c r="G106" s="154">
        <f t="shared" si="56"/>
        <v>274.245</v>
      </c>
      <c r="H106" s="205"/>
      <c r="I106" s="110">
        <f t="shared" ref="I106:O106" si="57">I107-I113</f>
        <v>329.59327573238875</v>
      </c>
      <c r="J106" s="110">
        <f t="shared" si="57"/>
        <v>348.82325169669105</v>
      </c>
      <c r="K106" s="110">
        <f t="shared" si="57"/>
        <v>387.27959783896728</v>
      </c>
      <c r="L106" s="110">
        <f t="shared" si="57"/>
        <v>430.29096589991832</v>
      </c>
      <c r="M106" s="110">
        <f t="shared" si="57"/>
        <v>455.3451421123255</v>
      </c>
      <c r="N106" s="110">
        <f t="shared" si="57"/>
        <v>465.34079423291189</v>
      </c>
      <c r="O106" s="110">
        <f t="shared" si="57"/>
        <v>506.33329942238061</v>
      </c>
    </row>
    <row r="107" spans="1:20">
      <c r="A107" s="63" t="s">
        <v>591</v>
      </c>
      <c r="B107" s="40">
        <v>373.44799999999998</v>
      </c>
      <c r="C107" s="40">
        <v>353.45100000000002</v>
      </c>
      <c r="D107" s="40">
        <v>454.65499999999997</v>
      </c>
      <c r="E107" s="40">
        <v>371.19200000000001</v>
      </c>
      <c r="F107" s="40">
        <v>379.23899999999998</v>
      </c>
      <c r="G107" s="40">
        <v>422.024</v>
      </c>
      <c r="H107" s="205"/>
      <c r="I107" s="149">
        <f>G107/G31*I31</f>
        <v>523.05384507896758</v>
      </c>
      <c r="J107" s="149">
        <f>I107/I31*J31</f>
        <v>594.17702313279187</v>
      </c>
      <c r="K107" s="149">
        <f>J107/J31*K31</f>
        <v>693.17246339225517</v>
      </c>
      <c r="L107" s="149">
        <f>K107/K31*L31</f>
        <v>806.63206327974922</v>
      </c>
      <c r="M107" s="149">
        <f>L107/L31*M31</f>
        <v>911.27346010664962</v>
      </c>
      <c r="N107" s="149">
        <f>M107/M31*N31</f>
        <v>1009.4288587741054</v>
      </c>
      <c r="O107" s="149">
        <f>((N107/N31)+0.005)*O31</f>
        <v>1150.9401808710099</v>
      </c>
      <c r="P107" s="164" t="s">
        <v>976</v>
      </c>
    </row>
    <row r="108" spans="1:20">
      <c r="A108" s="54" t="s">
        <v>598</v>
      </c>
      <c r="B108" s="46">
        <v>217.68299999999999</v>
      </c>
      <c r="C108" s="46">
        <v>205.3</v>
      </c>
      <c r="D108" s="46">
        <v>277.27600000000001</v>
      </c>
      <c r="E108" s="46">
        <v>184.19499999999999</v>
      </c>
      <c r="F108" s="46">
        <v>172.46799999999999</v>
      </c>
      <c r="G108" s="46">
        <v>169.12700000000001</v>
      </c>
      <c r="H108" s="205">
        <v>120</v>
      </c>
      <c r="I108" s="149">
        <f>H108</f>
        <v>120</v>
      </c>
      <c r="J108" s="149">
        <f>I108</f>
        <v>120</v>
      </c>
      <c r="K108" s="149">
        <f t="shared" ref="K108:O108" si="58">J108</f>
        <v>120</v>
      </c>
      <c r="L108" s="149">
        <f t="shared" si="58"/>
        <v>120</v>
      </c>
      <c r="M108" s="149">
        <f t="shared" si="58"/>
        <v>120</v>
      </c>
      <c r="N108" s="149">
        <f t="shared" si="58"/>
        <v>120</v>
      </c>
      <c r="O108" s="149">
        <f t="shared" si="58"/>
        <v>120</v>
      </c>
      <c r="Q108" s="99"/>
    </row>
    <row r="109" spans="1:20">
      <c r="A109" s="54" t="s">
        <v>592</v>
      </c>
      <c r="B109" s="46">
        <v>9.6519999999999992</v>
      </c>
      <c r="C109" s="46">
        <v>10.43</v>
      </c>
      <c r="D109" s="46">
        <v>9.14</v>
      </c>
      <c r="E109" s="46">
        <v>9.298</v>
      </c>
      <c r="F109" s="46">
        <v>11.2</v>
      </c>
      <c r="G109" s="46">
        <v>15.007999999999999</v>
      </c>
      <c r="H109" s="205"/>
      <c r="I109" s="149">
        <f t="shared" ref="I109:O109" si="59">$G$84*(I107-I108)</f>
        <v>23.918955570628142</v>
      </c>
      <c r="J109" s="149">
        <f t="shared" si="59"/>
        <v>28.139712069249303</v>
      </c>
      <c r="K109" s="149">
        <f t="shared" si="59"/>
        <v>34.014528960766498</v>
      </c>
      <c r="L109" s="149">
        <f t="shared" si="59"/>
        <v>40.747711541467382</v>
      </c>
      <c r="M109" s="149">
        <f t="shared" si="59"/>
        <v>46.957583875176844</v>
      </c>
      <c r="N109" s="149">
        <f t="shared" si="59"/>
        <v>52.782549071288997</v>
      </c>
      <c r="O109" s="149">
        <f t="shared" si="59"/>
        <v>61.180441976425648</v>
      </c>
      <c r="P109" s="149"/>
    </row>
    <row r="110" spans="1:20">
      <c r="A110" s="53" t="s">
        <v>977</v>
      </c>
      <c r="B110" s="38">
        <v>11.260999999999999</v>
      </c>
      <c r="C110" s="38">
        <v>0</v>
      </c>
      <c r="D110" s="59"/>
      <c r="E110" s="59"/>
      <c r="F110" s="59"/>
      <c r="G110" s="59"/>
      <c r="H110" s="205"/>
      <c r="I110">
        <v>0</v>
      </c>
      <c r="J110">
        <v>0</v>
      </c>
      <c r="K110">
        <v>0</v>
      </c>
      <c r="L110">
        <v>0</v>
      </c>
      <c r="M110">
        <v>0</v>
      </c>
      <c r="N110">
        <v>0</v>
      </c>
      <c r="O110">
        <v>0</v>
      </c>
      <c r="P110" s="99"/>
    </row>
    <row r="111" spans="1:20">
      <c r="A111" s="54" t="s">
        <v>978</v>
      </c>
      <c r="B111" s="46">
        <v>12.065</v>
      </c>
      <c r="C111" s="46">
        <v>9.5370000000000008</v>
      </c>
      <c r="D111" s="46">
        <v>18.324000000000002</v>
      </c>
      <c r="E111" s="46">
        <v>29.800999999999998</v>
      </c>
      <c r="F111" s="46">
        <v>40.823999999999998</v>
      </c>
      <c r="G111" s="46">
        <v>58.558999999999997</v>
      </c>
      <c r="H111" s="205"/>
      <c r="I111" s="149">
        <f t="shared" ref="I111:O111" si="60">$G$85*(I107-I108)</f>
        <v>93.328232893151224</v>
      </c>
      <c r="J111" s="149">
        <f t="shared" si="60"/>
        <v>109.79700153672508</v>
      </c>
      <c r="K111" s="149">
        <f t="shared" si="60"/>
        <v>132.71966960377969</v>
      </c>
      <c r="L111" s="149">
        <f t="shared" si="60"/>
        <v>158.99155384840009</v>
      </c>
      <c r="M111" s="149">
        <f t="shared" si="60"/>
        <v>183.22155877841689</v>
      </c>
      <c r="N111" s="149">
        <f t="shared" si="60"/>
        <v>205.94971289083239</v>
      </c>
      <c r="O111" s="149">
        <f t="shared" si="60"/>
        <v>238.71705101929035</v>
      </c>
    </row>
    <row r="112" spans="1:20">
      <c r="A112" s="53" t="s">
        <v>840</v>
      </c>
      <c r="B112" s="38">
        <v>122.78700000000001</v>
      </c>
      <c r="C112" s="38">
        <v>128.184</v>
      </c>
      <c r="D112" s="38">
        <v>149.91499999999999</v>
      </c>
      <c r="E112" s="38">
        <v>147.898</v>
      </c>
      <c r="F112" s="38">
        <v>154.74700000000001</v>
      </c>
      <c r="G112" s="38">
        <v>179.33</v>
      </c>
      <c r="H112" s="205"/>
      <c r="I112" s="149">
        <f t="shared" ref="I112:O112" si="61">$G$86*(I107-I108)</f>
        <v>285.80665661518827</v>
      </c>
      <c r="J112" s="149">
        <f t="shared" si="61"/>
        <v>336.24030952681755</v>
      </c>
      <c r="K112" s="149">
        <f t="shared" si="61"/>
        <v>406.43826482770902</v>
      </c>
      <c r="L112" s="149">
        <f t="shared" si="61"/>
        <v>486.89279788988182</v>
      </c>
      <c r="M112" s="149">
        <f t="shared" si="61"/>
        <v>561.09431745305596</v>
      </c>
      <c r="N112" s="149">
        <f t="shared" si="61"/>
        <v>630.69659681198414</v>
      </c>
      <c r="O112" s="149">
        <f t="shared" si="61"/>
        <v>731.04268787529406</v>
      </c>
    </row>
    <row r="113" spans="1:18">
      <c r="A113" s="63" t="s">
        <v>597</v>
      </c>
      <c r="B113" s="40">
        <v>58.116999999999997</v>
      </c>
      <c r="C113" s="40">
        <v>81.93</v>
      </c>
      <c r="D113" s="40">
        <v>76.716999999999999</v>
      </c>
      <c r="E113" s="40">
        <v>105.595</v>
      </c>
      <c r="F113" s="40">
        <v>120.456</v>
      </c>
      <c r="G113" s="40">
        <v>147.779</v>
      </c>
      <c r="H113" s="205"/>
      <c r="I113" s="103">
        <f>G113+I39</f>
        <v>193.46056934657884</v>
      </c>
      <c r="J113" s="103">
        <f t="shared" ref="J113:O113" si="62">I113+J39</f>
        <v>245.35377143610086</v>
      </c>
      <c r="K113" s="103">
        <f t="shared" si="62"/>
        <v>305.89286555328789</v>
      </c>
      <c r="L113" s="103">
        <f t="shared" si="62"/>
        <v>376.3410973798309</v>
      </c>
      <c r="M113" s="103">
        <f t="shared" si="62"/>
        <v>455.92831799432412</v>
      </c>
      <c r="N113" s="103">
        <f t="shared" si="62"/>
        <v>544.08806454119349</v>
      </c>
      <c r="O113" s="103">
        <f t="shared" si="62"/>
        <v>644.60688144862934</v>
      </c>
    </row>
    <row r="114" spans="1:18">
      <c r="A114" s="54" t="s">
        <v>592</v>
      </c>
      <c r="B114" s="46">
        <v>5.6180000000000003</v>
      </c>
      <c r="C114" s="46">
        <v>7.5449999999999999</v>
      </c>
      <c r="D114" s="20"/>
      <c r="E114" s="20"/>
      <c r="F114" s="20"/>
      <c r="G114" s="20"/>
      <c r="H114" s="205"/>
      <c r="I114" s="156"/>
      <c r="J114" s="156"/>
      <c r="K114" s="156"/>
      <c r="L114" s="156"/>
      <c r="M114" s="156"/>
      <c r="N114" s="156"/>
      <c r="O114" s="156"/>
    </row>
    <row r="115" spans="1:18">
      <c r="A115" s="53" t="s">
        <v>978</v>
      </c>
      <c r="B115" s="38">
        <v>8.6110000000000007</v>
      </c>
      <c r="C115" s="38">
        <v>9.0619999999999994</v>
      </c>
      <c r="D115" s="59"/>
      <c r="E115" s="59"/>
      <c r="F115" s="59"/>
      <c r="G115" s="59"/>
      <c r="H115" s="205"/>
      <c r="I115" s="151"/>
      <c r="J115" s="151"/>
      <c r="K115" s="151"/>
      <c r="L115" s="151"/>
      <c r="M115" s="151"/>
      <c r="N115" s="151"/>
      <c r="O115" s="151"/>
    </row>
    <row r="116" spans="1:18">
      <c r="A116" s="54" t="s">
        <v>840</v>
      </c>
      <c r="B116" s="46">
        <v>43.887999999999998</v>
      </c>
      <c r="C116" s="46">
        <v>65.322999999999993</v>
      </c>
      <c r="D116" s="152"/>
      <c r="E116" s="20"/>
      <c r="F116" s="20"/>
      <c r="G116" s="20"/>
      <c r="H116" s="205"/>
      <c r="I116" s="151"/>
      <c r="J116" s="151"/>
      <c r="K116" s="151"/>
      <c r="L116" s="151"/>
      <c r="M116" s="151"/>
      <c r="N116" s="151"/>
      <c r="O116" s="151"/>
    </row>
    <row r="117" spans="1:18">
      <c r="A117" s="39" t="s">
        <v>979</v>
      </c>
      <c r="B117" s="40">
        <v>113.111</v>
      </c>
      <c r="C117" s="40">
        <v>137.101</v>
      </c>
      <c r="D117" s="40">
        <v>204.53700000000001</v>
      </c>
      <c r="E117" s="40">
        <v>255.11799999999999</v>
      </c>
      <c r="F117" s="40">
        <v>225.28</v>
      </c>
      <c r="G117" s="40">
        <v>226.54499999999999</v>
      </c>
      <c r="H117" s="205">
        <v>221</v>
      </c>
      <c r="I117" s="138">
        <f>H117</f>
        <v>221</v>
      </c>
      <c r="J117" s="138">
        <f t="shared" ref="J117:O118" si="63">I117</f>
        <v>221</v>
      </c>
      <c r="K117" s="138">
        <f t="shared" si="63"/>
        <v>221</v>
      </c>
      <c r="L117" s="138">
        <f t="shared" si="63"/>
        <v>221</v>
      </c>
      <c r="M117" s="138">
        <f t="shared" si="63"/>
        <v>221</v>
      </c>
      <c r="N117" s="138">
        <f t="shared" si="63"/>
        <v>221</v>
      </c>
      <c r="O117" s="138">
        <f t="shared" si="63"/>
        <v>221</v>
      </c>
    </row>
    <row r="118" spans="1:18">
      <c r="A118" s="45" t="s">
        <v>980</v>
      </c>
      <c r="B118" s="46">
        <v>113.111</v>
      </c>
      <c r="C118" s="46">
        <v>137.101</v>
      </c>
      <c r="D118" s="46">
        <v>204.53700000000001</v>
      </c>
      <c r="E118" s="46">
        <v>255.11799999999999</v>
      </c>
      <c r="F118" s="46">
        <v>225.28</v>
      </c>
      <c r="G118" s="46">
        <v>226.54499999999999</v>
      </c>
      <c r="H118" s="205">
        <v>221</v>
      </c>
      <c r="I118" s="136">
        <f>H118</f>
        <v>221</v>
      </c>
      <c r="J118" s="136">
        <f t="shared" si="63"/>
        <v>221</v>
      </c>
      <c r="K118" s="136">
        <f t="shared" si="63"/>
        <v>221</v>
      </c>
      <c r="L118" s="136">
        <f t="shared" si="63"/>
        <v>221</v>
      </c>
      <c r="M118" s="136">
        <f t="shared" si="63"/>
        <v>221</v>
      </c>
      <c r="N118" s="136">
        <f t="shared" si="63"/>
        <v>221</v>
      </c>
      <c r="O118" s="136">
        <f t="shared" si="63"/>
        <v>221</v>
      </c>
    </row>
    <row r="119" spans="1:18">
      <c r="A119" s="39" t="s">
        <v>843</v>
      </c>
      <c r="B119" s="40">
        <v>774.83</v>
      </c>
      <c r="C119" s="40">
        <v>850.34799999999996</v>
      </c>
      <c r="D119" s="40">
        <v>823.678</v>
      </c>
      <c r="E119" s="40">
        <v>796.28300000000002</v>
      </c>
      <c r="F119" s="40">
        <v>1587.8130000000001</v>
      </c>
      <c r="G119" s="40">
        <v>1549.2850000000001</v>
      </c>
      <c r="H119" s="205"/>
      <c r="I119" s="29">
        <f>SUM(I120:I121)</f>
        <v>2767.8301814518959</v>
      </c>
      <c r="J119" s="29">
        <f t="shared" ref="J119:O119" si="64">SUM(J120:J121)</f>
        <v>2689.6665561764066</v>
      </c>
      <c r="K119" s="29">
        <f t="shared" si="64"/>
        <v>2598.4801410669629</v>
      </c>
      <c r="L119" s="29">
        <f t="shared" si="64"/>
        <v>2492.3681847395933</v>
      </c>
      <c r="M119" s="29">
        <f t="shared" si="64"/>
        <v>2372.4907164327174</v>
      </c>
      <c r="N119" s="29">
        <f t="shared" si="64"/>
        <v>2303</v>
      </c>
      <c r="O119" s="29">
        <f t="shared" si="64"/>
        <v>2303</v>
      </c>
    </row>
    <row r="120" spans="1:18">
      <c r="A120" s="45" t="s">
        <v>600</v>
      </c>
      <c r="B120" s="46">
        <v>774.83</v>
      </c>
      <c r="C120" s="46">
        <v>850.34799999999996</v>
      </c>
      <c r="D120" s="46">
        <v>823.678</v>
      </c>
      <c r="E120" s="46">
        <v>796.28300000000002</v>
      </c>
      <c r="F120" s="46">
        <v>1587.8130000000001</v>
      </c>
      <c r="G120" s="46">
        <v>1549.2850000000001</v>
      </c>
      <c r="H120" s="205">
        <v>2303</v>
      </c>
      <c r="I120">
        <f>H120</f>
        <v>2303</v>
      </c>
      <c r="J120">
        <f t="shared" ref="J120:O120" si="65">I120</f>
        <v>2303</v>
      </c>
      <c r="K120">
        <f t="shared" si="65"/>
        <v>2303</v>
      </c>
      <c r="L120">
        <f t="shared" si="65"/>
        <v>2303</v>
      </c>
      <c r="M120">
        <f t="shared" si="65"/>
        <v>2303</v>
      </c>
      <c r="N120">
        <f t="shared" si="65"/>
        <v>2303</v>
      </c>
      <c r="O120">
        <f t="shared" si="65"/>
        <v>2303</v>
      </c>
    </row>
    <row r="121" spans="1:18">
      <c r="A121" s="37" t="s">
        <v>844</v>
      </c>
      <c r="B121" s="38">
        <v>129.69</v>
      </c>
      <c r="C121" s="38">
        <v>124.59</v>
      </c>
      <c r="D121" s="38">
        <v>100.84</v>
      </c>
      <c r="E121" s="38">
        <v>69.072000000000003</v>
      </c>
      <c r="F121" s="38">
        <v>299.05700000000002</v>
      </c>
      <c r="G121" s="38">
        <v>244.84</v>
      </c>
      <c r="H121" s="205">
        <v>463</v>
      </c>
      <c r="I121" s="100">
        <f>H121-(I40-H40)</f>
        <v>464.83018145189601</v>
      </c>
      <c r="J121" s="100">
        <f>I121-J40</f>
        <v>386.66655617640646</v>
      </c>
      <c r="K121" s="100">
        <f>J121-K40</f>
        <v>295.4801410669628</v>
      </c>
      <c r="L121" s="100">
        <f>K121-L40</f>
        <v>189.36818473959318</v>
      </c>
      <c r="M121" s="100">
        <f>L121-M40</f>
        <v>69.490716432717562</v>
      </c>
      <c r="N121" s="100">
        <v>0</v>
      </c>
      <c r="O121" s="100">
        <v>0</v>
      </c>
    </row>
    <row r="122" spans="1:18">
      <c r="A122" s="32" t="s">
        <v>599</v>
      </c>
      <c r="B122" s="46">
        <v>35.350999999999999</v>
      </c>
      <c r="C122" s="46">
        <v>36.173999999999999</v>
      </c>
      <c r="D122" s="46">
        <v>10.335000000000001</v>
      </c>
      <c r="E122" s="46">
        <v>9.9450000000000003</v>
      </c>
      <c r="F122" s="46">
        <v>3.9340000000000002</v>
      </c>
      <c r="G122" s="46">
        <v>3.762</v>
      </c>
      <c r="H122" s="205">
        <v>15</v>
      </c>
      <c r="I122">
        <f t="shared" ref="I122:O122" si="66">H122</f>
        <v>15</v>
      </c>
      <c r="J122">
        <f t="shared" si="66"/>
        <v>15</v>
      </c>
      <c r="K122">
        <f t="shared" si="66"/>
        <v>15</v>
      </c>
      <c r="L122">
        <f t="shared" si="66"/>
        <v>15</v>
      </c>
      <c r="M122">
        <f t="shared" si="66"/>
        <v>15</v>
      </c>
      <c r="N122">
        <f t="shared" si="66"/>
        <v>15</v>
      </c>
      <c r="O122">
        <f t="shared" si="66"/>
        <v>15</v>
      </c>
    </row>
    <row r="123" spans="1:18">
      <c r="A123" s="39" t="s">
        <v>845</v>
      </c>
      <c r="B123" s="40">
        <v>11.663</v>
      </c>
      <c r="C123" s="40">
        <v>22.693999999999999</v>
      </c>
      <c r="D123" s="40">
        <v>13.388999999999999</v>
      </c>
      <c r="E123" s="40">
        <v>43.472000000000001</v>
      </c>
      <c r="F123" s="40">
        <v>89.228999999999999</v>
      </c>
      <c r="G123" s="40">
        <v>147.12899999999999</v>
      </c>
      <c r="H123" s="205">
        <v>129</v>
      </c>
      <c r="I123" s="110">
        <f>(G123/G31)*I31</f>
        <v>182.35074112520476</v>
      </c>
      <c r="J123" s="110">
        <f t="shared" ref="J123:O123" si="67">(I123/I31)*J31</f>
        <v>207.14620788510729</v>
      </c>
      <c r="K123" s="110">
        <f t="shared" si="67"/>
        <v>241.6587003735311</v>
      </c>
      <c r="L123" s="110">
        <f t="shared" si="67"/>
        <v>281.21379077561039</v>
      </c>
      <c r="M123" s="110">
        <f t="shared" si="67"/>
        <v>317.69461668538105</v>
      </c>
      <c r="N123" s="110">
        <f t="shared" si="67"/>
        <v>351.91424791617379</v>
      </c>
      <c r="O123" s="110">
        <f t="shared" si="67"/>
        <v>377.89886490506819</v>
      </c>
      <c r="P123" t="s">
        <v>981</v>
      </c>
    </row>
    <row r="124" spans="1:18">
      <c r="A124" s="45" t="s">
        <v>846</v>
      </c>
      <c r="B124" s="20"/>
      <c r="C124" s="20"/>
      <c r="D124" s="46">
        <v>0</v>
      </c>
      <c r="E124" s="46">
        <v>0</v>
      </c>
      <c r="F124" s="46">
        <v>79.710999999999999</v>
      </c>
      <c r="G124" s="46">
        <v>136.34</v>
      </c>
      <c r="H124" s="205"/>
      <c r="I124" s="58">
        <f>G124/G123*I123</f>
        <v>168.97892356374624</v>
      </c>
      <c r="J124" s="58">
        <f>I124/I123*J123</f>
        <v>191.95613361781517</v>
      </c>
      <c r="K124" s="58">
        <f t="shared" ref="K124:O124" si="68">J124/J123*K123</f>
        <v>223.93781789400614</v>
      </c>
      <c r="L124" s="58">
        <f t="shared" si="68"/>
        <v>260.59232533590739</v>
      </c>
      <c r="M124" s="58">
        <f t="shared" si="68"/>
        <v>294.39800473655669</v>
      </c>
      <c r="N124" s="58">
        <f t="shared" si="68"/>
        <v>326.10830333170981</v>
      </c>
      <c r="O124" s="58">
        <f t="shared" si="68"/>
        <v>350.18746298253228</v>
      </c>
    </row>
    <row r="125" spans="1:18">
      <c r="A125" s="37" t="s">
        <v>847</v>
      </c>
      <c r="B125" s="38">
        <v>11.663</v>
      </c>
      <c r="C125" s="38">
        <v>22.693999999999999</v>
      </c>
      <c r="D125" s="38">
        <v>13.388999999999999</v>
      </c>
      <c r="E125" s="38">
        <v>43.472000000000001</v>
      </c>
      <c r="F125" s="38">
        <v>9.5180000000000007</v>
      </c>
      <c r="G125" s="38">
        <v>10.789</v>
      </c>
      <c r="H125" s="205"/>
      <c r="I125" s="99">
        <f>I123-I124</f>
        <v>13.371817561458528</v>
      </c>
      <c r="J125" s="99">
        <f t="shared" ref="J125:O125" si="69">J123-J124</f>
        <v>15.190074267292118</v>
      </c>
      <c r="K125" s="99">
        <f t="shared" si="69"/>
        <v>17.72088247952496</v>
      </c>
      <c r="L125" s="99">
        <f t="shared" si="69"/>
        <v>20.621465439703002</v>
      </c>
      <c r="M125" s="99">
        <f t="shared" si="69"/>
        <v>23.296611948824363</v>
      </c>
      <c r="N125" s="99">
        <f t="shared" si="69"/>
        <v>25.805944584463987</v>
      </c>
      <c r="O125" s="99">
        <f t="shared" si="69"/>
        <v>27.711401922535913</v>
      </c>
    </row>
    <row r="126" spans="1:18">
      <c r="A126" s="32" t="s">
        <v>605</v>
      </c>
      <c r="B126" s="46">
        <v>3894.0720000000001</v>
      </c>
      <c r="C126" s="46">
        <v>2945.3440000000001</v>
      </c>
      <c r="D126" s="46">
        <v>3326.83</v>
      </c>
      <c r="E126" s="46">
        <v>4106.7790000000005</v>
      </c>
      <c r="F126" s="46">
        <v>5212.1329999999998</v>
      </c>
      <c r="G126" s="46">
        <v>6041.97</v>
      </c>
      <c r="H126" s="207"/>
      <c r="I126" s="99">
        <f>I105+I106+I117+I119+I122+I123</f>
        <v>8276.2899774208545</v>
      </c>
      <c r="J126" s="99">
        <f t="shared" ref="J126:N126" si="70">J105+J106+J117+J119+J122+J123</f>
        <v>8889.4714055965705</v>
      </c>
      <c r="K126" s="99">
        <f t="shared" si="70"/>
        <v>9772.249701433997</v>
      </c>
      <c r="L126" s="99">
        <f t="shared" si="70"/>
        <v>10781.343998951586</v>
      </c>
      <c r="M126" s="99">
        <f t="shared" si="70"/>
        <v>11675.383444169353</v>
      </c>
      <c r="N126" s="99">
        <f t="shared" si="70"/>
        <v>12543.458339276202</v>
      </c>
      <c r="O126" s="99">
        <f>O105+O106+O117+O119+O122+O123</f>
        <v>13288.799467142166</v>
      </c>
      <c r="R126" s="99"/>
    </row>
    <row r="127" spans="1:18">
      <c r="A127" s="25" t="s">
        <v>606</v>
      </c>
      <c r="B127" s="25"/>
      <c r="C127" s="25"/>
      <c r="D127" s="25"/>
      <c r="E127" s="25"/>
      <c r="F127" s="158"/>
      <c r="G127" s="25"/>
      <c r="H127" s="205"/>
    </row>
    <row r="128" spans="1:18">
      <c r="A128" s="30" t="s">
        <v>607</v>
      </c>
      <c r="B128" s="65"/>
      <c r="C128" s="65"/>
      <c r="D128" s="65"/>
      <c r="E128" s="65"/>
      <c r="F128" s="65"/>
      <c r="G128" s="65"/>
      <c r="H128" s="205"/>
    </row>
    <row r="129" spans="1:16">
      <c r="A129" s="37" t="s">
        <v>848</v>
      </c>
      <c r="B129" s="38">
        <v>923.92600000000004</v>
      </c>
      <c r="C129" s="38">
        <v>391.245</v>
      </c>
      <c r="D129" s="38">
        <v>40.637999999999998</v>
      </c>
      <c r="E129" s="38">
        <v>82.43</v>
      </c>
      <c r="F129" s="38">
        <v>48.953000000000003</v>
      </c>
      <c r="G129" s="38">
        <v>50.164000000000001</v>
      </c>
      <c r="H129" s="205"/>
      <c r="I129" s="38">
        <f>G129</f>
        <v>50.164000000000001</v>
      </c>
      <c r="J129" s="38">
        <f>I129</f>
        <v>50.164000000000001</v>
      </c>
      <c r="K129" s="38">
        <f t="shared" ref="K129:O129" si="71">J129</f>
        <v>50.164000000000001</v>
      </c>
      <c r="L129" s="38">
        <f t="shared" si="71"/>
        <v>50.164000000000001</v>
      </c>
      <c r="M129" s="38">
        <f t="shared" si="71"/>
        <v>50.164000000000001</v>
      </c>
      <c r="N129" s="38">
        <f t="shared" si="71"/>
        <v>50.164000000000001</v>
      </c>
      <c r="O129" s="38">
        <f t="shared" si="71"/>
        <v>50.164000000000001</v>
      </c>
    </row>
    <row r="130" spans="1:16">
      <c r="A130" s="45" t="s">
        <v>609</v>
      </c>
      <c r="B130" s="46">
        <v>30.738</v>
      </c>
      <c r="C130" s="46">
        <v>40.366</v>
      </c>
      <c r="D130" s="46">
        <v>81.22</v>
      </c>
      <c r="E130" s="46">
        <v>159.29300000000001</v>
      </c>
      <c r="F130" s="46">
        <v>177.54499999999999</v>
      </c>
      <c r="G130" s="46">
        <v>222.09200000000001</v>
      </c>
      <c r="H130" s="205">
        <v>208</v>
      </c>
      <c r="I130" s="109">
        <f>(G130/G31)*I31</f>
        <v>275.25940363884064</v>
      </c>
      <c r="J130" s="99">
        <f t="shared" ref="J130:O130" si="72">I130/I31*J31</f>
        <v>312.68829123843199</v>
      </c>
      <c r="K130" s="99">
        <f t="shared" si="72"/>
        <v>364.7850803265045</v>
      </c>
      <c r="L130" s="99">
        <f t="shared" si="72"/>
        <v>424.493697509919</v>
      </c>
      <c r="M130" s="99">
        <f t="shared" si="72"/>
        <v>479.56169625899486</v>
      </c>
      <c r="N130" s="99">
        <f t="shared" si="72"/>
        <v>531.21640973702586</v>
      </c>
      <c r="O130" s="99">
        <f t="shared" si="72"/>
        <v>570.44032586707181</v>
      </c>
      <c r="P130" t="s">
        <v>982</v>
      </c>
    </row>
    <row r="131" spans="1:16">
      <c r="A131" s="37" t="s">
        <v>849</v>
      </c>
      <c r="B131" s="38">
        <v>19.582999999999998</v>
      </c>
      <c r="C131" s="38">
        <v>42.051000000000002</v>
      </c>
      <c r="D131" s="38">
        <v>26.367000000000001</v>
      </c>
      <c r="E131" s="38">
        <v>88.748000000000005</v>
      </c>
      <c r="F131" s="38">
        <v>55.203000000000003</v>
      </c>
      <c r="G131" s="38">
        <v>36.725999999999999</v>
      </c>
      <c r="H131" s="139"/>
      <c r="I131" s="109">
        <f>G131/G31*I31</f>
        <v>45.51796939124354</v>
      </c>
      <c r="J131" s="99">
        <f t="shared" ref="J131:O131" si="73">I131/I31*J31</f>
        <v>51.70735633891654</v>
      </c>
      <c r="K131" s="99">
        <f t="shared" si="73"/>
        <v>60.322284729171713</v>
      </c>
      <c r="L131" s="99">
        <f t="shared" si="73"/>
        <v>70.195934724120107</v>
      </c>
      <c r="M131" s="99">
        <f t="shared" si="73"/>
        <v>79.302193941284884</v>
      </c>
      <c r="N131" s="99">
        <f t="shared" si="73"/>
        <v>87.844018983133168</v>
      </c>
      <c r="O131" s="99">
        <f t="shared" si="73"/>
        <v>94.33023885504241</v>
      </c>
      <c r="P131" t="s">
        <v>983</v>
      </c>
    </row>
    <row r="132" spans="1:16">
      <c r="A132" s="50" t="s">
        <v>850</v>
      </c>
      <c r="B132" s="31">
        <v>2044.5319999999999</v>
      </c>
      <c r="C132" s="31">
        <v>1836.3489999999999</v>
      </c>
      <c r="D132" s="31">
        <v>1445.8309999999999</v>
      </c>
      <c r="E132" s="31">
        <v>1697.1189999999999</v>
      </c>
      <c r="F132" s="31">
        <v>2328.4250000000002</v>
      </c>
      <c r="G132" s="31">
        <v>2871.877</v>
      </c>
      <c r="H132" s="139"/>
      <c r="I132" s="110">
        <f>G132*(1+I26)</f>
        <v>3559.3859767308259</v>
      </c>
      <c r="J132" s="29">
        <f t="shared" ref="J132:O132" si="74">I132*(1+J26)</f>
        <v>4043.3798235729073</v>
      </c>
      <c r="K132" s="110">
        <f t="shared" si="74"/>
        <v>4717.0446577672346</v>
      </c>
      <c r="L132" s="110">
        <f t="shared" si="74"/>
        <v>5489.1382243560938</v>
      </c>
      <c r="M132" s="110">
        <f t="shared" si="74"/>
        <v>6201.2238422239134</v>
      </c>
      <c r="N132" s="110">
        <f t="shared" si="74"/>
        <v>6869.1721860595635</v>
      </c>
      <c r="O132" s="110">
        <f t="shared" si="74"/>
        <v>7376.3775900534401</v>
      </c>
      <c r="P132" t="s">
        <v>984</v>
      </c>
    </row>
    <row r="133" spans="1:16">
      <c r="A133" s="53" t="s">
        <v>851</v>
      </c>
      <c r="B133" s="38">
        <v>72.626999999999995</v>
      </c>
      <c r="C133" s="38">
        <v>91.894000000000005</v>
      </c>
      <c r="D133" s="38">
        <v>197.70099999999999</v>
      </c>
      <c r="E133" s="38">
        <v>191.80099999999999</v>
      </c>
      <c r="F133" s="38">
        <v>332.51799999999997</v>
      </c>
      <c r="G133" s="38">
        <v>422.98599999999999</v>
      </c>
      <c r="H133" s="205">
        <v>816</v>
      </c>
      <c r="I133" s="1127" t="s">
        <v>985</v>
      </c>
      <c r="J133" s="1127"/>
      <c r="K133" s="1127"/>
      <c r="L133" s="1127"/>
      <c r="M133" s="1127"/>
      <c r="N133" s="1127"/>
      <c r="O133" s="1127"/>
    </row>
    <row r="134" spans="1:16">
      <c r="A134" s="54" t="s">
        <v>852</v>
      </c>
      <c r="B134" s="46">
        <v>1971.905</v>
      </c>
      <c r="C134" s="46">
        <v>1744.4549999999999</v>
      </c>
      <c r="D134" s="46">
        <v>1248.1300000000001</v>
      </c>
      <c r="E134" s="46">
        <v>1505.318</v>
      </c>
      <c r="F134" s="46">
        <v>1995.9069999999999</v>
      </c>
      <c r="G134" s="46">
        <v>2448.8910000000001</v>
      </c>
      <c r="H134" s="205"/>
      <c r="I134" s="1127"/>
      <c r="J134" s="1127"/>
      <c r="K134" s="1127"/>
      <c r="L134" s="1127"/>
      <c r="M134" s="1127"/>
      <c r="N134" s="1127"/>
      <c r="O134" s="1127"/>
    </row>
    <row r="135" spans="1:16">
      <c r="A135" s="37" t="s">
        <v>615</v>
      </c>
      <c r="B135" s="38">
        <v>3018.779</v>
      </c>
      <c r="C135" s="38">
        <v>2310.011</v>
      </c>
      <c r="D135" s="38">
        <v>1594.056</v>
      </c>
      <c r="E135" s="38">
        <v>2027.59</v>
      </c>
      <c r="F135" s="38">
        <v>2610.1260000000002</v>
      </c>
      <c r="G135" s="38">
        <v>3180.8589999999999</v>
      </c>
      <c r="H135" s="205">
        <v>3323</v>
      </c>
      <c r="I135" s="99">
        <f>SUM(I132,I131,I130,I129)</f>
        <v>3930.3273497609102</v>
      </c>
      <c r="J135" s="99">
        <f t="shared" ref="J135:O135" si="75">SUM(J132,J131,J130,J129)</f>
        <v>4457.9394711502555</v>
      </c>
      <c r="K135" s="99">
        <f t="shared" si="75"/>
        <v>5192.3160228229108</v>
      </c>
      <c r="L135" s="99">
        <f t="shared" si="75"/>
        <v>6033.9918565901326</v>
      </c>
      <c r="M135" s="99">
        <f t="shared" si="75"/>
        <v>6810.2517324241926</v>
      </c>
      <c r="N135" s="99">
        <f t="shared" si="75"/>
        <v>7538.3966147797228</v>
      </c>
      <c r="O135" s="99">
        <f t="shared" si="75"/>
        <v>8091.3121547755545</v>
      </c>
    </row>
    <row r="136" spans="1:16">
      <c r="A136" s="30" t="s">
        <v>853</v>
      </c>
      <c r="B136" s="65"/>
      <c r="C136" s="65"/>
      <c r="D136" s="65"/>
      <c r="E136" s="65"/>
      <c r="F136" s="65"/>
      <c r="G136" s="65"/>
      <c r="H136" s="205"/>
    </row>
    <row r="137" spans="1:16">
      <c r="A137" s="63" t="s">
        <v>618</v>
      </c>
      <c r="B137" s="40">
        <v>229.82499999999999</v>
      </c>
      <c r="C137" s="40">
        <v>214.10300000000001</v>
      </c>
      <c r="D137" s="40">
        <v>1273.8530000000001</v>
      </c>
      <c r="E137" s="40">
        <v>1199.9280000000001</v>
      </c>
      <c r="F137" s="40">
        <v>1200.385</v>
      </c>
      <c r="G137" s="40">
        <v>1189.1669999999999</v>
      </c>
      <c r="H137" s="205"/>
      <c r="I137" s="138">
        <f>SUM(I138:I139)</f>
        <v>2874.0035316080534</v>
      </c>
      <c r="J137" s="138">
        <f t="shared" ref="J137:O137" si="76">SUM(J138:J139)</f>
        <v>2939.0224938074994</v>
      </c>
      <c r="K137" s="138">
        <f t="shared" si="76"/>
        <v>2895.6816953934035</v>
      </c>
      <c r="L137" s="138">
        <f t="shared" si="76"/>
        <v>2728.3765763406736</v>
      </c>
      <c r="M137" s="138">
        <f t="shared" si="76"/>
        <v>2362.4409669990227</v>
      </c>
      <c r="N137" s="138">
        <f t="shared" si="76"/>
        <v>1852.2635674946087</v>
      </c>
      <c r="O137" s="138">
        <f t="shared" si="76"/>
        <v>1230.144217706842</v>
      </c>
      <c r="P137" t="s">
        <v>986</v>
      </c>
    </row>
    <row r="138" spans="1:16">
      <c r="A138" s="54" t="s">
        <v>854</v>
      </c>
      <c r="B138" s="46">
        <v>0</v>
      </c>
      <c r="C138" s="46">
        <v>0</v>
      </c>
      <c r="D138" s="46">
        <v>999.41899999999998</v>
      </c>
      <c r="E138" s="46">
        <v>962.09299999999996</v>
      </c>
      <c r="F138" s="46">
        <v>985.91099999999994</v>
      </c>
      <c r="G138" s="46">
        <v>987.68399999999997</v>
      </c>
      <c r="H138" s="205">
        <f>2580.8</f>
        <v>2580.8000000000002</v>
      </c>
      <c r="I138" s="99">
        <f>I126-I135-I141-I142-I155-I139</f>
        <v>2672.5205316080533</v>
      </c>
      <c r="J138" s="99">
        <f t="shared" ref="J138:O138" si="77">J126-J135-J141-J142-J155-J139</f>
        <v>2737.5394938074992</v>
      </c>
      <c r="K138" s="99">
        <f t="shared" si="77"/>
        <v>2694.1986953934033</v>
      </c>
      <c r="L138" s="99">
        <f t="shared" si="77"/>
        <v>2526.8935763406735</v>
      </c>
      <c r="M138" s="99">
        <f t="shared" si="77"/>
        <v>2160.9579669990226</v>
      </c>
      <c r="N138" s="99">
        <f t="shared" si="77"/>
        <v>1650.7805674946087</v>
      </c>
      <c r="O138" s="99">
        <f t="shared" si="77"/>
        <v>1028.6612177068421</v>
      </c>
    </row>
    <row r="139" spans="1:16">
      <c r="A139" s="53" t="s">
        <v>855</v>
      </c>
      <c r="B139" s="38">
        <v>229.82499999999999</v>
      </c>
      <c r="C139" s="38">
        <v>214.10300000000001</v>
      </c>
      <c r="D139" s="38">
        <v>274.43400000000003</v>
      </c>
      <c r="E139" s="38">
        <v>237.83500000000001</v>
      </c>
      <c r="F139" s="38">
        <v>214.47399999999999</v>
      </c>
      <c r="G139" s="38">
        <v>201.483</v>
      </c>
      <c r="H139" s="205">
        <v>206</v>
      </c>
      <c r="I139" s="99">
        <v>201.483</v>
      </c>
      <c r="J139" s="99">
        <v>201.483</v>
      </c>
      <c r="K139" s="99">
        <v>201.483</v>
      </c>
      <c r="L139" s="99">
        <v>201.483</v>
      </c>
      <c r="M139" s="99">
        <v>201.483</v>
      </c>
      <c r="N139" s="99">
        <v>201.483</v>
      </c>
      <c r="O139" s="99">
        <v>201.483</v>
      </c>
    </row>
    <row r="140" spans="1:16">
      <c r="A140" s="45" t="s">
        <v>856</v>
      </c>
      <c r="B140" s="46">
        <v>9.4930000000000003</v>
      </c>
      <c r="C140" s="46">
        <v>12.435</v>
      </c>
      <c r="D140" s="46">
        <v>0</v>
      </c>
      <c r="E140" s="46">
        <v>0</v>
      </c>
      <c r="F140" s="46">
        <v>0</v>
      </c>
      <c r="G140" s="46">
        <v>0</v>
      </c>
      <c r="H140" s="205"/>
      <c r="I140" s="93">
        <v>0</v>
      </c>
      <c r="J140" s="93">
        <v>0</v>
      </c>
      <c r="K140" s="93">
        <v>0</v>
      </c>
      <c r="L140" s="93">
        <v>0</v>
      </c>
      <c r="M140" s="93">
        <v>0</v>
      </c>
      <c r="N140" s="93">
        <v>0</v>
      </c>
      <c r="O140" s="93">
        <v>0</v>
      </c>
    </row>
    <row r="141" spans="1:16">
      <c r="A141" s="37" t="s">
        <v>617</v>
      </c>
      <c r="B141" s="38">
        <v>31.303999999999998</v>
      </c>
      <c r="C141" s="38">
        <v>26.625</v>
      </c>
      <c r="D141" s="38">
        <v>0.312</v>
      </c>
      <c r="E141" s="38">
        <v>10.669</v>
      </c>
      <c r="F141" s="38">
        <v>20.387</v>
      </c>
      <c r="G141" s="38">
        <v>23.881</v>
      </c>
      <c r="H141" s="205">
        <v>24</v>
      </c>
      <c r="I141" s="99">
        <f t="shared" ref="I141:O141" si="78">H141</f>
        <v>24</v>
      </c>
      <c r="J141" s="99">
        <f t="shared" si="78"/>
        <v>24</v>
      </c>
      <c r="K141" s="99">
        <f t="shared" si="78"/>
        <v>24</v>
      </c>
      <c r="L141" s="99">
        <f t="shared" si="78"/>
        <v>24</v>
      </c>
      <c r="M141" s="99">
        <f t="shared" si="78"/>
        <v>24</v>
      </c>
      <c r="N141" s="99">
        <f t="shared" si="78"/>
        <v>24</v>
      </c>
      <c r="O141" s="99">
        <f t="shared" si="78"/>
        <v>24</v>
      </c>
      <c r="P141" t="s">
        <v>987</v>
      </c>
    </row>
    <row r="142" spans="1:16">
      <c r="A142" s="50" t="s">
        <v>857</v>
      </c>
      <c r="B142" s="31">
        <v>29.364999999999998</v>
      </c>
      <c r="C142" s="31">
        <v>87.256</v>
      </c>
      <c r="D142" s="31">
        <v>131.23699999999999</v>
      </c>
      <c r="E142" s="31">
        <v>213.92</v>
      </c>
      <c r="F142" s="31">
        <v>348.38400000000001</v>
      </c>
      <c r="G142" s="31">
        <v>302.40899999999999</v>
      </c>
      <c r="H142" s="205">
        <v>69</v>
      </c>
      <c r="I142" s="110">
        <f>SUM(I143:I144)</f>
        <v>374.80377949236419</v>
      </c>
      <c r="J142" s="110">
        <f t="shared" ref="J142:O142" si="79">SUM(J143:J144)</f>
        <v>425.76839087010319</v>
      </c>
      <c r="K142" s="110">
        <f t="shared" si="79"/>
        <v>496.70538045700823</v>
      </c>
      <c r="L142" s="110">
        <f t="shared" si="79"/>
        <v>578.0069276258356</v>
      </c>
      <c r="M142" s="110">
        <f t="shared" si="79"/>
        <v>652.98963044137724</v>
      </c>
      <c r="N142" s="110">
        <f t="shared" si="79"/>
        <v>723.3246728930543</v>
      </c>
      <c r="O142" s="110">
        <f t="shared" si="79"/>
        <v>776.73346408306156</v>
      </c>
    </row>
    <row r="143" spans="1:16">
      <c r="A143" s="53" t="s">
        <v>858</v>
      </c>
      <c r="B143" s="38">
        <v>2.173</v>
      </c>
      <c r="C143" s="38">
        <v>2.6040000000000001</v>
      </c>
      <c r="D143" s="38">
        <v>14.616</v>
      </c>
      <c r="E143" s="38">
        <v>31.177</v>
      </c>
      <c r="F143" s="38">
        <v>39.917000000000002</v>
      </c>
      <c r="G143" s="38">
        <v>48.156999999999996</v>
      </c>
      <c r="H143" s="205"/>
      <c r="I143" s="99">
        <f>G143*(1+I26)</f>
        <v>59.685477644560116</v>
      </c>
      <c r="J143" s="99">
        <f t="shared" ref="J143:O143" si="80">I143*(1+J26)</f>
        <v>67.80131675688078</v>
      </c>
      <c r="K143" s="99">
        <f t="shared" si="80"/>
        <v>79.09764923222572</v>
      </c>
      <c r="L143" s="99">
        <f t="shared" si="80"/>
        <v>92.044481525607253</v>
      </c>
      <c r="M143" s="99">
        <f t="shared" si="80"/>
        <v>103.98507198253162</v>
      </c>
      <c r="N143" s="99">
        <f t="shared" si="80"/>
        <v>115.18554762758654</v>
      </c>
      <c r="O143" s="99">
        <f t="shared" si="80"/>
        <v>123.69060917448884</v>
      </c>
    </row>
    <row r="144" spans="1:16">
      <c r="A144" s="54" t="s">
        <v>859</v>
      </c>
      <c r="B144" s="46">
        <v>27.192</v>
      </c>
      <c r="C144" s="46">
        <v>84.652000000000001</v>
      </c>
      <c r="D144" s="46">
        <v>116.621</v>
      </c>
      <c r="E144" s="46">
        <v>182.74299999999999</v>
      </c>
      <c r="F144" s="46">
        <v>308.46699999999998</v>
      </c>
      <c r="G144" s="46">
        <v>254.25200000000001</v>
      </c>
      <c r="H144" s="205">
        <v>161</v>
      </c>
      <c r="I144" s="99">
        <f>G144*(1+I26)</f>
        <v>315.11830184780405</v>
      </c>
      <c r="J144" s="99">
        <f t="shared" ref="J144:O144" si="81">I144*(1+J26)</f>
        <v>357.9670741132224</v>
      </c>
      <c r="K144" s="99">
        <f t="shared" si="81"/>
        <v>417.60773122478253</v>
      </c>
      <c r="L144" s="99">
        <f t="shared" si="81"/>
        <v>485.96244610022831</v>
      </c>
      <c r="M144" s="99">
        <f t="shared" si="81"/>
        <v>549.00455845884562</v>
      </c>
      <c r="N144" s="99">
        <f t="shared" si="81"/>
        <v>608.13912526546778</v>
      </c>
      <c r="O144" s="99">
        <f t="shared" si="81"/>
        <v>653.04285490857274</v>
      </c>
    </row>
    <row r="145" spans="1:22">
      <c r="A145" s="37" t="s">
        <v>622</v>
      </c>
      <c r="B145" s="38">
        <v>3318.7660000000001</v>
      </c>
      <c r="C145" s="38">
        <v>2650.43</v>
      </c>
      <c r="D145" s="38">
        <v>2999.4580000000001</v>
      </c>
      <c r="E145" s="38">
        <v>3452.107</v>
      </c>
      <c r="F145" s="38">
        <v>4179.2820000000002</v>
      </c>
      <c r="G145" s="38">
        <v>4696.3159999999998</v>
      </c>
      <c r="H145" s="208">
        <v>4772</v>
      </c>
      <c r="I145" s="136">
        <f>SUM(I129:I132,I137,I140:I142)</f>
        <v>7203.1346608613276</v>
      </c>
      <c r="J145" s="136">
        <f t="shared" ref="J145:O145" si="82">SUM(J129:J132,J137,J140:J142)</f>
        <v>7846.7303558278572</v>
      </c>
      <c r="K145" s="136">
        <f t="shared" si="82"/>
        <v>8608.7030986733225</v>
      </c>
      <c r="L145" s="136">
        <f t="shared" si="82"/>
        <v>9364.3753605566417</v>
      </c>
      <c r="M145" s="136">
        <f t="shared" si="82"/>
        <v>9849.6823298645941</v>
      </c>
      <c r="N145" s="136">
        <f t="shared" si="82"/>
        <v>10137.984855167386</v>
      </c>
      <c r="O145" s="136">
        <f t="shared" si="82"/>
        <v>10122.189836565458</v>
      </c>
    </row>
    <row r="146" spans="1:22">
      <c r="A146" s="30" t="s">
        <v>623</v>
      </c>
      <c r="B146" s="65"/>
      <c r="C146" s="65"/>
      <c r="D146" s="65"/>
      <c r="E146" s="65"/>
      <c r="F146" s="65"/>
      <c r="G146" s="65"/>
      <c r="H146" s="139"/>
      <c r="I146" s="136"/>
      <c r="J146" s="136"/>
    </row>
    <row r="147" spans="1:22">
      <c r="A147" s="63" t="s">
        <v>860</v>
      </c>
      <c r="B147" s="90">
        <v>575.30600000000004</v>
      </c>
      <c r="C147" s="90">
        <v>294.91399999999999</v>
      </c>
      <c r="D147" s="90">
        <v>327.37200000000001</v>
      </c>
      <c r="E147" s="90">
        <v>654.67200000000003</v>
      </c>
      <c r="F147" s="90">
        <v>1032.8510000000001</v>
      </c>
      <c r="G147" s="90">
        <v>1345.654</v>
      </c>
      <c r="H147" s="209"/>
      <c r="I147" s="159">
        <f t="shared" ref="I147:O147" si="83">I148+I149+I150+I153+I151</f>
        <v>1073.1553165595269</v>
      </c>
      <c r="J147" s="159">
        <f t="shared" si="83"/>
        <v>1042.7410497687124</v>
      </c>
      <c r="K147" s="159">
        <f t="shared" si="83"/>
        <v>1163.5466027606744</v>
      </c>
      <c r="L147" s="159">
        <f t="shared" si="83"/>
        <v>1416.9686383949447</v>
      </c>
      <c r="M147" s="159">
        <f t="shared" si="83"/>
        <v>1825.7011143047603</v>
      </c>
      <c r="N147" s="159">
        <f t="shared" si="83"/>
        <v>2405.4734841088157</v>
      </c>
      <c r="O147" s="159">
        <f t="shared" si="83"/>
        <v>3166.6096305767078</v>
      </c>
    </row>
    <row r="148" spans="1:22">
      <c r="A148" s="54" t="s">
        <v>861</v>
      </c>
      <c r="B148" s="92">
        <v>24.744</v>
      </c>
      <c r="C148" s="92">
        <v>25.164000000000001</v>
      </c>
      <c r="D148" s="92">
        <v>2E-3</v>
      </c>
      <c r="E148" s="92">
        <v>3.0000000000000001E-3</v>
      </c>
      <c r="F148" s="92">
        <v>3.0000000000000001E-3</v>
      </c>
      <c r="G148" s="92">
        <v>3.0000000000000001E-3</v>
      </c>
      <c r="H148" s="205">
        <v>0</v>
      </c>
      <c r="I148" s="92">
        <v>0</v>
      </c>
      <c r="J148" s="92">
        <v>0</v>
      </c>
      <c r="K148" s="92">
        <v>0</v>
      </c>
      <c r="L148" s="92">
        <v>0</v>
      </c>
      <c r="M148" s="92">
        <v>0</v>
      </c>
      <c r="N148" s="92">
        <v>0</v>
      </c>
      <c r="O148" s="92">
        <v>0</v>
      </c>
      <c r="P148" s="92"/>
    </row>
    <row r="149" spans="1:22">
      <c r="A149" s="53" t="s">
        <v>988</v>
      </c>
      <c r="B149" s="93">
        <v>459.892</v>
      </c>
      <c r="C149" s="93">
        <v>461.01600000000002</v>
      </c>
      <c r="D149" s="93">
        <v>2182.5360000000001</v>
      </c>
      <c r="E149" s="93">
        <v>3130.6309999999999</v>
      </c>
      <c r="F149" s="93">
        <v>4212.0640000000003</v>
      </c>
      <c r="G149" s="93">
        <v>5574.29</v>
      </c>
      <c r="H149" s="205">
        <v>6786</v>
      </c>
      <c r="I149" s="155">
        <f>G149+I186</f>
        <v>6964.010097075</v>
      </c>
      <c r="J149" s="155">
        <f t="shared" ref="J149:O149" si="84">I149+J186</f>
        <v>8469.2724284063243</v>
      </c>
      <c r="K149" s="155">
        <f t="shared" si="84"/>
        <v>10139.664393315426</v>
      </c>
      <c r="L149" s="155">
        <f t="shared" si="84"/>
        <v>11983.786561338948</v>
      </c>
      <c r="M149" s="155">
        <f t="shared" si="84"/>
        <v>13954.526190549392</v>
      </c>
      <c r="N149" s="155">
        <f t="shared" si="84"/>
        <v>16012.795223128591</v>
      </c>
      <c r="O149" s="155">
        <f t="shared" si="84"/>
        <v>18089.088180797735</v>
      </c>
    </row>
    <row r="150" spans="1:22">
      <c r="A150" s="54" t="s">
        <v>862</v>
      </c>
      <c r="B150" s="94">
        <v>-1116.3920000000001</v>
      </c>
      <c r="C150" s="94">
        <v>-1812.7070000000001</v>
      </c>
      <c r="D150" s="94">
        <v>-1869.03</v>
      </c>
      <c r="E150" s="94">
        <v>-2509.9639999999999</v>
      </c>
      <c r="F150" s="94">
        <v>-3204.5160000000001</v>
      </c>
      <c r="G150" s="94">
        <v>-4241.8649999999998</v>
      </c>
      <c r="H150" s="210">
        <v>-5895</v>
      </c>
      <c r="I150" s="157">
        <f>G150+I64-I187</f>
        <v>-5891.8547805154731</v>
      </c>
      <c r="J150" s="157">
        <f>I150+J64-J187</f>
        <v>-7427.5313786376119</v>
      </c>
      <c r="K150" s="157">
        <f t="shared" ref="K150:O150" si="85">J150+K64-K187</f>
        <v>-8977.117790554752</v>
      </c>
      <c r="L150" s="157">
        <f t="shared" si="85"/>
        <v>-10567.817922944003</v>
      </c>
      <c r="M150" s="157">
        <f t="shared" si="85"/>
        <v>-12129.825076244631</v>
      </c>
      <c r="N150" s="157">
        <f t="shared" si="85"/>
        <v>-13608.321739019775</v>
      </c>
      <c r="O150" s="157">
        <f t="shared" si="85"/>
        <v>-14923.478550221027</v>
      </c>
    </row>
    <row r="151" spans="1:22">
      <c r="A151" s="53" t="s">
        <v>864</v>
      </c>
      <c r="B151" s="93">
        <v>6.1669999999999998</v>
      </c>
      <c r="C151" s="93">
        <v>2.8050000000000002</v>
      </c>
      <c r="D151" s="59"/>
      <c r="E151" s="59"/>
      <c r="F151" s="59"/>
      <c r="G151" s="59"/>
      <c r="H151" s="210">
        <v>-12</v>
      </c>
      <c r="I151">
        <v>-12</v>
      </c>
      <c r="J151">
        <v>-12</v>
      </c>
      <c r="K151">
        <v>-12</v>
      </c>
      <c r="L151">
        <v>-12</v>
      </c>
      <c r="M151">
        <v>-12</v>
      </c>
      <c r="N151">
        <v>-12</v>
      </c>
      <c r="O151">
        <v>-12</v>
      </c>
    </row>
    <row r="152" spans="1:22">
      <c r="A152" s="54" t="s">
        <v>865</v>
      </c>
      <c r="B152" s="92">
        <v>66.218000000000004</v>
      </c>
      <c r="C152" s="92">
        <v>99.091999999999999</v>
      </c>
      <c r="D152" s="92">
        <v>0</v>
      </c>
      <c r="E152" s="92">
        <v>0</v>
      </c>
      <c r="F152" s="92">
        <v>0</v>
      </c>
      <c r="G152" s="92">
        <v>0</v>
      </c>
      <c r="H152" s="205"/>
      <c r="I152" s="92">
        <v>0</v>
      </c>
      <c r="J152" s="92">
        <v>0</v>
      </c>
      <c r="K152" s="92">
        <v>0</v>
      </c>
      <c r="L152" s="92">
        <v>0</v>
      </c>
      <c r="M152" s="92">
        <v>0</v>
      </c>
      <c r="N152" s="92">
        <v>0</v>
      </c>
      <c r="O152" s="92">
        <v>0</v>
      </c>
    </row>
    <row r="153" spans="1:22">
      <c r="A153" s="53" t="s">
        <v>866</v>
      </c>
      <c r="B153" s="93">
        <v>1134.6769999999999</v>
      </c>
      <c r="C153" s="93">
        <v>1519.5440000000001</v>
      </c>
      <c r="D153" s="93">
        <v>13.864000000000001</v>
      </c>
      <c r="E153" s="93">
        <v>34.002000000000002</v>
      </c>
      <c r="F153" s="93">
        <v>25.3</v>
      </c>
      <c r="G153" s="93">
        <v>13.226000000000001</v>
      </c>
      <c r="H153" s="205"/>
      <c r="I153" s="155">
        <v>13</v>
      </c>
      <c r="J153" s="155">
        <v>13</v>
      </c>
      <c r="K153" s="155">
        <v>13</v>
      </c>
      <c r="L153" s="155">
        <v>13</v>
      </c>
      <c r="M153" s="155">
        <v>13</v>
      </c>
      <c r="N153" s="155">
        <v>13</v>
      </c>
      <c r="O153" s="155">
        <v>13</v>
      </c>
    </row>
    <row r="154" spans="1:22">
      <c r="A154" s="45" t="s">
        <v>867</v>
      </c>
      <c r="B154" s="92">
        <v>575.30600000000004</v>
      </c>
      <c r="C154" s="92">
        <v>294.91399999999999</v>
      </c>
      <c r="D154" s="92">
        <v>327.37200000000001</v>
      </c>
      <c r="E154" s="92">
        <v>654.67200000000003</v>
      </c>
      <c r="F154" s="92">
        <v>1032.8510000000001</v>
      </c>
      <c r="G154" s="92">
        <v>1345.654</v>
      </c>
      <c r="H154" s="205"/>
      <c r="I154" s="99">
        <f t="shared" ref="I154:O154" si="86">I147</f>
        <v>1073.1553165595269</v>
      </c>
      <c r="J154" s="99">
        <f t="shared" si="86"/>
        <v>1042.7410497687124</v>
      </c>
      <c r="K154" s="99">
        <f t="shared" si="86"/>
        <v>1163.5466027606744</v>
      </c>
      <c r="L154" s="99">
        <f t="shared" si="86"/>
        <v>1416.9686383949447</v>
      </c>
      <c r="M154" s="99">
        <f t="shared" si="86"/>
        <v>1825.7011143047603</v>
      </c>
      <c r="N154" s="99">
        <f t="shared" si="86"/>
        <v>2405.4734841088157</v>
      </c>
      <c r="O154" s="99">
        <f t="shared" si="86"/>
        <v>3166.6096305767078</v>
      </c>
    </row>
    <row r="155" spans="1:22">
      <c r="A155" s="37" t="s">
        <v>393</v>
      </c>
      <c r="B155" s="93">
        <v>575.30600000000004</v>
      </c>
      <c r="C155" s="93">
        <v>294.91399999999999</v>
      </c>
      <c r="D155" s="93">
        <v>327.37200000000001</v>
      </c>
      <c r="E155" s="93">
        <v>654.67200000000003</v>
      </c>
      <c r="F155" s="93">
        <v>1032.8510000000001</v>
      </c>
      <c r="G155" s="93">
        <v>1345.654</v>
      </c>
      <c r="H155" s="205">
        <v>879</v>
      </c>
      <c r="I155" s="159">
        <f t="shared" ref="I155:O155" si="87">I154</f>
        <v>1073.1553165595269</v>
      </c>
      <c r="J155" s="159">
        <f t="shared" si="87"/>
        <v>1042.7410497687124</v>
      </c>
      <c r="K155" s="159">
        <f t="shared" si="87"/>
        <v>1163.5466027606744</v>
      </c>
      <c r="L155" s="159">
        <f t="shared" si="87"/>
        <v>1416.9686383949447</v>
      </c>
      <c r="M155" s="159">
        <f t="shared" si="87"/>
        <v>1825.7011143047603</v>
      </c>
      <c r="N155" s="159">
        <f t="shared" si="87"/>
        <v>2405.4734841088157</v>
      </c>
      <c r="O155" s="159">
        <f t="shared" si="87"/>
        <v>3166.6096305767078</v>
      </c>
    </row>
    <row r="156" spans="1:22">
      <c r="A156" s="32" t="s">
        <v>627</v>
      </c>
      <c r="B156" s="92">
        <v>3894.0720000000001</v>
      </c>
      <c r="C156" s="92">
        <v>2945.3440000000001</v>
      </c>
      <c r="D156" s="92">
        <v>3326.83</v>
      </c>
      <c r="E156" s="92">
        <v>4106.7790000000005</v>
      </c>
      <c r="F156" s="92">
        <v>5212.1329999999998</v>
      </c>
      <c r="G156" s="92">
        <v>6041.97</v>
      </c>
      <c r="H156" s="205"/>
      <c r="I156" s="136">
        <f t="shared" ref="I156:O156" si="88">I155+I145</f>
        <v>8276.2899774208545</v>
      </c>
      <c r="J156" s="136">
        <f t="shared" si="88"/>
        <v>8889.4714055965705</v>
      </c>
      <c r="K156" s="136">
        <f t="shared" si="88"/>
        <v>9772.249701433997</v>
      </c>
      <c r="L156" s="136">
        <f t="shared" si="88"/>
        <v>10781.343998951586</v>
      </c>
      <c r="M156" s="136">
        <f t="shared" si="88"/>
        <v>11675.383444169354</v>
      </c>
      <c r="N156" s="136">
        <f t="shared" si="88"/>
        <v>12543.458339276202</v>
      </c>
      <c r="O156" s="136">
        <f t="shared" si="88"/>
        <v>13288.799467142166</v>
      </c>
      <c r="P156" s="99"/>
      <c r="Q156" s="99"/>
      <c r="R156" s="99"/>
      <c r="S156" s="99"/>
      <c r="T156" s="99"/>
      <c r="U156" s="99"/>
      <c r="V156" s="99"/>
    </row>
    <row r="157" spans="1:22">
      <c r="A157" s="25" t="s">
        <v>512</v>
      </c>
      <c r="B157" s="25"/>
      <c r="C157" s="25"/>
      <c r="D157" s="25"/>
      <c r="E157" s="25"/>
      <c r="F157" s="25"/>
      <c r="G157" s="25"/>
      <c r="H157" s="205">
        <f ca="1">-H157</f>
        <v>0</v>
      </c>
      <c r="I157" s="1126" t="s">
        <v>989</v>
      </c>
      <c r="J157" s="1126"/>
      <c r="K157" s="1126"/>
      <c r="L157" s="1126"/>
      <c r="M157" s="1126"/>
      <c r="N157" s="1126"/>
      <c r="O157" s="1126"/>
    </row>
    <row r="158" spans="1:22">
      <c r="A158" s="32" t="s">
        <v>990</v>
      </c>
      <c r="B158" s="95">
        <v>2.3249599999999999</v>
      </c>
      <c r="C158" s="95">
        <v>1.1719299999999999</v>
      </c>
      <c r="D158" s="95">
        <v>1.2841800000000001</v>
      </c>
      <c r="E158" s="95">
        <v>2.54176</v>
      </c>
      <c r="F158" s="95">
        <v>3.9640200000000001</v>
      </c>
      <c r="G158" s="95">
        <v>5.1169399999999996</v>
      </c>
      <c r="H158" s="205" t="s">
        <v>269</v>
      </c>
      <c r="I158" s="1126"/>
      <c r="J158" s="1126"/>
      <c r="K158" s="1126"/>
      <c r="L158" s="1126"/>
      <c r="M158" s="1126"/>
      <c r="N158" s="1126"/>
      <c r="O158" s="1126"/>
    </row>
    <row r="159" spans="1:22">
      <c r="A159" s="56" t="s">
        <v>991</v>
      </c>
      <c r="B159" s="96">
        <v>-0.80632899999999996</v>
      </c>
      <c r="C159" s="96">
        <v>-2.2071939999999999</v>
      </c>
      <c r="D159" s="96">
        <v>-1.946852</v>
      </c>
      <c r="E159" s="96">
        <v>-0.54980300000000004</v>
      </c>
      <c r="F159" s="96">
        <v>-2.1299100000000002</v>
      </c>
      <c r="G159" s="96">
        <v>-0.77432100000000004</v>
      </c>
      <c r="H159" s="205" t="s">
        <v>269</v>
      </c>
      <c r="I159" s="1126"/>
      <c r="J159" s="1126"/>
      <c r="K159" s="1126"/>
      <c r="L159" s="1126"/>
      <c r="M159" s="1126"/>
      <c r="N159" s="1126"/>
      <c r="O159" s="1126"/>
    </row>
    <row r="160" spans="1:22">
      <c r="A160" s="20" t="s">
        <v>961</v>
      </c>
      <c r="B160" s="20"/>
      <c r="C160" s="20"/>
      <c r="D160" s="20"/>
      <c r="E160" s="20"/>
      <c r="F160" s="20"/>
      <c r="G160" s="20"/>
      <c r="H160" s="205" t="s">
        <v>269</v>
      </c>
      <c r="I160" s="1126"/>
      <c r="J160" s="1126"/>
      <c r="K160" s="1126"/>
      <c r="L160" s="1126"/>
      <c r="M160" s="1126"/>
      <c r="N160" s="1126"/>
      <c r="O160" s="1126"/>
    </row>
    <row r="161" spans="1:15">
      <c r="A161" s="59" t="s">
        <v>992</v>
      </c>
      <c r="B161" s="97">
        <v>-374.99299999999999</v>
      </c>
      <c r="C161" s="97">
        <v>-682.505</v>
      </c>
      <c r="D161" s="93">
        <v>302.89699999999999</v>
      </c>
      <c r="E161" s="93">
        <v>708.774</v>
      </c>
      <c r="F161" s="93">
        <v>436.96800000000002</v>
      </c>
      <c r="G161" s="93">
        <v>660.14499999999998</v>
      </c>
      <c r="H161" s="205" t="s">
        <v>269</v>
      </c>
      <c r="I161" s="1126"/>
      <c r="J161" s="1126"/>
      <c r="K161" s="1126"/>
      <c r="L161" s="1126"/>
      <c r="M161" s="1126"/>
      <c r="N161" s="1126"/>
      <c r="O161" s="1126"/>
    </row>
    <row r="162" spans="1:15">
      <c r="A162" s="20" t="s">
        <v>993</v>
      </c>
      <c r="B162" s="92">
        <v>1729.057</v>
      </c>
      <c r="C162" s="92">
        <v>900.26199999999994</v>
      </c>
      <c r="D162" s="92">
        <v>1641.8630000000001</v>
      </c>
      <c r="E162" s="92">
        <v>1937.03</v>
      </c>
      <c r="F162" s="92">
        <v>2282.1889999999999</v>
      </c>
      <c r="G162" s="92">
        <v>2584.9850000000001</v>
      </c>
      <c r="H162" s="205" t="s">
        <v>269</v>
      </c>
      <c r="I162" s="1126"/>
      <c r="J162" s="1126"/>
      <c r="K162" s="1126"/>
      <c r="L162" s="1126"/>
      <c r="M162" s="1126"/>
      <c r="N162" s="1126"/>
      <c r="O162" s="1126"/>
    </row>
    <row r="163" spans="1:15">
      <c r="A163" s="59" t="s">
        <v>392</v>
      </c>
      <c r="B163" s="93">
        <v>1153.751</v>
      </c>
      <c r="C163" s="93">
        <v>605.34799999999996</v>
      </c>
      <c r="D163" s="93">
        <v>1314.491</v>
      </c>
      <c r="E163" s="93">
        <v>1282.3579999999999</v>
      </c>
      <c r="F163" s="93">
        <v>1249.338</v>
      </c>
      <c r="G163" s="93">
        <v>1239.3309999999999</v>
      </c>
      <c r="H163" s="205" t="s">
        <v>269</v>
      </c>
      <c r="I163" s="1126"/>
      <c r="J163" s="1126"/>
      <c r="K163" s="1126"/>
      <c r="L163" s="1126"/>
      <c r="M163" s="1126"/>
      <c r="N163" s="1126"/>
      <c r="O163" s="1126"/>
    </row>
    <row r="164" spans="1:15">
      <c r="A164" s="20" t="s">
        <v>881</v>
      </c>
      <c r="B164" s="94">
        <v>-1002.29</v>
      </c>
      <c r="C164" s="94">
        <v>-626.88</v>
      </c>
      <c r="D164" s="94">
        <v>-144.06800000000001</v>
      </c>
      <c r="E164" s="94">
        <v>-830.19200000000001</v>
      </c>
      <c r="F164" s="94">
        <v>-1089.5650000000001</v>
      </c>
      <c r="G164" s="94">
        <v>-1697.8109999999999</v>
      </c>
      <c r="H164" s="205" t="s">
        <v>269</v>
      </c>
      <c r="I164" s="1126"/>
      <c r="J164" s="1126"/>
      <c r="K164" s="1126"/>
      <c r="L164" s="1126"/>
      <c r="M164" s="1126"/>
      <c r="N164" s="1126"/>
      <c r="O164" s="1126"/>
    </row>
    <row r="165" spans="1:15">
      <c r="A165" s="25" t="s">
        <v>994</v>
      </c>
      <c r="B165" s="25"/>
      <c r="C165" s="25"/>
      <c r="D165" s="25"/>
      <c r="E165" s="25"/>
      <c r="F165" s="25"/>
      <c r="G165" s="25"/>
      <c r="H165" s="205" t="s">
        <v>269</v>
      </c>
      <c r="I165" s="1126"/>
      <c r="J165" s="1126"/>
      <c r="K165" s="1126"/>
      <c r="L165" s="1126"/>
      <c r="M165" s="1126"/>
      <c r="N165" s="1126"/>
      <c r="O165" s="1126"/>
    </row>
    <row r="166" spans="1:15">
      <c r="A166" s="32" t="s">
        <v>995</v>
      </c>
      <c r="B166" s="95">
        <v>24.471260000000001</v>
      </c>
      <c r="C166" s="95">
        <v>27.214019</v>
      </c>
      <c r="D166" s="95">
        <v>32.001806999999999</v>
      </c>
      <c r="E166" s="95">
        <v>40.572485</v>
      </c>
      <c r="F166" s="95">
        <v>46.298132000000003</v>
      </c>
      <c r="G166" s="95">
        <v>49.212674</v>
      </c>
      <c r="H166" s="205" t="s">
        <v>269</v>
      </c>
      <c r="I166" s="1126"/>
      <c r="J166" s="1126"/>
      <c r="K166" s="1126"/>
      <c r="L166" s="1126"/>
      <c r="M166" s="1126"/>
      <c r="N166" s="1126"/>
      <c r="O166" s="1126"/>
    </row>
    <row r="167" spans="1:15">
      <c r="A167" s="56" t="s">
        <v>996</v>
      </c>
      <c r="B167" s="82">
        <v>36.192005999999999</v>
      </c>
      <c r="C167" s="82">
        <v>37.427835999999999</v>
      </c>
      <c r="D167" s="82">
        <v>48.019365999999998</v>
      </c>
      <c r="E167" s="82">
        <v>68.348219999999998</v>
      </c>
      <c r="F167" s="82">
        <v>75.410106999999996</v>
      </c>
      <c r="G167" s="82">
        <v>80.286833000000001</v>
      </c>
      <c r="H167" s="205" t="s">
        <v>269</v>
      </c>
      <c r="I167" s="1126"/>
      <c r="J167" s="1126"/>
      <c r="K167" s="1126"/>
      <c r="L167" s="1126"/>
      <c r="M167" s="1126"/>
      <c r="N167" s="1126"/>
      <c r="O167" s="1126"/>
    </row>
    <row r="168" spans="1:15">
      <c r="A168" s="65" t="s">
        <v>997</v>
      </c>
      <c r="B168" s="65"/>
      <c r="C168" s="65"/>
      <c r="D168" s="65"/>
      <c r="E168" s="65"/>
      <c r="F168" s="65"/>
      <c r="G168" s="65"/>
      <c r="H168" s="205" t="s">
        <v>269</v>
      </c>
      <c r="I168" s="1126"/>
      <c r="J168" s="1126"/>
      <c r="K168" s="1126"/>
      <c r="L168" s="1126"/>
      <c r="M168" s="1126"/>
      <c r="N168" s="1126"/>
      <c r="O168" s="1126"/>
    </row>
    <row r="169" spans="1:15">
      <c r="A169" s="56" t="s">
        <v>998</v>
      </c>
      <c r="B169" s="82">
        <v>3.7589999999999999</v>
      </c>
      <c r="C169" s="82">
        <v>2.9350000000000001</v>
      </c>
      <c r="D169" s="59"/>
      <c r="E169" s="59"/>
      <c r="F169" s="59"/>
      <c r="G169" s="59"/>
      <c r="H169" s="205" t="s">
        <v>269</v>
      </c>
      <c r="I169" s="1126"/>
      <c r="J169" s="1126"/>
      <c r="K169" s="1126"/>
      <c r="L169" s="1126"/>
      <c r="M169" s="1126"/>
      <c r="N169" s="1126"/>
      <c r="O169" s="1126"/>
    </row>
    <row r="170" spans="1:15">
      <c r="A170" s="65" t="s">
        <v>999</v>
      </c>
      <c r="B170" s="65"/>
      <c r="C170" s="65"/>
      <c r="D170" s="65"/>
      <c r="E170" s="65"/>
      <c r="F170" s="65"/>
      <c r="G170" s="65"/>
      <c r="H170" s="205" t="s">
        <v>269</v>
      </c>
      <c r="I170" s="1126"/>
      <c r="J170" s="1126"/>
      <c r="K170" s="1126"/>
      <c r="L170" s="1126"/>
      <c r="M170" s="1126"/>
      <c r="N170" s="1126"/>
      <c r="O170" s="1126"/>
    </row>
    <row r="171" spans="1:15">
      <c r="A171" s="56" t="s">
        <v>963</v>
      </c>
      <c r="B171" s="38">
        <v>253.84995000000001</v>
      </c>
      <c r="C171" s="38">
        <v>312.44292000000002</v>
      </c>
      <c r="D171" s="38">
        <v>414.81162</v>
      </c>
      <c r="E171" s="38">
        <v>748.98873000000003</v>
      </c>
      <c r="F171" s="38">
        <v>854.33207000000004</v>
      </c>
      <c r="G171" s="38">
        <v>1076.1553799999999</v>
      </c>
      <c r="H171" s="205" t="s">
        <v>269</v>
      </c>
      <c r="I171" s="1126"/>
      <c r="J171" s="1126"/>
      <c r="K171" s="1126"/>
      <c r="L171" s="1126"/>
      <c r="M171" s="1126"/>
      <c r="N171" s="1126"/>
      <c r="O171" s="1126"/>
    </row>
    <row r="172" spans="1:15">
      <c r="A172" s="20" t="s">
        <v>1000</v>
      </c>
      <c r="B172" s="20"/>
      <c r="C172" s="20"/>
      <c r="D172" s="20"/>
      <c r="E172" s="20"/>
      <c r="F172" s="20"/>
      <c r="G172" s="20"/>
      <c r="H172" s="205" t="s">
        <v>269</v>
      </c>
      <c r="I172" s="1126"/>
      <c r="J172" s="1126"/>
      <c r="K172" s="1126"/>
      <c r="L172" s="1126"/>
      <c r="M172" s="1126"/>
      <c r="N172" s="1126"/>
      <c r="O172" s="1126"/>
    </row>
    <row r="173" spans="1:15">
      <c r="A173" s="25" t="s">
        <v>1001</v>
      </c>
      <c r="B173" s="40">
        <v>297.08199999999999</v>
      </c>
      <c r="C173" s="40">
        <v>282.423</v>
      </c>
      <c r="D173" s="25"/>
      <c r="E173" s="40">
        <v>309.86799999999999</v>
      </c>
      <c r="F173" s="25"/>
      <c r="G173" s="40">
        <v>272.11500000000001</v>
      </c>
      <c r="H173" s="205" t="s">
        <v>269</v>
      </c>
      <c r="I173" s="1126"/>
      <c r="J173" s="1126"/>
      <c r="K173" s="1126"/>
      <c r="L173" s="1126"/>
      <c r="M173" s="1126"/>
      <c r="N173" s="1126"/>
      <c r="O173" s="1126"/>
    </row>
    <row r="174" spans="1:15">
      <c r="A174" s="32" t="s">
        <v>1002</v>
      </c>
      <c r="B174" s="46">
        <v>41.584000000000003</v>
      </c>
      <c r="C174" s="46">
        <v>48.296999999999997</v>
      </c>
      <c r="D174" s="20"/>
      <c r="E174" s="46">
        <v>51.478999999999999</v>
      </c>
      <c r="F174" s="20"/>
      <c r="G174" s="46">
        <v>57.055999999999997</v>
      </c>
      <c r="H174" s="205" t="s">
        <v>269</v>
      </c>
      <c r="I174" s="1126"/>
      <c r="J174" s="1126"/>
      <c r="K174" s="1126"/>
      <c r="L174" s="1126"/>
      <c r="M174" s="1126"/>
      <c r="N174" s="1126"/>
      <c r="O174" s="1126"/>
    </row>
    <row r="175" spans="1:15">
      <c r="A175" s="56" t="s">
        <v>1003</v>
      </c>
      <c r="B175" s="38">
        <v>54.325000000000003</v>
      </c>
      <c r="C175" s="38">
        <v>65.227000000000004</v>
      </c>
      <c r="D175" s="59"/>
      <c r="E175" s="59"/>
      <c r="F175" s="59"/>
      <c r="G175" s="59"/>
      <c r="H175" s="205" t="s">
        <v>269</v>
      </c>
      <c r="I175" s="1126"/>
      <c r="J175" s="1126"/>
      <c r="K175" s="1126"/>
      <c r="L175" s="1126"/>
      <c r="M175" s="1126"/>
      <c r="N175" s="1126"/>
      <c r="O175" s="1126"/>
    </row>
    <row r="176" spans="1:15">
      <c r="A176" s="32" t="s">
        <v>1004</v>
      </c>
      <c r="B176" s="20"/>
      <c r="C176" s="20"/>
      <c r="D176" s="20"/>
      <c r="E176" s="46">
        <v>49.078000000000003</v>
      </c>
      <c r="F176" s="20"/>
      <c r="G176" s="46">
        <v>57.223999999999997</v>
      </c>
      <c r="H176" s="205" t="s">
        <v>269</v>
      </c>
      <c r="I176" s="1126"/>
      <c r="J176" s="1126"/>
      <c r="K176" s="1126"/>
      <c r="L176" s="1126"/>
      <c r="M176" s="1126"/>
      <c r="N176" s="1126"/>
      <c r="O176" s="1126"/>
    </row>
    <row r="177" spans="1:15">
      <c r="A177" s="56" t="s">
        <v>1005</v>
      </c>
      <c r="B177" s="38">
        <v>109.015</v>
      </c>
      <c r="C177" s="38">
        <v>77.768000000000001</v>
      </c>
      <c r="D177" s="59"/>
      <c r="E177" s="38">
        <v>42.305999999999997</v>
      </c>
      <c r="F177" s="59"/>
      <c r="G177" s="38">
        <v>56.667000000000002</v>
      </c>
      <c r="H177" s="205" t="s">
        <v>269</v>
      </c>
      <c r="I177" s="1126"/>
      <c r="J177" s="1126"/>
      <c r="K177" s="1126"/>
      <c r="L177" s="1126"/>
      <c r="M177" s="1126"/>
      <c r="N177" s="1126"/>
      <c r="O177" s="1126"/>
    </row>
    <row r="178" spans="1:15">
      <c r="A178" s="32" t="s">
        <v>1006</v>
      </c>
      <c r="B178" s="20"/>
      <c r="C178" s="20"/>
      <c r="D178" s="20"/>
      <c r="E178" s="46">
        <v>37.533999999999999</v>
      </c>
      <c r="F178" s="20"/>
      <c r="G178" s="46">
        <v>46.237000000000002</v>
      </c>
      <c r="H178" s="205" t="s">
        <v>269</v>
      </c>
      <c r="I178" s="1126"/>
      <c r="J178" s="1126"/>
      <c r="K178" s="1126"/>
      <c r="L178" s="1126"/>
      <c r="M178" s="1126"/>
      <c r="N178" s="1126"/>
      <c r="O178" s="1126"/>
    </row>
    <row r="179" spans="1:15">
      <c r="A179" s="56" t="s">
        <v>1007</v>
      </c>
      <c r="B179" s="59"/>
      <c r="C179" s="59"/>
      <c r="D179" s="59"/>
      <c r="E179" s="38">
        <v>38.600999999999999</v>
      </c>
      <c r="F179" s="59"/>
      <c r="G179" s="38">
        <v>16.187999999999999</v>
      </c>
      <c r="H179" s="205" t="s">
        <v>269</v>
      </c>
      <c r="I179" s="1126"/>
      <c r="J179" s="1126"/>
      <c r="K179" s="1126"/>
      <c r="L179" s="1126"/>
      <c r="M179" s="1126"/>
      <c r="N179" s="1126"/>
      <c r="O179" s="1126"/>
    </row>
    <row r="180" spans="1:15">
      <c r="A180" s="32" t="s">
        <v>1008</v>
      </c>
      <c r="B180" s="46">
        <v>92.158000000000001</v>
      </c>
      <c r="C180" s="46">
        <v>91.131</v>
      </c>
      <c r="D180" s="20"/>
      <c r="E180" s="46">
        <v>90.87</v>
      </c>
      <c r="F180" s="20"/>
      <c r="G180" s="46">
        <v>38.743000000000002</v>
      </c>
      <c r="H180" s="205" t="s">
        <v>269</v>
      </c>
      <c r="I180" s="1126"/>
      <c r="J180" s="1126"/>
      <c r="K180" s="1126"/>
      <c r="L180" s="1126"/>
      <c r="M180" s="1126"/>
      <c r="N180" s="1126"/>
      <c r="O180" s="1126"/>
    </row>
    <row r="181" spans="1:15">
      <c r="A181" s="59" t="s">
        <v>1009</v>
      </c>
      <c r="B181" s="38">
        <v>923.92600000000004</v>
      </c>
      <c r="C181" s="38">
        <v>391.245</v>
      </c>
      <c r="D181" s="38">
        <v>0</v>
      </c>
      <c r="E181" s="38">
        <v>37.5</v>
      </c>
      <c r="F181" s="38">
        <v>0</v>
      </c>
      <c r="G181" s="38">
        <v>0</v>
      </c>
      <c r="H181" s="205" t="s">
        <v>269</v>
      </c>
      <c r="I181" s="1126"/>
      <c r="J181" s="1126"/>
      <c r="K181" s="1126"/>
      <c r="L181" s="1126"/>
      <c r="M181" s="1126"/>
      <c r="N181" s="1126"/>
      <c r="O181" s="1126"/>
    </row>
    <row r="182" spans="1:15">
      <c r="A182" s="84" t="s">
        <v>887</v>
      </c>
      <c r="C182" s="85"/>
      <c r="D182" s="85"/>
      <c r="E182" s="85"/>
      <c r="F182" s="85"/>
      <c r="I182" s="1126"/>
      <c r="J182" s="1126"/>
      <c r="K182" s="1126"/>
      <c r="L182" s="1126"/>
      <c r="M182" s="1126"/>
      <c r="N182" s="1126"/>
      <c r="O182" s="1126"/>
    </row>
    <row r="183" spans="1:15">
      <c r="A183" s="102" t="s">
        <v>1010</v>
      </c>
      <c r="B183" s="88"/>
      <c r="C183" s="88"/>
      <c r="D183" s="88"/>
      <c r="E183" s="88"/>
      <c r="F183" s="88"/>
      <c r="G183" s="88"/>
      <c r="H183" s="102"/>
      <c r="I183" s="159">
        <f t="shared" ref="I183:O183" si="89">I126-I156</f>
        <v>0</v>
      </c>
      <c r="J183" s="159">
        <f t="shared" si="89"/>
        <v>0</v>
      </c>
      <c r="K183" s="159">
        <f t="shared" si="89"/>
        <v>0</v>
      </c>
      <c r="L183" s="159">
        <f t="shared" si="89"/>
        <v>0</v>
      </c>
      <c r="M183" s="159">
        <f t="shared" si="89"/>
        <v>0</v>
      </c>
      <c r="N183" s="159">
        <f t="shared" si="89"/>
        <v>0</v>
      </c>
      <c r="O183" s="159">
        <f t="shared" si="89"/>
        <v>0</v>
      </c>
    </row>
    <row r="184" spans="1:15">
      <c r="H184" s="202" t="s">
        <v>193</v>
      </c>
      <c r="I184" s="171">
        <f t="shared" ref="I184:O184" si="90">U13/U7</f>
        <v>6.7519871869711798E-2</v>
      </c>
      <c r="J184" s="171">
        <f t="shared" si="90"/>
        <v>7.4491666356556338E-2</v>
      </c>
      <c r="K184" s="171">
        <f t="shared" si="90"/>
        <v>9.9480449320295775E-2</v>
      </c>
      <c r="L184" s="171">
        <f t="shared" si="90"/>
        <v>0.10783192778162946</v>
      </c>
      <c r="M184" s="171">
        <f t="shared" si="90"/>
        <v>0.10698767107987868</v>
      </c>
      <c r="N184" s="171">
        <f t="shared" si="90"/>
        <v>0.1083188451017979</v>
      </c>
      <c r="O184" s="171">
        <f t="shared" si="90"/>
        <v>0.1012072017083806</v>
      </c>
    </row>
    <row r="185" spans="1:15">
      <c r="A185" s="161" t="s">
        <v>1011</v>
      </c>
      <c r="B185" s="88"/>
      <c r="C185" s="88"/>
      <c r="D185" s="88"/>
      <c r="E185" s="88"/>
      <c r="F185" s="88"/>
      <c r="G185" s="102" t="s">
        <v>1012</v>
      </c>
      <c r="H185" s="102"/>
      <c r="I185" s="162">
        <v>0.215</v>
      </c>
      <c r="J185" s="162">
        <f t="shared" ref="J185:O185" si="91">I185-0.01</f>
        <v>0.20499999999999999</v>
      </c>
      <c r="K185" s="162">
        <f t="shared" si="91"/>
        <v>0.19499999999999998</v>
      </c>
      <c r="L185" s="162">
        <f t="shared" si="91"/>
        <v>0.18499999999999997</v>
      </c>
      <c r="M185" s="162">
        <f t="shared" si="91"/>
        <v>0.17499999999999996</v>
      </c>
      <c r="N185" s="162">
        <f t="shared" si="91"/>
        <v>0.16499999999999995</v>
      </c>
      <c r="O185" s="162">
        <f t="shared" si="91"/>
        <v>0.15499999999999994</v>
      </c>
    </row>
    <row r="186" spans="1:15">
      <c r="B186" s="88"/>
      <c r="C186" s="88"/>
      <c r="D186" s="88"/>
      <c r="E186" s="88"/>
      <c r="F186" s="88"/>
      <c r="G186" s="102" t="s">
        <v>1013</v>
      </c>
      <c r="H186" s="102"/>
      <c r="I186" s="163">
        <f t="shared" ref="I186:O186" si="92">I185*I31</f>
        <v>1389.720097075</v>
      </c>
      <c r="J186" s="163">
        <f t="shared" si="92"/>
        <v>1505.2623313313247</v>
      </c>
      <c r="K186" s="163">
        <f t="shared" si="92"/>
        <v>1670.3919649091022</v>
      </c>
      <c r="L186" s="163">
        <f t="shared" si="92"/>
        <v>1844.1221680235217</v>
      </c>
      <c r="M186" s="163">
        <f t="shared" si="92"/>
        <v>1970.7396292104445</v>
      </c>
      <c r="N186" s="163">
        <f t="shared" si="92"/>
        <v>2058.2690325791996</v>
      </c>
      <c r="O186" s="163">
        <f t="shared" si="92"/>
        <v>2076.292957669144</v>
      </c>
    </row>
    <row r="187" spans="1:15">
      <c r="A187" t="s">
        <v>1014</v>
      </c>
      <c r="B187" s="88"/>
      <c r="C187" s="88"/>
      <c r="D187" s="88"/>
      <c r="E187" s="88"/>
      <c r="F187" s="88"/>
      <c r="G187" s="102"/>
      <c r="H187" s="102">
        <f>100%</f>
        <v>1</v>
      </c>
      <c r="I187" s="163">
        <f>MIN(I186,$H$187*(I210+I212))</f>
        <v>1389.720097075</v>
      </c>
      <c r="J187" s="163">
        <f t="shared" ref="J187:O187" si="93">MIN(J186,$H$187*(J210+J212))</f>
        <v>1505.2623313313247</v>
      </c>
      <c r="K187" s="163">
        <f t="shared" si="93"/>
        <v>1670.3919649091022</v>
      </c>
      <c r="L187" s="163">
        <f t="shared" si="93"/>
        <v>1844.1221680235217</v>
      </c>
      <c r="M187" s="163">
        <f t="shared" si="93"/>
        <v>1970.7396292104445</v>
      </c>
      <c r="N187" s="163">
        <f t="shared" si="93"/>
        <v>2058.2690325791996</v>
      </c>
      <c r="O187" s="163">
        <f t="shared" si="93"/>
        <v>2076.292957669144</v>
      </c>
    </row>
    <row r="188" spans="1:15">
      <c r="A188" s="16" t="s">
        <v>1015</v>
      </c>
      <c r="B188" s="16"/>
      <c r="C188" s="16"/>
      <c r="D188" s="16"/>
      <c r="E188" s="16"/>
      <c r="F188" s="16"/>
      <c r="G188" s="16"/>
      <c r="H188" s="16"/>
      <c r="I188" s="14" t="s">
        <v>903</v>
      </c>
      <c r="J188" s="14"/>
      <c r="K188" s="14"/>
      <c r="L188" s="14"/>
      <c r="M188" s="14"/>
      <c r="N188" s="14"/>
      <c r="O188" s="15"/>
    </row>
    <row r="189" spans="1:15">
      <c r="A189" s="16" t="s">
        <v>783</v>
      </c>
      <c r="B189" s="16"/>
      <c r="C189" s="16"/>
      <c r="D189" s="16"/>
      <c r="E189" s="16"/>
      <c r="F189" s="16"/>
      <c r="G189" s="16"/>
      <c r="H189" s="16"/>
      <c r="I189" s="17"/>
      <c r="J189" s="17"/>
      <c r="K189" s="17"/>
      <c r="L189" s="17"/>
      <c r="M189" s="17"/>
      <c r="N189" s="17"/>
      <c r="O189" s="15"/>
    </row>
    <row r="190" spans="1:15">
      <c r="A190" s="16" t="s">
        <v>906</v>
      </c>
      <c r="B190" s="16"/>
      <c r="C190" s="16"/>
      <c r="D190" s="16"/>
      <c r="E190" s="16"/>
      <c r="F190" s="16"/>
      <c r="G190" s="16"/>
      <c r="H190" s="16"/>
      <c r="I190" s="17"/>
      <c r="J190" s="17"/>
      <c r="K190" s="17"/>
      <c r="L190" s="17"/>
      <c r="M190" s="17"/>
      <c r="N190" s="17"/>
      <c r="O190" s="15"/>
    </row>
    <row r="191" spans="1:15">
      <c r="A191" s="13" t="s">
        <v>926</v>
      </c>
      <c r="B191" s="16" t="s">
        <v>911</v>
      </c>
      <c r="C191" s="16" t="s">
        <v>912</v>
      </c>
      <c r="D191" s="16" t="s">
        <v>913</v>
      </c>
      <c r="E191" s="16" t="s">
        <v>914</v>
      </c>
      <c r="F191" s="16" t="s">
        <v>915</v>
      </c>
      <c r="G191" s="16" t="s">
        <v>916</v>
      </c>
      <c r="H191" s="16" t="s">
        <v>917</v>
      </c>
      <c r="I191" s="13" t="s">
        <v>918</v>
      </c>
      <c r="J191" s="13" t="s">
        <v>919</v>
      </c>
      <c r="K191" s="13" t="s">
        <v>920</v>
      </c>
      <c r="L191" s="13" t="s">
        <v>921</v>
      </c>
      <c r="M191" s="13" t="s">
        <v>922</v>
      </c>
      <c r="N191" s="13" t="s">
        <v>923</v>
      </c>
      <c r="O191" s="13" t="s">
        <v>924</v>
      </c>
    </row>
    <row r="192" spans="1:15">
      <c r="A192" s="16"/>
      <c r="B192" s="16"/>
      <c r="C192" s="16"/>
      <c r="D192" s="16"/>
      <c r="E192" s="16"/>
      <c r="F192" s="16"/>
      <c r="G192" s="16"/>
      <c r="H192" s="16" t="s">
        <v>1016</v>
      </c>
      <c r="I192" s="17"/>
      <c r="J192" s="17"/>
      <c r="K192" s="17"/>
      <c r="L192" s="17"/>
      <c r="M192" s="17"/>
      <c r="N192" s="17"/>
      <c r="O192" s="15"/>
    </row>
    <row r="193" spans="1:16">
      <c r="A193" s="16"/>
      <c r="B193" s="16"/>
      <c r="C193" s="16"/>
      <c r="D193" s="16" t="s">
        <v>928</v>
      </c>
      <c r="E193" s="16"/>
      <c r="F193" s="16" t="s">
        <v>928</v>
      </c>
      <c r="G193" s="16"/>
      <c r="H193" s="22" t="s">
        <v>929</v>
      </c>
      <c r="I193" s="17"/>
      <c r="J193" s="17"/>
      <c r="K193" s="17"/>
      <c r="L193" s="17"/>
      <c r="M193" s="17"/>
      <c r="N193" s="17"/>
      <c r="O193" s="15"/>
      <c r="P193" s="88"/>
    </row>
    <row r="194" spans="1:16">
      <c r="A194" s="25" t="s">
        <v>629</v>
      </c>
      <c r="B194" s="25"/>
      <c r="C194" s="25"/>
      <c r="D194" s="25"/>
      <c r="E194" s="25"/>
      <c r="F194" s="25"/>
      <c r="G194" s="25"/>
      <c r="H194" s="25"/>
    </row>
    <row r="195" spans="1:16">
      <c r="A195" s="32" t="s">
        <v>1017</v>
      </c>
      <c r="B195" s="33">
        <v>-346.209</v>
      </c>
      <c r="C195" s="33">
        <v>-634.66399999999999</v>
      </c>
      <c r="D195" s="33">
        <v>-519.51</v>
      </c>
      <c r="E195" s="33">
        <v>-486.76100000000002</v>
      </c>
      <c r="F195" s="33">
        <v>-300.51900000000001</v>
      </c>
      <c r="G195" s="33">
        <v>-256.68700000000001</v>
      </c>
      <c r="H195" s="34">
        <v>-229.64313000000001</v>
      </c>
      <c r="I195" s="136">
        <f t="shared" ref="I195:O195" si="94">I64</f>
        <v>-260.2696834404735</v>
      </c>
      <c r="J195" s="136">
        <f t="shared" si="94"/>
        <v>-30.414266790814594</v>
      </c>
      <c r="K195" s="136">
        <f t="shared" si="94"/>
        <v>120.80555299196203</v>
      </c>
      <c r="L195" s="136">
        <f t="shared" si="94"/>
        <v>253.42203563426938</v>
      </c>
      <c r="M195" s="136">
        <f t="shared" si="94"/>
        <v>408.73247590981589</v>
      </c>
      <c r="N195" s="136">
        <f t="shared" si="94"/>
        <v>579.7723698040561</v>
      </c>
      <c r="O195" s="136">
        <f t="shared" si="94"/>
        <v>761.13614646789131</v>
      </c>
    </row>
    <row r="196" spans="1:16">
      <c r="A196" s="32"/>
      <c r="B196" s="33"/>
      <c r="C196" s="33"/>
      <c r="D196" s="33"/>
      <c r="E196" s="33"/>
      <c r="F196" s="33"/>
      <c r="G196" s="33"/>
      <c r="H196" s="34"/>
    </row>
    <row r="197" spans="1:16">
      <c r="A197" s="32"/>
      <c r="B197" s="33"/>
      <c r="C197" s="33"/>
      <c r="D197" s="33"/>
      <c r="E197" s="33"/>
      <c r="F197" s="33"/>
      <c r="G197" s="33"/>
      <c r="H197" s="34"/>
    </row>
    <row r="198" spans="1:16">
      <c r="A198" s="39" t="s">
        <v>1018</v>
      </c>
      <c r="B198" s="40">
        <v>97.397999999999996</v>
      </c>
      <c r="C198" s="40">
        <v>92.847999999999999</v>
      </c>
      <c r="D198" s="40">
        <v>51.738999999999997</v>
      </c>
      <c r="E198" s="40">
        <v>60.923000000000002</v>
      </c>
      <c r="F198" s="40">
        <v>78.738</v>
      </c>
      <c r="G198" s="40">
        <v>92.375</v>
      </c>
      <c r="H198" s="41">
        <v>128.97036600000001</v>
      </c>
      <c r="I198" s="100">
        <f t="shared" ref="I198:O200" si="95">I38</f>
        <v>114.48898389468285</v>
      </c>
      <c r="J198" s="100">
        <f t="shared" si="95"/>
        <v>130.0568273650116</v>
      </c>
      <c r="K198" s="100">
        <f t="shared" si="95"/>
        <v>151.72550922663066</v>
      </c>
      <c r="L198" s="100">
        <f t="shared" si="95"/>
        <v>176.56018815391266</v>
      </c>
      <c r="M198" s="100">
        <f t="shared" si="95"/>
        <v>199.46468892136886</v>
      </c>
      <c r="N198" s="100">
        <f t="shared" si="95"/>
        <v>220.94949772822869</v>
      </c>
      <c r="O198" s="100">
        <f t="shared" si="95"/>
        <v>243.11348745460649</v>
      </c>
    </row>
    <row r="199" spans="1:16">
      <c r="A199" s="45" t="s">
        <v>1019</v>
      </c>
      <c r="B199" s="46">
        <v>54.863</v>
      </c>
      <c r="C199" s="46">
        <v>61.094000000000001</v>
      </c>
      <c r="D199" s="33">
        <v>-45.460999999999999</v>
      </c>
      <c r="E199" s="46">
        <v>27.795999999999999</v>
      </c>
      <c r="F199" s="46">
        <v>28.99</v>
      </c>
      <c r="G199" s="46">
        <v>36.857999999999997</v>
      </c>
      <c r="H199" s="47">
        <v>42.031528000000002</v>
      </c>
      <c r="I199" s="100">
        <f t="shared" si="95"/>
        <v>45.68156934657884</v>
      </c>
      <c r="J199" s="100">
        <f t="shared" si="95"/>
        <v>51.893202089522028</v>
      </c>
      <c r="K199" s="100">
        <f t="shared" si="95"/>
        <v>60.539094117187034</v>
      </c>
      <c r="L199" s="100">
        <f t="shared" si="95"/>
        <v>70.448231826543037</v>
      </c>
      <c r="M199" s="100">
        <f t="shared" si="95"/>
        <v>79.587220614493233</v>
      </c>
      <c r="N199" s="100">
        <f t="shared" si="95"/>
        <v>88.159746546869314</v>
      </c>
      <c r="O199" s="100">
        <f t="shared" si="95"/>
        <v>100.51881690743579</v>
      </c>
    </row>
    <row r="200" spans="1:16">
      <c r="A200" s="37" t="s">
        <v>1020</v>
      </c>
      <c r="B200" s="38">
        <v>42.534999999999997</v>
      </c>
      <c r="C200" s="38">
        <v>31.754000000000001</v>
      </c>
      <c r="D200" s="38">
        <v>97.2</v>
      </c>
      <c r="E200" s="38">
        <v>33.127000000000002</v>
      </c>
      <c r="F200" s="38">
        <v>49.747999999999998</v>
      </c>
      <c r="G200" s="38">
        <v>55.517000000000003</v>
      </c>
      <c r="H200" s="47">
        <v>86.938838000000004</v>
      </c>
      <c r="I200" s="100">
        <f t="shared" si="95"/>
        <v>68.807414548104006</v>
      </c>
      <c r="J200" s="100">
        <f t="shared" si="95"/>
        <v>78.163625275489565</v>
      </c>
      <c r="K200" s="100">
        <f t="shared" si="95"/>
        <v>91.186415109443629</v>
      </c>
      <c r="L200" s="100">
        <f t="shared" si="95"/>
        <v>106.11195632736963</v>
      </c>
      <c r="M200" s="100">
        <f t="shared" si="95"/>
        <v>119.87746830687561</v>
      </c>
      <c r="N200" s="100">
        <f t="shared" si="95"/>
        <v>132.78975118135938</v>
      </c>
      <c r="O200" s="100">
        <f t="shared" si="95"/>
        <v>142.59467054717069</v>
      </c>
    </row>
    <row r="201" spans="1:16">
      <c r="A201" s="30" t="s">
        <v>1021</v>
      </c>
      <c r="B201" s="31">
        <v>0</v>
      </c>
      <c r="C201" s="31">
        <v>0</v>
      </c>
      <c r="D201" s="31">
        <v>0</v>
      </c>
      <c r="E201" s="31">
        <v>0</v>
      </c>
      <c r="F201" s="31">
        <v>0.11899999999999999</v>
      </c>
      <c r="G201" s="31">
        <v>4.05</v>
      </c>
      <c r="H201" s="41">
        <v>-32.383972999999997</v>
      </c>
      <c r="I201" s="99">
        <f t="shared" ref="I201:O201" si="96">(I141-H141)-(I122-H122)</f>
        <v>0</v>
      </c>
      <c r="J201" s="99">
        <f t="shared" si="96"/>
        <v>0</v>
      </c>
      <c r="K201" s="99">
        <f t="shared" si="96"/>
        <v>0</v>
      </c>
      <c r="L201" s="99">
        <f t="shared" si="96"/>
        <v>0</v>
      </c>
      <c r="M201" s="99">
        <f t="shared" si="96"/>
        <v>0</v>
      </c>
      <c r="N201" s="99">
        <f t="shared" si="96"/>
        <v>0</v>
      </c>
      <c r="O201" s="99">
        <f t="shared" si="96"/>
        <v>0</v>
      </c>
    </row>
    <row r="202" spans="1:16">
      <c r="A202" s="37" t="s">
        <v>631</v>
      </c>
      <c r="B202" s="38">
        <v>0</v>
      </c>
      <c r="C202" s="38">
        <v>0</v>
      </c>
      <c r="D202" s="38">
        <v>0</v>
      </c>
      <c r="E202" s="38">
        <v>0</v>
      </c>
      <c r="F202" s="38">
        <v>0.11899999999999999</v>
      </c>
      <c r="G202" s="38">
        <v>4.05</v>
      </c>
      <c r="H202" s="34">
        <v>-32.383972999999997</v>
      </c>
      <c r="I202" s="99">
        <f t="shared" ref="I202:O202" si="97">I201</f>
        <v>0</v>
      </c>
      <c r="J202" s="99">
        <f t="shared" si="97"/>
        <v>0</v>
      </c>
      <c r="K202" s="99">
        <f t="shared" si="97"/>
        <v>0</v>
      </c>
      <c r="L202" s="99">
        <f t="shared" si="97"/>
        <v>0</v>
      </c>
      <c r="M202" s="99">
        <f t="shared" si="97"/>
        <v>0</v>
      </c>
      <c r="N202" s="99">
        <f t="shared" si="97"/>
        <v>0</v>
      </c>
      <c r="O202" s="99">
        <f t="shared" si="97"/>
        <v>0</v>
      </c>
    </row>
    <row r="203" spans="1:16">
      <c r="A203" s="32" t="s">
        <v>632</v>
      </c>
      <c r="B203" s="46">
        <v>673.75199999999995</v>
      </c>
      <c r="C203" s="46">
        <v>1091.6880000000001</v>
      </c>
      <c r="D203" s="46">
        <v>1035.578</v>
      </c>
      <c r="E203" s="46">
        <v>985.39300000000003</v>
      </c>
      <c r="F203" s="46">
        <v>1092.8320000000001</v>
      </c>
      <c r="G203" s="46">
        <v>1355.846</v>
      </c>
      <c r="H203" s="47">
        <v>1682.6539640000001</v>
      </c>
      <c r="I203" s="58">
        <f t="shared" ref="I203:O203" si="98">I186</f>
        <v>1389.720097075</v>
      </c>
      <c r="J203" s="58">
        <f t="shared" si="98"/>
        <v>1505.2623313313247</v>
      </c>
      <c r="K203" s="58">
        <f t="shared" si="98"/>
        <v>1670.3919649091022</v>
      </c>
      <c r="L203" s="58">
        <f t="shared" si="98"/>
        <v>1844.1221680235217</v>
      </c>
      <c r="M203" s="58">
        <f t="shared" si="98"/>
        <v>1970.7396292104445</v>
      </c>
      <c r="N203" s="58">
        <f t="shared" si="98"/>
        <v>2058.2690325791996</v>
      </c>
      <c r="O203" s="58">
        <f t="shared" si="98"/>
        <v>2076.292957669144</v>
      </c>
    </row>
    <row r="204" spans="1:16">
      <c r="A204" s="56" t="s">
        <v>634</v>
      </c>
      <c r="B204" s="38">
        <v>424.94099999999997</v>
      </c>
      <c r="C204" s="38">
        <v>549.87199999999996</v>
      </c>
      <c r="D204" s="38">
        <v>567.80700000000002</v>
      </c>
      <c r="E204" s="38">
        <v>559.55499999999995</v>
      </c>
      <c r="F204" s="38">
        <v>871.17</v>
      </c>
      <c r="G204" s="38">
        <v>1195.5840000000001</v>
      </c>
      <c r="H204" s="47">
        <v>1549.5972260000001</v>
      </c>
      <c r="I204" s="100">
        <f t="shared" ref="I204:O204" si="99">I195+I198+I201+I203</f>
        <v>1243.9393975292094</v>
      </c>
      <c r="J204" s="100">
        <f t="shared" si="99"/>
        <v>1604.9048919055217</v>
      </c>
      <c r="K204" s="100">
        <f t="shared" si="99"/>
        <v>1942.9230271276949</v>
      </c>
      <c r="L204" s="100">
        <f t="shared" si="99"/>
        <v>2274.1043918117039</v>
      </c>
      <c r="M204" s="100">
        <f t="shared" si="99"/>
        <v>2578.9367940416291</v>
      </c>
      <c r="N204" s="100">
        <f t="shared" si="99"/>
        <v>2858.9909001114843</v>
      </c>
      <c r="O204" s="100">
        <f t="shared" si="99"/>
        <v>3080.5425915916417</v>
      </c>
    </row>
    <row r="205" spans="1:16">
      <c r="A205" s="30" t="s">
        <v>635</v>
      </c>
      <c r="B205" s="31">
        <v>143.01900000000001</v>
      </c>
      <c r="C205" s="31">
        <v>284.95999999999998</v>
      </c>
      <c r="D205" s="31">
        <v>253.23699999999999</v>
      </c>
      <c r="E205" s="31">
        <v>308.55599999999998</v>
      </c>
      <c r="F205" s="31">
        <v>576.98900000000003</v>
      </c>
      <c r="G205" s="31">
        <v>264.80900000000003</v>
      </c>
      <c r="H205" s="41">
        <v>-232.13369800000001</v>
      </c>
      <c r="I205" s="58">
        <f t="shared" ref="I205:O205" si="100">SUM(I206:I209)</f>
        <v>570.2626091184261</v>
      </c>
      <c r="J205" s="58">
        <f t="shared" si="100"/>
        <v>401.45453112460279</v>
      </c>
      <c r="K205" s="58">
        <f t="shared" si="100"/>
        <v>558.77941819136106</v>
      </c>
      <c r="L205" s="58">
        <f t="shared" si="100"/>
        <v>640.42231689856044</v>
      </c>
      <c r="M205" s="58">
        <f t="shared" si="100"/>
        <v>590.64800039694069</v>
      </c>
      <c r="N205" s="58">
        <f t="shared" si="100"/>
        <v>554.0378063473371</v>
      </c>
      <c r="O205" s="58">
        <f t="shared" si="100"/>
        <v>420.70763703461728</v>
      </c>
    </row>
    <row r="206" spans="1:16">
      <c r="A206" s="37" t="s">
        <v>636</v>
      </c>
      <c r="B206" s="60">
        <v>-29.44</v>
      </c>
      <c r="C206" s="60">
        <v>-61.256</v>
      </c>
      <c r="D206" s="60">
        <v>-134.76400000000001</v>
      </c>
      <c r="E206" s="60">
        <v>-169.52600000000001</v>
      </c>
      <c r="F206" s="60">
        <v>-148.46899999999999</v>
      </c>
      <c r="G206" s="60">
        <v>-150.035</v>
      </c>
      <c r="H206" s="34">
        <v>-263.37790799999999</v>
      </c>
      <c r="I206" s="58">
        <f>-(I98-G98)</f>
        <v>-186.32051846494653</v>
      </c>
      <c r="J206" s="58">
        <f t="shared" ref="J206:O206" si="101">-(J97-I97)</f>
        <v>-131.16626477557566</v>
      </c>
      <c r="K206" s="58">
        <f t="shared" si="101"/>
        <v>-182.56864335872092</v>
      </c>
      <c r="L206" s="58">
        <f t="shared" si="101"/>
        <v>-209.24362953679497</v>
      </c>
      <c r="M206" s="58">
        <f t="shared" si="101"/>
        <v>-192.98098788971811</v>
      </c>
      <c r="N206" s="58">
        <f t="shared" si="101"/>
        <v>-181.01942802702706</v>
      </c>
      <c r="O206" s="58">
        <f t="shared" si="101"/>
        <v>-137.45678534952663</v>
      </c>
    </row>
    <row r="207" spans="1:16">
      <c r="A207" s="45" t="s">
        <v>609</v>
      </c>
      <c r="B207" s="46">
        <v>51.531999999999996</v>
      </c>
      <c r="C207" s="46">
        <v>64.899000000000001</v>
      </c>
      <c r="D207" s="46">
        <v>31.741</v>
      </c>
      <c r="E207" s="46">
        <v>78.902000000000001</v>
      </c>
      <c r="F207" s="46">
        <v>18.149999999999999</v>
      </c>
      <c r="G207" s="46">
        <v>42.872999999999998</v>
      </c>
      <c r="H207" s="47">
        <v>16.23631</v>
      </c>
      <c r="I207" s="100">
        <f>I130-G130</f>
        <v>53.167403638840625</v>
      </c>
      <c r="J207" s="100">
        <f t="shared" ref="J207:O208" si="102">J130-I130</f>
        <v>37.428887599591349</v>
      </c>
      <c r="K207" s="100">
        <f t="shared" si="102"/>
        <v>52.096789088072512</v>
      </c>
      <c r="L207" s="100">
        <f t="shared" si="102"/>
        <v>59.708617183414503</v>
      </c>
      <c r="M207" s="100">
        <f t="shared" si="102"/>
        <v>55.067998749075855</v>
      </c>
      <c r="N207" s="100">
        <f t="shared" si="102"/>
        <v>51.654713478030999</v>
      </c>
      <c r="O207" s="100">
        <f t="shared" si="102"/>
        <v>39.22391613004595</v>
      </c>
    </row>
    <row r="208" spans="1:16">
      <c r="A208" s="37" t="s">
        <v>637</v>
      </c>
      <c r="B208" s="59"/>
      <c r="C208" s="59"/>
      <c r="D208" s="38">
        <v>93.25</v>
      </c>
      <c r="E208" s="38">
        <v>74.611000000000004</v>
      </c>
      <c r="F208" s="38">
        <v>158.12299999999999</v>
      </c>
      <c r="G208" s="38">
        <v>90.988</v>
      </c>
      <c r="H208" s="47">
        <v>142.328937</v>
      </c>
      <c r="I208" s="100">
        <f>I131-G131</f>
        <v>8.7919693912435406</v>
      </c>
      <c r="J208" s="100">
        <f t="shared" si="102"/>
        <v>6.1893869476730003</v>
      </c>
      <c r="K208" s="100">
        <f t="shared" si="102"/>
        <v>8.614928390255173</v>
      </c>
      <c r="L208" s="100">
        <f t="shared" si="102"/>
        <v>9.8736499949483942</v>
      </c>
      <c r="M208" s="100">
        <f t="shared" si="102"/>
        <v>9.1062592171647765</v>
      </c>
      <c r="N208" s="100">
        <f t="shared" si="102"/>
        <v>8.5418250418482842</v>
      </c>
      <c r="O208" s="100">
        <f t="shared" si="102"/>
        <v>6.4862198719092419</v>
      </c>
    </row>
    <row r="209" spans="1:15">
      <c r="A209" s="45" t="s">
        <v>837</v>
      </c>
      <c r="B209" s="46">
        <v>120.92700000000001</v>
      </c>
      <c r="C209" s="46">
        <v>281.31700000000001</v>
      </c>
      <c r="D209" s="46">
        <v>263.01</v>
      </c>
      <c r="E209" s="46">
        <v>324.56900000000002</v>
      </c>
      <c r="F209" s="46">
        <v>549.18499999999995</v>
      </c>
      <c r="G209" s="46">
        <v>280.983</v>
      </c>
      <c r="H209" s="34">
        <v>-127.321037</v>
      </c>
      <c r="I209" s="99">
        <f>(-(I102-G102)-(I123-G123))+((I132-G132)+(I142-G142))</f>
        <v>694.62375455328845</v>
      </c>
      <c r="J209" s="99">
        <f t="shared" ref="J209:O209" si="103">(-(J102-I102)-(J123-I123))+((J132-I132)+(J142-I142))</f>
        <v>489.00252135291407</v>
      </c>
      <c r="K209" s="99">
        <f t="shared" si="103"/>
        <v>680.63634407175425</v>
      </c>
      <c r="L209" s="99">
        <f t="shared" si="103"/>
        <v>780.08367925699258</v>
      </c>
      <c r="M209" s="99">
        <f t="shared" si="103"/>
        <v>719.45473032041809</v>
      </c>
      <c r="N209" s="99">
        <f t="shared" si="103"/>
        <v>674.8606958544849</v>
      </c>
      <c r="O209" s="99">
        <f t="shared" si="103"/>
        <v>512.45428638218868</v>
      </c>
    </row>
    <row r="210" spans="1:15">
      <c r="A210" s="56" t="s">
        <v>641</v>
      </c>
      <c r="B210" s="38">
        <v>567.96</v>
      </c>
      <c r="C210" s="38">
        <v>834.83199999999999</v>
      </c>
      <c r="D210" s="38">
        <v>821.04399999999998</v>
      </c>
      <c r="E210" s="38">
        <v>868.11099999999999</v>
      </c>
      <c r="F210" s="38">
        <v>1448.1590000000001</v>
      </c>
      <c r="G210" s="38">
        <v>1460.393</v>
      </c>
      <c r="H210" s="47">
        <v>1317.463528</v>
      </c>
      <c r="I210" s="100">
        <f t="shared" ref="I210:O210" si="104">I204+I205</f>
        <v>1814.2020066476355</v>
      </c>
      <c r="J210" s="100">
        <f t="shared" si="104"/>
        <v>2006.3594230301246</v>
      </c>
      <c r="K210" s="100">
        <f t="shared" si="104"/>
        <v>2501.7024453190561</v>
      </c>
      <c r="L210" s="100">
        <f t="shared" si="104"/>
        <v>2914.5267087102643</v>
      </c>
      <c r="M210" s="100">
        <f t="shared" si="104"/>
        <v>3169.5847944385696</v>
      </c>
      <c r="N210" s="100">
        <f t="shared" si="104"/>
        <v>3413.0287064588215</v>
      </c>
      <c r="O210" s="100">
        <f t="shared" si="104"/>
        <v>3501.2502286262588</v>
      </c>
    </row>
    <row r="211" spans="1:15">
      <c r="A211" s="65" t="s">
        <v>642</v>
      </c>
      <c r="B211" s="65"/>
      <c r="C211" s="65"/>
      <c r="D211" s="65"/>
      <c r="E211" s="65"/>
      <c r="F211" s="65"/>
      <c r="G211" s="65"/>
      <c r="H211" s="66"/>
    </row>
    <row r="212" spans="1:15">
      <c r="A212" s="39" t="s">
        <v>643</v>
      </c>
      <c r="B212" s="40">
        <v>-35.709000000000003</v>
      </c>
      <c r="C212" s="40">
        <v>-33.32</v>
      </c>
      <c r="D212" s="40">
        <v>-74.600999999999999</v>
      </c>
      <c r="E212" s="40">
        <v>-25.812000000000001</v>
      </c>
      <c r="F212" s="40">
        <v>-33.112000000000002</v>
      </c>
      <c r="G212" s="40">
        <v>-44.85</v>
      </c>
      <c r="H212" s="41">
        <v>-46.656478999999997</v>
      </c>
      <c r="I212" s="101">
        <f>-(I106-G106+I39)</f>
        <v>-101.02984507896758</v>
      </c>
      <c r="J212" s="101">
        <f t="shared" ref="J212:O212" si="105">-(J106-I106+J39)</f>
        <v>-71.123178053824319</v>
      </c>
      <c r="K212" s="101">
        <f t="shared" si="105"/>
        <v>-98.995440259463265</v>
      </c>
      <c r="L212" s="101">
        <f t="shared" si="105"/>
        <v>-113.45959988749408</v>
      </c>
      <c r="M212" s="101">
        <f t="shared" si="105"/>
        <v>-104.64139682690042</v>
      </c>
      <c r="N212" s="101">
        <f t="shared" si="105"/>
        <v>-98.1553986674557</v>
      </c>
      <c r="O212" s="101">
        <f t="shared" si="105"/>
        <v>-141.51132209690451</v>
      </c>
    </row>
    <row r="213" spans="1:15">
      <c r="A213" s="45" t="s">
        <v>1022</v>
      </c>
      <c r="B213" s="33">
        <v>-35.709000000000003</v>
      </c>
      <c r="C213" s="33">
        <v>-31.52</v>
      </c>
      <c r="D213" s="33">
        <v>-70.582999999999998</v>
      </c>
      <c r="E213" s="33">
        <v>-25.652000000000001</v>
      </c>
      <c r="F213" s="33">
        <v>-33.112000000000002</v>
      </c>
      <c r="G213" s="33">
        <v>-44.85</v>
      </c>
      <c r="H213" s="34">
        <v>-46.656478999999997</v>
      </c>
      <c r="I213" s="101">
        <f t="shared" ref="I213:O213" si="106">I212</f>
        <v>-101.02984507896758</v>
      </c>
      <c r="J213" s="101">
        <f t="shared" si="106"/>
        <v>-71.123178053824319</v>
      </c>
      <c r="K213" s="101">
        <f t="shared" si="106"/>
        <v>-98.995440259463265</v>
      </c>
      <c r="L213" s="101">
        <f t="shared" si="106"/>
        <v>-113.45959988749408</v>
      </c>
      <c r="M213" s="101">
        <f t="shared" si="106"/>
        <v>-104.64139682690042</v>
      </c>
      <c r="N213" s="101">
        <f t="shared" si="106"/>
        <v>-98.1553986674557</v>
      </c>
      <c r="O213" s="101">
        <f t="shared" si="106"/>
        <v>-141.51132209690451</v>
      </c>
    </row>
    <row r="214" spans="1:15">
      <c r="A214" s="37" t="s">
        <v>1023</v>
      </c>
      <c r="B214" s="38">
        <v>0</v>
      </c>
      <c r="C214" s="60">
        <v>-1.8</v>
      </c>
      <c r="D214" s="60">
        <v>-4.0179999999999998</v>
      </c>
      <c r="E214" s="60">
        <v>-0.16</v>
      </c>
      <c r="F214" s="38">
        <v>0</v>
      </c>
      <c r="G214" s="38">
        <v>0</v>
      </c>
      <c r="H214" s="47">
        <v>0</v>
      </c>
      <c r="I214">
        <v>0</v>
      </c>
      <c r="J214">
        <v>0</v>
      </c>
      <c r="K214">
        <v>0</v>
      </c>
      <c r="L214">
        <v>0</v>
      </c>
      <c r="M214">
        <v>0</v>
      </c>
      <c r="N214">
        <v>0</v>
      </c>
      <c r="O214">
        <v>0</v>
      </c>
    </row>
    <row r="215" spans="1:15">
      <c r="A215" s="32" t="s">
        <v>644</v>
      </c>
      <c r="B215" s="33">
        <v>-53.972000000000001</v>
      </c>
      <c r="C215" s="33">
        <v>-91.769000000000005</v>
      </c>
      <c r="D215" s="33">
        <v>-19.411000000000001</v>
      </c>
      <c r="E215" s="33">
        <v>-5.7750000000000004</v>
      </c>
      <c r="F215" s="33">
        <v>-847.76700000000005</v>
      </c>
      <c r="G215" s="33">
        <v>-14.244999999999999</v>
      </c>
      <c r="H215" s="34">
        <v>-1242.8331619999999</v>
      </c>
      <c r="I215" s="136">
        <v>0</v>
      </c>
      <c r="J215">
        <f>0</f>
        <v>0</v>
      </c>
      <c r="K215">
        <v>0</v>
      </c>
      <c r="L215">
        <v>0</v>
      </c>
      <c r="M215">
        <v>0</v>
      </c>
      <c r="N215">
        <v>0</v>
      </c>
      <c r="O215">
        <v>0</v>
      </c>
    </row>
    <row r="216" spans="1:15">
      <c r="A216" s="39" t="s">
        <v>645</v>
      </c>
      <c r="B216" s="40">
        <v>-229.25</v>
      </c>
      <c r="C216" s="40">
        <v>381.733</v>
      </c>
      <c r="D216" s="40">
        <v>130.52799999999999</v>
      </c>
      <c r="E216" s="40">
        <v>30.329000000000001</v>
      </c>
      <c r="F216" s="40">
        <v>-82.867000000000004</v>
      </c>
      <c r="G216" s="40">
        <v>-283.22699999999998</v>
      </c>
      <c r="H216" s="41">
        <v>336.39912600000002</v>
      </c>
      <c r="I216" s="40">
        <v>0</v>
      </c>
      <c r="J216" s="40">
        <v>0</v>
      </c>
      <c r="K216" s="40">
        <v>0</v>
      </c>
      <c r="L216" s="40">
        <v>0</v>
      </c>
      <c r="M216" s="40">
        <v>0</v>
      </c>
      <c r="N216" s="40">
        <v>0</v>
      </c>
      <c r="O216" s="40">
        <v>0</v>
      </c>
    </row>
    <row r="217" spans="1:15">
      <c r="A217" s="45" t="s">
        <v>1024</v>
      </c>
      <c r="B217" s="46">
        <v>988.01599999999996</v>
      </c>
      <c r="C217" s="46">
        <v>122.04900000000001</v>
      </c>
      <c r="D217" s="46">
        <v>132.67099999999999</v>
      </c>
      <c r="E217" s="46">
        <v>44.25</v>
      </c>
      <c r="F217" s="46">
        <v>263.29700000000003</v>
      </c>
      <c r="G217" s="46">
        <v>439.065</v>
      </c>
      <c r="H217" s="47">
        <v>229.218558</v>
      </c>
      <c r="I217" s="136">
        <v>0</v>
      </c>
      <c r="J217" s="38">
        <v>0</v>
      </c>
      <c r="K217" s="38">
        <v>1</v>
      </c>
      <c r="L217" s="38">
        <v>2</v>
      </c>
      <c r="M217" s="38">
        <v>3</v>
      </c>
      <c r="N217" s="38">
        <v>4</v>
      </c>
      <c r="O217" s="38">
        <v>5</v>
      </c>
    </row>
    <row r="218" spans="1:15">
      <c r="A218" s="37" t="s">
        <v>1025</v>
      </c>
      <c r="B218" s="38">
        <v>758.76599999999996</v>
      </c>
      <c r="C218" s="38">
        <v>503.78199999999998</v>
      </c>
      <c r="D218" s="38">
        <v>263.19900000000001</v>
      </c>
      <c r="E218" s="38">
        <v>74.578999999999994</v>
      </c>
      <c r="F218" s="38">
        <v>180.43</v>
      </c>
      <c r="G218" s="38">
        <v>155.83799999999999</v>
      </c>
      <c r="H218" s="47">
        <v>565.61768400000005</v>
      </c>
      <c r="I218" s="136">
        <v>0</v>
      </c>
      <c r="J218">
        <f>0</f>
        <v>0</v>
      </c>
      <c r="K218">
        <f>0</f>
        <v>0</v>
      </c>
      <c r="L218">
        <f>0</f>
        <v>0</v>
      </c>
      <c r="M218">
        <f>0</f>
        <v>0</v>
      </c>
      <c r="N218">
        <f>0</f>
        <v>0</v>
      </c>
      <c r="O218">
        <f>0</f>
        <v>0</v>
      </c>
    </row>
    <row r="219" spans="1:15">
      <c r="A219" s="32" t="s">
        <v>647</v>
      </c>
      <c r="B219" s="33">
        <v>-318.93099999999998</v>
      </c>
      <c r="C219" s="46">
        <v>256.64400000000001</v>
      </c>
      <c r="D219" s="46">
        <v>36.515999999999998</v>
      </c>
      <c r="E219" s="33">
        <v>-1.258</v>
      </c>
      <c r="F219" s="33">
        <v>-963.74599999999998</v>
      </c>
      <c r="G219" s="33">
        <v>-342.322</v>
      </c>
      <c r="H219" s="34">
        <v>-953.09051399999998</v>
      </c>
      <c r="I219" s="136">
        <f t="shared" ref="I219:O219" si="107">I212+I215+I216</f>
        <v>-101.02984507896758</v>
      </c>
      <c r="J219" s="136">
        <f t="shared" si="107"/>
        <v>-71.123178053824319</v>
      </c>
      <c r="K219" s="136">
        <f t="shared" si="107"/>
        <v>-98.995440259463265</v>
      </c>
      <c r="L219" s="136">
        <f t="shared" si="107"/>
        <v>-113.45959988749408</v>
      </c>
      <c r="M219" s="136">
        <f t="shared" si="107"/>
        <v>-104.64139682690042</v>
      </c>
      <c r="N219" s="136">
        <f t="shared" si="107"/>
        <v>-98.1553986674557</v>
      </c>
      <c r="O219" s="136">
        <f t="shared" si="107"/>
        <v>-141.51132209690451</v>
      </c>
    </row>
    <row r="220" spans="1:15">
      <c r="A220" s="25" t="s">
        <v>648</v>
      </c>
      <c r="B220" s="158"/>
      <c r="C220" s="25"/>
      <c r="D220" s="25"/>
      <c r="E220" s="25"/>
      <c r="F220" s="25"/>
      <c r="G220" s="25"/>
      <c r="H220" s="66"/>
    </row>
    <row r="221" spans="1:15">
      <c r="A221" s="30" t="s">
        <v>1026</v>
      </c>
      <c r="B221" s="31">
        <v>1.802</v>
      </c>
      <c r="C221" s="31">
        <v>1.163</v>
      </c>
      <c r="D221" s="31">
        <v>0</v>
      </c>
      <c r="E221" s="31">
        <v>-150.006</v>
      </c>
      <c r="F221" s="31">
        <v>-395.25599999999997</v>
      </c>
      <c r="G221" s="31">
        <v>-779.43899999999996</v>
      </c>
      <c r="H221" s="41">
        <v>-1870.7552109999999</v>
      </c>
      <c r="I221" s="58">
        <f t="shared" ref="I221:O221" si="108">-I203</f>
        <v>-1389.720097075</v>
      </c>
      <c r="J221" s="58">
        <f t="shared" si="108"/>
        <v>-1505.2623313313247</v>
      </c>
      <c r="K221" s="58">
        <f t="shared" si="108"/>
        <v>-1670.3919649091022</v>
      </c>
      <c r="L221" s="58">
        <f t="shared" si="108"/>
        <v>-1844.1221680235217</v>
      </c>
      <c r="M221" s="58">
        <f t="shared" si="108"/>
        <v>-1970.7396292104445</v>
      </c>
      <c r="N221" s="58">
        <f t="shared" si="108"/>
        <v>-2058.2690325791996</v>
      </c>
      <c r="O221" s="58">
        <f t="shared" si="108"/>
        <v>-2076.292957669144</v>
      </c>
    </row>
    <row r="222" spans="1:15">
      <c r="A222" s="37" t="s">
        <v>1027</v>
      </c>
      <c r="B222" s="38">
        <v>0</v>
      </c>
      <c r="C222" s="38">
        <v>0</v>
      </c>
      <c r="D222" s="38">
        <v>0</v>
      </c>
      <c r="E222" s="60">
        <v>-150.006</v>
      </c>
      <c r="F222" s="60">
        <v>-395.25599999999997</v>
      </c>
      <c r="G222" s="60">
        <v>-779.43899999999996</v>
      </c>
      <c r="H222" s="34">
        <v>-1870.7552109999999</v>
      </c>
      <c r="I222" s="58">
        <f t="shared" ref="I222:O222" si="109">-I203</f>
        <v>-1389.720097075</v>
      </c>
      <c r="J222" s="58">
        <f t="shared" si="109"/>
        <v>-1505.2623313313247</v>
      </c>
      <c r="K222" s="58">
        <f t="shared" si="109"/>
        <v>-1670.3919649091022</v>
      </c>
      <c r="L222" s="58">
        <f t="shared" si="109"/>
        <v>-1844.1221680235217</v>
      </c>
      <c r="M222" s="58">
        <f t="shared" si="109"/>
        <v>-1970.7396292104445</v>
      </c>
      <c r="N222" s="58">
        <f t="shared" si="109"/>
        <v>-2058.2690325791996</v>
      </c>
      <c r="O222" s="58">
        <f t="shared" si="109"/>
        <v>-2076.292957669144</v>
      </c>
    </row>
    <row r="223" spans="1:15">
      <c r="A223" s="50" t="s">
        <v>1028</v>
      </c>
      <c r="B223" s="31">
        <v>1.802</v>
      </c>
      <c r="C223" s="31">
        <v>1.163</v>
      </c>
      <c r="D223" s="31">
        <v>0</v>
      </c>
      <c r="E223" s="31">
        <v>0</v>
      </c>
      <c r="F223" s="31">
        <v>0</v>
      </c>
      <c r="G223" s="31">
        <v>0</v>
      </c>
      <c r="H223" s="41">
        <v>0</v>
      </c>
      <c r="I223" s="136">
        <f t="shared" ref="I223:O229" si="110">G223</f>
        <v>0</v>
      </c>
      <c r="J223" s="136">
        <f t="shared" si="110"/>
        <v>0</v>
      </c>
      <c r="K223" s="136">
        <f t="shared" si="110"/>
        <v>0</v>
      </c>
      <c r="L223" s="136">
        <f t="shared" si="110"/>
        <v>0</v>
      </c>
      <c r="M223" s="136">
        <f t="shared" si="110"/>
        <v>0</v>
      </c>
      <c r="N223" s="136">
        <f t="shared" si="110"/>
        <v>0</v>
      </c>
      <c r="O223" s="136">
        <f t="shared" si="110"/>
        <v>0</v>
      </c>
    </row>
    <row r="224" spans="1:15">
      <c r="A224" s="53" t="s">
        <v>1029</v>
      </c>
      <c r="B224" s="38">
        <v>1.802</v>
      </c>
      <c r="C224" s="38">
        <v>1.163</v>
      </c>
      <c r="D224" s="38">
        <v>0</v>
      </c>
      <c r="E224" s="38">
        <v>0</v>
      </c>
      <c r="F224" s="38">
        <v>0</v>
      </c>
      <c r="G224" s="38">
        <v>0</v>
      </c>
      <c r="H224" s="47">
        <v>0</v>
      </c>
      <c r="I224" s="136">
        <f t="shared" si="110"/>
        <v>0</v>
      </c>
      <c r="J224" s="136">
        <f t="shared" si="110"/>
        <v>0</v>
      </c>
      <c r="K224" s="136">
        <f t="shared" si="110"/>
        <v>0</v>
      </c>
      <c r="L224" s="136">
        <f t="shared" si="110"/>
        <v>0</v>
      </c>
      <c r="M224" s="136">
        <f t="shared" si="110"/>
        <v>0</v>
      </c>
      <c r="N224" s="136">
        <f t="shared" si="110"/>
        <v>0</v>
      </c>
      <c r="O224" s="136">
        <f t="shared" si="110"/>
        <v>0</v>
      </c>
    </row>
    <row r="225" spans="1:16">
      <c r="A225" s="30" t="s">
        <v>650</v>
      </c>
      <c r="B225" s="31">
        <v>-2E-3</v>
      </c>
      <c r="C225" s="31">
        <v>-1803.2439999999999</v>
      </c>
      <c r="D225" s="31">
        <v>-548.68600000000004</v>
      </c>
      <c r="E225" s="31">
        <v>0</v>
      </c>
      <c r="F225" s="31">
        <v>-12.961</v>
      </c>
      <c r="G225" s="31">
        <v>0</v>
      </c>
      <c r="H225" s="41">
        <v>0</v>
      </c>
      <c r="I225" s="136">
        <f t="shared" si="110"/>
        <v>0</v>
      </c>
      <c r="J225" s="136">
        <f t="shared" si="110"/>
        <v>0</v>
      </c>
      <c r="K225" s="136">
        <f t="shared" si="110"/>
        <v>0</v>
      </c>
      <c r="L225" s="136">
        <f t="shared" si="110"/>
        <v>0</v>
      </c>
      <c r="M225" s="136">
        <f t="shared" si="110"/>
        <v>0</v>
      </c>
      <c r="N225" s="136">
        <f t="shared" si="110"/>
        <v>0</v>
      </c>
      <c r="O225" s="136">
        <f t="shared" si="110"/>
        <v>0</v>
      </c>
    </row>
    <row r="226" spans="1:16">
      <c r="A226" s="37" t="s">
        <v>651</v>
      </c>
      <c r="B226" s="60">
        <v>-2E-3</v>
      </c>
      <c r="C226" s="60">
        <v>-1803.2439999999999</v>
      </c>
      <c r="D226" s="38">
        <v>0</v>
      </c>
      <c r="E226" s="38">
        <v>0</v>
      </c>
      <c r="F226" s="38">
        <v>0</v>
      </c>
      <c r="G226" s="38">
        <v>0</v>
      </c>
      <c r="H226" s="47">
        <v>0</v>
      </c>
      <c r="I226" s="136">
        <f t="shared" si="110"/>
        <v>0</v>
      </c>
      <c r="J226" s="136">
        <f t="shared" si="110"/>
        <v>0</v>
      </c>
      <c r="K226" s="136">
        <f t="shared" si="110"/>
        <v>0</v>
      </c>
      <c r="L226" s="136">
        <f t="shared" si="110"/>
        <v>0</v>
      </c>
      <c r="M226" s="136">
        <f t="shared" si="110"/>
        <v>0</v>
      </c>
      <c r="N226" s="136">
        <f t="shared" si="110"/>
        <v>0</v>
      </c>
      <c r="O226" s="136">
        <f t="shared" si="110"/>
        <v>0</v>
      </c>
    </row>
    <row r="227" spans="1:16">
      <c r="A227" s="50" t="s">
        <v>652</v>
      </c>
      <c r="B227" s="31">
        <v>0</v>
      </c>
      <c r="C227" s="31">
        <v>0</v>
      </c>
      <c r="D227" s="31">
        <v>-548.68600000000004</v>
      </c>
      <c r="E227" s="31">
        <v>0</v>
      </c>
      <c r="F227" s="31">
        <v>-12.961</v>
      </c>
      <c r="G227" s="31">
        <v>0</v>
      </c>
      <c r="H227" s="41">
        <v>0</v>
      </c>
      <c r="I227" s="136">
        <f t="shared" si="110"/>
        <v>0</v>
      </c>
      <c r="J227" s="136">
        <f t="shared" si="110"/>
        <v>0</v>
      </c>
      <c r="K227" s="136">
        <f t="shared" si="110"/>
        <v>0</v>
      </c>
      <c r="L227" s="136">
        <f t="shared" si="110"/>
        <v>0</v>
      </c>
      <c r="M227" s="136">
        <f t="shared" si="110"/>
        <v>0</v>
      </c>
      <c r="N227" s="136">
        <f t="shared" si="110"/>
        <v>0</v>
      </c>
      <c r="O227" s="136">
        <f t="shared" si="110"/>
        <v>0</v>
      </c>
    </row>
    <row r="228" spans="1:16">
      <c r="A228" s="53" t="s">
        <v>653</v>
      </c>
      <c r="B228" s="38">
        <v>0</v>
      </c>
      <c r="C228" s="38">
        <v>0</v>
      </c>
      <c r="D228" s="38">
        <v>1000</v>
      </c>
      <c r="E228" s="38">
        <v>0</v>
      </c>
      <c r="F228" s="38">
        <v>987.03899999999999</v>
      </c>
      <c r="G228" s="38">
        <v>0</v>
      </c>
      <c r="H228" s="47">
        <v>0</v>
      </c>
      <c r="I228" s="136">
        <f t="shared" si="110"/>
        <v>0</v>
      </c>
      <c r="J228" s="136">
        <f t="shared" si="110"/>
        <v>0</v>
      </c>
      <c r="K228" s="136">
        <f t="shared" si="110"/>
        <v>0</v>
      </c>
      <c r="L228" s="136">
        <f t="shared" si="110"/>
        <v>0</v>
      </c>
      <c r="M228" s="136">
        <f t="shared" si="110"/>
        <v>0</v>
      </c>
      <c r="N228" s="136">
        <f t="shared" si="110"/>
        <v>0</v>
      </c>
      <c r="O228" s="136">
        <f t="shared" si="110"/>
        <v>0</v>
      </c>
    </row>
    <row r="229" spans="1:16">
      <c r="A229" s="54" t="s">
        <v>654</v>
      </c>
      <c r="B229" s="46">
        <v>0</v>
      </c>
      <c r="C229" s="46">
        <v>0</v>
      </c>
      <c r="D229" s="33">
        <v>-1548.6859999999999</v>
      </c>
      <c r="E229" s="46">
        <v>0</v>
      </c>
      <c r="F229" s="33">
        <v>-1000</v>
      </c>
      <c r="G229" s="46">
        <v>0</v>
      </c>
      <c r="H229" s="47">
        <v>0</v>
      </c>
      <c r="I229" s="136">
        <f t="shared" si="110"/>
        <v>0</v>
      </c>
      <c r="J229" s="136">
        <f t="shared" si="110"/>
        <v>0</v>
      </c>
      <c r="K229" s="136">
        <f t="shared" si="110"/>
        <v>0</v>
      </c>
      <c r="L229" s="136">
        <f t="shared" si="110"/>
        <v>0</v>
      </c>
      <c r="M229" s="136">
        <f t="shared" si="110"/>
        <v>0</v>
      </c>
      <c r="N229" s="136">
        <f t="shared" si="110"/>
        <v>0</v>
      </c>
      <c r="O229" s="136">
        <f t="shared" si="110"/>
        <v>0</v>
      </c>
    </row>
    <row r="230" spans="1:16">
      <c r="A230" s="56" t="s">
        <v>655</v>
      </c>
      <c r="B230" s="60">
        <v>-38.125</v>
      </c>
      <c r="C230" s="60">
        <v>-44.874000000000002</v>
      </c>
      <c r="D230" s="59"/>
      <c r="E230" s="59"/>
      <c r="F230" s="59"/>
      <c r="G230" s="59"/>
      <c r="H230" s="77"/>
      <c r="I230">
        <v>0</v>
      </c>
      <c r="J230">
        <v>0</v>
      </c>
      <c r="K230">
        <v>0</v>
      </c>
      <c r="L230">
        <v>0</v>
      </c>
      <c r="M230">
        <v>0</v>
      </c>
      <c r="N230">
        <v>0</v>
      </c>
      <c r="O230">
        <v>0</v>
      </c>
    </row>
    <row r="231" spans="1:16">
      <c r="A231" s="30" t="s">
        <v>632</v>
      </c>
      <c r="B231" s="31">
        <v>0</v>
      </c>
      <c r="C231" s="31">
        <v>203.09299999999999</v>
      </c>
      <c r="D231" s="31">
        <v>149.40600000000001</v>
      </c>
      <c r="E231" s="31">
        <v>1.585</v>
      </c>
      <c r="F231" s="31">
        <v>0</v>
      </c>
      <c r="G231" s="31">
        <v>-3.1429999999999998</v>
      </c>
      <c r="H231" s="41">
        <v>-0.15213499999999999</v>
      </c>
      <c r="I231" s="136">
        <f>H231</f>
        <v>-0.15213499999999999</v>
      </c>
    </row>
    <row r="232" spans="1:16">
      <c r="A232" s="37" t="s">
        <v>1030</v>
      </c>
      <c r="B232" s="38">
        <v>0</v>
      </c>
      <c r="C232" s="38">
        <v>0</v>
      </c>
      <c r="D232" s="38">
        <v>0</v>
      </c>
      <c r="E232" s="38">
        <v>0</v>
      </c>
      <c r="F232" s="38">
        <v>0</v>
      </c>
      <c r="G232" s="60">
        <v>-3.1429999999999998</v>
      </c>
      <c r="H232" s="34">
        <v>-0.15213499999999999</v>
      </c>
      <c r="I232" s="136">
        <f>H232</f>
        <v>-0.15213499999999999</v>
      </c>
    </row>
    <row r="233" spans="1:16">
      <c r="A233" s="45" t="s">
        <v>1031</v>
      </c>
      <c r="B233" s="46">
        <v>0</v>
      </c>
      <c r="C233" s="46">
        <v>203.09299999999999</v>
      </c>
      <c r="D233" s="46">
        <v>149.40600000000001</v>
      </c>
      <c r="E233" s="46">
        <v>1.585</v>
      </c>
      <c r="F233" s="46">
        <v>0</v>
      </c>
      <c r="G233" s="46">
        <v>0</v>
      </c>
      <c r="H233" s="47">
        <v>0</v>
      </c>
      <c r="I233" s="46">
        <v>0</v>
      </c>
      <c r="J233" s="46">
        <v>0</v>
      </c>
      <c r="K233" s="46">
        <v>0</v>
      </c>
      <c r="L233" s="46">
        <v>0</v>
      </c>
      <c r="M233" s="46">
        <v>0</v>
      </c>
      <c r="N233" s="46">
        <v>0</v>
      </c>
      <c r="O233" s="46">
        <v>0</v>
      </c>
    </row>
    <row r="234" spans="1:16">
      <c r="A234" s="56" t="s">
        <v>657</v>
      </c>
      <c r="B234" s="60">
        <v>-36.325000000000003</v>
      </c>
      <c r="C234" s="60">
        <v>-1648.307</v>
      </c>
      <c r="D234" s="60">
        <v>-399.28</v>
      </c>
      <c r="E234" s="60">
        <v>-148.42099999999999</v>
      </c>
      <c r="F234" s="60">
        <v>-408.21699999999998</v>
      </c>
      <c r="G234" s="60">
        <v>-782.58199999999999</v>
      </c>
      <c r="H234" s="34">
        <v>-1870.9073450000001</v>
      </c>
      <c r="I234" s="58">
        <f t="shared" ref="I234:O234" si="111">I221+I231</f>
        <v>-1389.8722320750001</v>
      </c>
      <c r="J234" s="58">
        <f t="shared" si="111"/>
        <v>-1505.2623313313247</v>
      </c>
      <c r="K234" s="58">
        <f t="shared" si="111"/>
        <v>-1670.3919649091022</v>
      </c>
      <c r="L234" s="58">
        <f t="shared" si="111"/>
        <v>-1844.1221680235217</v>
      </c>
      <c r="M234" s="58">
        <f t="shared" si="111"/>
        <v>-1970.7396292104445</v>
      </c>
      <c r="N234" s="58">
        <f t="shared" si="111"/>
        <v>-2058.2690325791996</v>
      </c>
      <c r="O234" s="58">
        <f t="shared" si="111"/>
        <v>-2076.292957669144</v>
      </c>
    </row>
    <row r="235" spans="1:16">
      <c r="A235" s="65" t="s">
        <v>1032</v>
      </c>
      <c r="B235" s="65"/>
      <c r="C235" s="238"/>
      <c r="D235" s="65"/>
      <c r="E235" s="65"/>
      <c r="F235" s="65"/>
      <c r="G235" s="65"/>
      <c r="H235" s="66"/>
    </row>
    <row r="236" spans="1:16">
      <c r="A236" s="56" t="s">
        <v>656</v>
      </c>
      <c r="B236" s="60">
        <v>-1.1759999999999999</v>
      </c>
      <c r="C236" s="38">
        <v>5.4059999999999997</v>
      </c>
      <c r="D236" s="60">
        <v>-9.2330000000000005</v>
      </c>
      <c r="E236" s="60">
        <v>-1.8049999999999999</v>
      </c>
      <c r="F236" s="60">
        <v>-1.9890000000000001</v>
      </c>
      <c r="G236" s="38">
        <v>0.151</v>
      </c>
      <c r="H236" s="34">
        <v>-5.5360969999999998</v>
      </c>
      <c r="I236">
        <f>0</f>
        <v>0</v>
      </c>
      <c r="J236">
        <v>0</v>
      </c>
      <c r="K236">
        <v>0</v>
      </c>
      <c r="L236">
        <v>0</v>
      </c>
      <c r="M236">
        <v>0</v>
      </c>
      <c r="N236">
        <v>0</v>
      </c>
      <c r="O236">
        <v>0</v>
      </c>
      <c r="P236" t="s">
        <v>1033</v>
      </c>
    </row>
    <row r="237" spans="1:16">
      <c r="A237" s="32" t="s">
        <v>658</v>
      </c>
      <c r="B237" s="46">
        <v>211.52799999999999</v>
      </c>
      <c r="C237" s="33">
        <v>-551.42499999999995</v>
      </c>
      <c r="D237" s="46">
        <v>449.04700000000003</v>
      </c>
      <c r="E237" s="46">
        <v>716.62699999999995</v>
      </c>
      <c r="F237" s="46">
        <v>74.206999999999994</v>
      </c>
      <c r="G237" s="46">
        <v>335.64</v>
      </c>
      <c r="H237" s="34">
        <v>-1512.070428</v>
      </c>
      <c r="I237" s="100">
        <f>I94-G94</f>
        <v>703.13300010172179</v>
      </c>
      <c r="J237" s="100">
        <f>J94-I94</f>
        <v>494.99287584441981</v>
      </c>
      <c r="K237" s="100">
        <f t="shared" ref="K237:O237" si="112">K94-J94</f>
        <v>688.97424173639592</v>
      </c>
      <c r="L237" s="100">
        <f t="shared" si="112"/>
        <v>789.63982174652119</v>
      </c>
      <c r="M237" s="100">
        <f t="shared" si="112"/>
        <v>728.26815905957028</v>
      </c>
      <c r="N237" s="100">
        <f t="shared" si="112"/>
        <v>683.12784095911138</v>
      </c>
      <c r="O237" s="100">
        <f t="shared" si="112"/>
        <v>518.73192852527518</v>
      </c>
    </row>
    <row r="238" spans="1:16">
      <c r="A238" s="39" t="s">
        <v>660</v>
      </c>
      <c r="B238" s="40">
        <v>532.25099999999998</v>
      </c>
      <c r="C238" s="40">
        <v>803.31200000000001</v>
      </c>
      <c r="D238" s="40">
        <v>750.46100000000001</v>
      </c>
      <c r="E238" s="40">
        <v>842.45899999999995</v>
      </c>
      <c r="F238" s="40">
        <v>1415.047</v>
      </c>
      <c r="G238" s="40">
        <v>1415.5429999999999</v>
      </c>
      <c r="H238" s="41">
        <v>1270.8070499999999</v>
      </c>
      <c r="I238" s="136">
        <f t="shared" ref="I238:O238" si="113">I210+I212</f>
        <v>1713.1721615686679</v>
      </c>
      <c r="J238" s="136">
        <f t="shared" si="113"/>
        <v>1935.2362449763002</v>
      </c>
      <c r="K238" s="136">
        <f t="shared" si="113"/>
        <v>2402.707005059593</v>
      </c>
      <c r="L238" s="136">
        <f t="shared" si="113"/>
        <v>2801.06710882277</v>
      </c>
      <c r="M238" s="136">
        <f t="shared" si="113"/>
        <v>3064.9433976116693</v>
      </c>
      <c r="N238" s="136">
        <f t="shared" si="113"/>
        <v>3314.8733077913657</v>
      </c>
      <c r="O238" s="136">
        <f t="shared" si="113"/>
        <v>3359.7389065293542</v>
      </c>
    </row>
    <row r="239" spans="1:16">
      <c r="A239" s="45" t="s">
        <v>1034</v>
      </c>
      <c r="B239" s="46">
        <v>2.1738369999999998</v>
      </c>
      <c r="C239" s="46">
        <v>3.2173790000000002</v>
      </c>
      <c r="D239" s="46">
        <v>2.962596</v>
      </c>
      <c r="E239" s="46">
        <v>3.2869139999999999</v>
      </c>
      <c r="F239" s="46">
        <v>5.4606979999999998</v>
      </c>
      <c r="G239" s="46">
        <v>5.4072319999999996</v>
      </c>
      <c r="H239" s="47">
        <v>4.8696460000000004</v>
      </c>
      <c r="I239" s="136">
        <f t="shared" ref="I239:O239" si="114">I238/I73</f>
        <v>6.7508852960108277</v>
      </c>
      <c r="J239" s="136">
        <f t="shared" si="114"/>
        <v>7.6259457184706632</v>
      </c>
      <c r="K239" s="136">
        <f t="shared" si="114"/>
        <v>9.468049828819769</v>
      </c>
      <c r="L239" s="136">
        <f t="shared" si="114"/>
        <v>11.037818137773456</v>
      </c>
      <c r="M239" s="136">
        <f t="shared" si="114"/>
        <v>12.077642737958266</v>
      </c>
      <c r="N239" s="136">
        <f t="shared" si="114"/>
        <v>13.062510571743569</v>
      </c>
      <c r="O239" s="136">
        <f t="shared" si="114"/>
        <v>13.239306878391275</v>
      </c>
    </row>
    <row r="240" spans="1:16">
      <c r="A240" s="37" t="s">
        <v>1035</v>
      </c>
      <c r="B240" s="82">
        <v>1.2058789999999999</v>
      </c>
      <c r="C240" s="82">
        <v>1.2525809999999999</v>
      </c>
      <c r="D240" s="82">
        <v>1.580894</v>
      </c>
      <c r="E240" s="82">
        <v>1.9587110000000001</v>
      </c>
      <c r="F240" s="82">
        <v>3.0872329999999999</v>
      </c>
      <c r="G240" s="82">
        <v>2.6624810000000001</v>
      </c>
      <c r="H240" s="83">
        <v>7.1350110000000004</v>
      </c>
      <c r="I240" s="165">
        <f t="shared" ref="I240:O240" si="115">I239/$U$32</f>
        <v>7.2364511694831463E-2</v>
      </c>
      <c r="J240" s="165">
        <f t="shared" si="115"/>
        <v>8.1744514079436836E-2</v>
      </c>
      <c r="K240" s="165">
        <f t="shared" si="115"/>
        <v>0.10149051161774862</v>
      </c>
      <c r="L240" s="165">
        <f t="shared" si="115"/>
        <v>0.11831727020874108</v>
      </c>
      <c r="M240" s="165">
        <f t="shared" si="115"/>
        <v>0.12946342306740558</v>
      </c>
      <c r="N240" s="165">
        <f t="shared" si="115"/>
        <v>0.14002047992007255</v>
      </c>
      <c r="O240" s="165">
        <f t="shared" si="115"/>
        <v>0.14191560594266561</v>
      </c>
      <c r="P240" s="165"/>
    </row>
    <row r="241" spans="1:15">
      <c r="A241" s="84" t="s">
        <v>887</v>
      </c>
      <c r="B241" s="85"/>
      <c r="C241" s="85"/>
      <c r="D241" s="85"/>
      <c r="E241" s="85"/>
      <c r="F241" s="85"/>
      <c r="G241" s="85"/>
      <c r="H241" s="85"/>
    </row>
    <row r="242" spans="1:15">
      <c r="E242">
        <v>2023</v>
      </c>
      <c r="F242">
        <v>2024</v>
      </c>
      <c r="G242">
        <v>25</v>
      </c>
    </row>
    <row r="243" spans="1:15">
      <c r="A243" t="s">
        <v>1036</v>
      </c>
      <c r="D243">
        <f>D77*(1-$AA$23)+D155</f>
        <v>390.41172</v>
      </c>
      <c r="E243">
        <f t="shared" ref="E243:O243" si="116">E77*(1-$AA$23)</f>
        <v>-242.89676</v>
      </c>
      <c r="F243">
        <f t="shared" si="116"/>
        <v>-79.574280000000002</v>
      </c>
      <c r="G243">
        <f t="shared" si="116"/>
        <v>-90.360960000000006</v>
      </c>
      <c r="I243">
        <f t="shared" si="116"/>
        <v>-77.414650159896951</v>
      </c>
      <c r="J243">
        <f t="shared" si="116"/>
        <v>-11.160969481090905</v>
      </c>
      <c r="K243">
        <f t="shared" si="116"/>
        <v>97.653684102378179</v>
      </c>
      <c r="L243">
        <f t="shared" si="116"/>
        <v>204.54803723158236</v>
      </c>
      <c r="M243">
        <f t="shared" si="116"/>
        <v>325.22834566627216</v>
      </c>
      <c r="N243">
        <f t="shared" si="116"/>
        <v>455.06457156660014</v>
      </c>
      <c r="O243">
        <f t="shared" si="116"/>
        <v>590.47092628423093</v>
      </c>
    </row>
    <row r="244" spans="1:15">
      <c r="A244" t="s">
        <v>1037</v>
      </c>
      <c r="C244" s="155">
        <f>C163+C155-C94</f>
        <v>-331.96600000000012</v>
      </c>
      <c r="D244" s="155">
        <f>D163+D155-D94</f>
        <v>183.30400000000009</v>
      </c>
      <c r="E244" s="155">
        <f t="shared" ref="E244:G244" si="117">E163+E155-E94</f>
        <v>-175.52000000000021</v>
      </c>
      <c r="F244" s="155">
        <f t="shared" si="117"/>
        <v>-56.713999999999487</v>
      </c>
      <c r="G244" s="155">
        <f t="shared" si="117"/>
        <v>-352.15700000000015</v>
      </c>
      <c r="I244" s="136">
        <f>(I129+I137)+I155-I94</f>
        <v>357.04784806585894</v>
      </c>
      <c r="J244" s="136">
        <f t="shared" ref="J244:O244" si="118">(J129+J137)+J155-J94</f>
        <v>-103.34033236992946</v>
      </c>
      <c r="K244" s="136">
        <f t="shared" si="118"/>
        <v>-714.84981952845919</v>
      </c>
      <c r="L244" s="136">
        <f t="shared" si="118"/>
        <v>-1418.3727246934395</v>
      </c>
      <c r="M244" s="136">
        <f t="shared" si="118"/>
        <v>-2103.8440171848461</v>
      </c>
      <c r="N244" s="136">
        <f t="shared" si="118"/>
        <v>-2717.3768878443161</v>
      </c>
      <c r="O244" s="136">
        <f t="shared" si="118"/>
        <v>-3097.0920196894658</v>
      </c>
    </row>
    <row r="246" spans="1:15">
      <c r="L246" s="124"/>
      <c r="N246" s="124"/>
    </row>
    <row r="247" spans="1:15">
      <c r="L247" s="58"/>
      <c r="M247" s="58"/>
    </row>
    <row r="248" spans="1:15">
      <c r="L248" s="58"/>
      <c r="M248" s="58"/>
    </row>
    <row r="249" spans="1:15">
      <c r="L249" s="58"/>
      <c r="M249" s="58"/>
    </row>
    <row r="250" spans="1:15">
      <c r="L250" s="58"/>
      <c r="M250" s="58"/>
    </row>
    <row r="251" spans="1:15">
      <c r="L251" s="58"/>
      <c r="M251" s="58"/>
    </row>
    <row r="252" spans="1:15">
      <c r="L252" s="58"/>
      <c r="M252" s="58"/>
    </row>
    <row r="253" spans="1:15">
      <c r="L253" s="58"/>
      <c r="M253" s="58"/>
    </row>
    <row r="254" spans="1:15">
      <c r="L254" s="58"/>
      <c r="M254" s="58"/>
    </row>
    <row r="255" spans="1:15">
      <c r="L255" s="58"/>
      <c r="M255" s="58"/>
    </row>
    <row r="256" spans="1:15">
      <c r="D256" s="124"/>
      <c r="E256" s="58"/>
      <c r="F256" s="58"/>
      <c r="G256" s="58"/>
      <c r="H256" s="58"/>
      <c r="I256" s="58"/>
      <c r="J256" s="58"/>
      <c r="K256" s="58"/>
      <c r="L256" s="58"/>
      <c r="M256" s="58"/>
    </row>
    <row r="257" spans="1:13">
      <c r="D257" s="117"/>
      <c r="E257" s="58"/>
      <c r="F257" s="58"/>
      <c r="G257" s="58"/>
      <c r="H257" s="58"/>
      <c r="I257" s="58"/>
      <c r="J257" s="58"/>
      <c r="K257" s="58"/>
      <c r="L257" s="58"/>
      <c r="M257" s="58"/>
    </row>
    <row r="258" spans="1:13">
      <c r="D258" s="117"/>
      <c r="E258" s="58"/>
      <c r="F258" s="58"/>
      <c r="G258" s="58"/>
      <c r="H258" s="58"/>
      <c r="I258" s="58"/>
      <c r="J258" s="58"/>
      <c r="K258" s="58"/>
      <c r="L258" s="58"/>
      <c r="M258" s="58"/>
    </row>
    <row r="259" spans="1:13">
      <c r="D259" s="117"/>
      <c r="E259" s="58"/>
      <c r="F259" s="58"/>
      <c r="G259" s="58"/>
      <c r="H259" s="58"/>
      <c r="I259" s="58"/>
      <c r="J259" s="58"/>
      <c r="K259" s="58"/>
      <c r="L259" s="58"/>
      <c r="M259" s="58"/>
    </row>
    <row r="267" spans="1:13">
      <c r="A267" s="176"/>
      <c r="B267" s="13" t="s">
        <v>918</v>
      </c>
    </row>
    <row r="268" spans="1:13">
      <c r="A268" t="s">
        <v>23</v>
      </c>
      <c r="B268" s="58">
        <f>G31*(1+I26)</f>
        <v>6463.8144050000001</v>
      </c>
    </row>
    <row r="269" spans="1:13">
      <c r="A269" t="s">
        <v>1038</v>
      </c>
      <c r="B269" s="99">
        <f>B268*I20</f>
        <v>5461.9231722249997</v>
      </c>
    </row>
    <row r="270" spans="1:13">
      <c r="A270" t="s">
        <v>1039</v>
      </c>
      <c r="B270" s="124">
        <f>B269/B268</f>
        <v>0.84499999999999997</v>
      </c>
    </row>
    <row r="271" spans="1:13">
      <c r="A271" t="s">
        <v>874</v>
      </c>
      <c r="B271" s="136">
        <f>I64</f>
        <v>-260.2696834404735</v>
      </c>
    </row>
    <row r="272" spans="1:13">
      <c r="A272" s="3" t="s">
        <v>1040</v>
      </c>
    </row>
    <row r="274" spans="1:7">
      <c r="G274" s="3" t="s">
        <v>1041</v>
      </c>
    </row>
    <row r="276" spans="1:7">
      <c r="B276" s="136">
        <f>B271</f>
        <v>-260.2696834404735</v>
      </c>
      <c r="C276" s="117">
        <v>0.2</v>
      </c>
      <c r="D276" s="117">
        <v>0.18</v>
      </c>
      <c r="E276" s="124">
        <v>0.2394</v>
      </c>
      <c r="F276" s="117">
        <v>0.16</v>
      </c>
      <c r="G276" s="117">
        <v>0.14000000000000001</v>
      </c>
    </row>
    <row r="277" spans="1:7">
      <c r="B277" s="117">
        <v>0.8</v>
      </c>
      <c r="C277">
        <f t="dataTable" ref="C277:G281" dt2D="1" dtr="1" r1="I26" r2="I20"/>
        <v>-260.2696834404735</v>
      </c>
      <c r="D277">
        <v>-260.2696834404735</v>
      </c>
      <c r="E277">
        <v>-260.2696834404735</v>
      </c>
      <c r="F277">
        <v>-260.2696834404735</v>
      </c>
      <c r="G277">
        <v>-260.2696834404735</v>
      </c>
    </row>
    <row r="278" spans="1:7">
      <c r="A278" s="175" t="s">
        <v>1042</v>
      </c>
      <c r="B278" s="117">
        <v>0.82</v>
      </c>
      <c r="C278">
        <v>-260.2696834404735</v>
      </c>
      <c r="D278">
        <v>-260.2696834404735</v>
      </c>
      <c r="E278">
        <v>-260.2696834404735</v>
      </c>
      <c r="F278">
        <v>-260.2696834404735</v>
      </c>
      <c r="G278">
        <v>-260.2696834404735</v>
      </c>
    </row>
    <row r="279" spans="1:7">
      <c r="A279" s="175" t="s">
        <v>1043</v>
      </c>
      <c r="B279" s="117">
        <v>0.84</v>
      </c>
      <c r="C279">
        <v>-260.2696834404735</v>
      </c>
      <c r="D279">
        <v>-260.2696834404735</v>
      </c>
      <c r="E279">
        <v>-260.2696834404735</v>
      </c>
      <c r="F279">
        <v>-260.2696834404735</v>
      </c>
      <c r="G279">
        <v>-260.2696834404735</v>
      </c>
    </row>
    <row r="280" spans="1:7">
      <c r="A280" s="175" t="s">
        <v>1044</v>
      </c>
      <c r="B280" s="117">
        <v>0.86</v>
      </c>
      <c r="C280">
        <v>-260.2696834404735</v>
      </c>
      <c r="D280">
        <v>-260.2696834404735</v>
      </c>
      <c r="E280">
        <v>-260.2696834404735</v>
      </c>
      <c r="F280">
        <v>-260.2696834404735</v>
      </c>
      <c r="G280">
        <v>-260.2696834404735</v>
      </c>
    </row>
    <row r="281" spans="1:7">
      <c r="A281" s="175" t="s">
        <v>1045</v>
      </c>
      <c r="B281" s="117">
        <v>0.88</v>
      </c>
      <c r="C281">
        <v>-260.2696834404735</v>
      </c>
      <c r="D281">
        <v>-260.2696834404735</v>
      </c>
      <c r="E281">
        <v>-260.2696834404735</v>
      </c>
      <c r="F281">
        <v>-260.2696834404735</v>
      </c>
      <c r="G281">
        <v>-260.2696834404735</v>
      </c>
    </row>
  </sheetData>
  <mergeCells count="33">
    <mergeCell ref="AS14:AT14"/>
    <mergeCell ref="AS15:AT15"/>
    <mergeCell ref="AS9:AT9"/>
    <mergeCell ref="AS10:AT10"/>
    <mergeCell ref="AS11:AT11"/>
    <mergeCell ref="AS12:AT12"/>
    <mergeCell ref="AS13:AT13"/>
    <mergeCell ref="AS4:AU4"/>
    <mergeCell ref="AS5:AT5"/>
    <mergeCell ref="AS6:AT6"/>
    <mergeCell ref="AS8:AT8"/>
    <mergeCell ref="AS7:AT7"/>
    <mergeCell ref="T3:AA3"/>
    <mergeCell ref="I157:O182"/>
    <mergeCell ref="AG7:AI7"/>
    <mergeCell ref="AG8:AI8"/>
    <mergeCell ref="AG9:AI9"/>
    <mergeCell ref="AG10:AI10"/>
    <mergeCell ref="AG11:AI11"/>
    <mergeCell ref="AG12:AI12"/>
    <mergeCell ref="AG15:AI15"/>
    <mergeCell ref="AG16:AI16"/>
    <mergeCell ref="AG17:AI17"/>
    <mergeCell ref="AG18:AI18"/>
    <mergeCell ref="AG21:AI21"/>
    <mergeCell ref="AG22:AI22"/>
    <mergeCell ref="I133:O134"/>
    <mergeCell ref="AF4:AI4"/>
    <mergeCell ref="I24:N24"/>
    <mergeCell ref="I59:O63"/>
    <mergeCell ref="I65:O70"/>
    <mergeCell ref="I74:O75"/>
    <mergeCell ref="P97:R99"/>
  </mergeCells>
  <phoneticPr fontId="25" type="noConversion"/>
  <conditionalFormatting sqref="W41:AC49 E256:M259 AD46:AD52 AP41:AP42 L247:M255">
    <cfRule type="colorScale" priority="3">
      <colorScale>
        <cfvo type="min"/>
        <cfvo type="percentile" val="50"/>
        <cfvo type="max"/>
        <color rgb="FF5A8AC6"/>
        <color rgb="FFFCFCFF"/>
        <color rgb="FFF8696B"/>
      </colorScale>
    </cfRule>
  </conditionalFormatting>
  <conditionalFormatting sqref="W41:AC49 AD46:AD52 AP41:AP42">
    <cfRule type="colorScale" priority="1">
      <colorScale>
        <cfvo type="min"/>
        <cfvo type="num" val="$U$29"/>
        <cfvo type="max"/>
        <color rgb="FFB3D1FA"/>
        <color rgb="FFFFFFFF"/>
        <color rgb="FF0067ED"/>
      </colorScale>
    </cfRule>
    <cfRule type="colorScale" priority="2">
      <colorScale>
        <cfvo type="min"/>
        <cfvo type="percentile" val="50"/>
        <cfvo type="max"/>
        <color rgb="FFF8696B"/>
        <color rgb="FFFCFCFF"/>
        <color rgb="FF5A8AC6"/>
      </colorScale>
    </cfRule>
  </conditionalFormatting>
  <hyperlinks>
    <hyperlink ref="A23" r:id="rId1" display="https://www.sec.gov/Archives/edgar/data/1650372/000165037226000024/ex991q3fy26.htm" xr:uid="{91485225-B7A2-4015-B4C6-90DBBE6681B7}"/>
  </hyperlinks>
  <pageMargins left="0.7" right="0.7" top="0.75" bottom="0.75" header="0.3" footer="0.3"/>
  <pageSetup paperSize="9" orientation="portrait" r:id="rId2"/>
  <drawing r:id="rId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8D432-F13C-4EE5-85FF-B467491BCA55}">
  <sheetPr codeName="Sheet33">
    <tabColor rgb="FFFFC000"/>
  </sheetPr>
  <dimension ref="C2:N23"/>
  <sheetViews>
    <sheetView topLeftCell="B19" zoomScale="146" workbookViewId="0">
      <selection activeCell="N8" sqref="N8"/>
    </sheetView>
  </sheetViews>
  <sheetFormatPr defaultColWidth="8.81640625" defaultRowHeight="14.5"/>
  <cols>
    <col min="3" max="3" width="23.453125" bestFit="1" customWidth="1"/>
    <col min="4" max="4" width="9.453125" bestFit="1" customWidth="1"/>
  </cols>
  <sheetData>
    <row r="2" spans="3:14">
      <c r="G2" s="100" t="s">
        <v>1046</v>
      </c>
    </row>
    <row r="3" spans="3:14">
      <c r="C3" s="176" t="s">
        <v>1047</v>
      </c>
      <c r="G3" s="166"/>
    </row>
    <row r="4" spans="3:14">
      <c r="C4" s="3" t="s">
        <v>1048</v>
      </c>
    </row>
    <row r="5" spans="3:14">
      <c r="I5" s="99"/>
    </row>
    <row r="6" spans="3:14">
      <c r="C6" t="s">
        <v>1049</v>
      </c>
      <c r="D6" s="179">
        <v>0.239393601024983</v>
      </c>
      <c r="L6" t="s">
        <v>23</v>
      </c>
    </row>
    <row r="7" spans="3:14">
      <c r="C7" t="s">
        <v>1050</v>
      </c>
      <c r="D7" s="179">
        <v>0.84499999999999997</v>
      </c>
    </row>
    <row r="8" spans="3:14">
      <c r="C8" t="s">
        <v>1051</v>
      </c>
      <c r="D8" s="183">
        <v>5215.3040000000001</v>
      </c>
      <c r="I8" s="174">
        <f>D23</f>
        <v>-154.19221078405488</v>
      </c>
      <c r="J8" s="117">
        <v>0.2</v>
      </c>
      <c r="K8" s="117">
        <v>0.22</v>
      </c>
      <c r="L8" s="124">
        <v>0.2394</v>
      </c>
      <c r="M8" s="117">
        <v>0.26</v>
      </c>
      <c r="N8" s="117">
        <v>0.28000000000000003</v>
      </c>
    </row>
    <row r="9" spans="3:14">
      <c r="C9" t="s">
        <v>1052</v>
      </c>
      <c r="D9" s="58">
        <f>D8*(1+D6)</f>
        <v>6463.8144049999983</v>
      </c>
      <c r="I9" s="124">
        <v>0.82499999999999996</v>
      </c>
    </row>
    <row r="10" spans="3:14">
      <c r="C10" t="s">
        <v>1053</v>
      </c>
      <c r="D10" s="507">
        <f>D9*D7</f>
        <v>5461.9231722249988</v>
      </c>
      <c r="I10" s="124">
        <v>0.83499999999999996</v>
      </c>
    </row>
    <row r="11" spans="3:14">
      <c r="C11" t="s">
        <v>1054</v>
      </c>
      <c r="D11" s="507">
        <f>D9-D10</f>
        <v>1001.8912327749995</v>
      </c>
      <c r="E11" s="58"/>
      <c r="H11" t="s">
        <v>1055</v>
      </c>
      <c r="I11" s="124">
        <v>0.84499999999999997</v>
      </c>
    </row>
    <row r="12" spans="3:14">
      <c r="C12" t="s">
        <v>1056</v>
      </c>
      <c r="D12" s="183">
        <v>3296.54534655</v>
      </c>
      <c r="I12" s="124">
        <v>0.85499999999999998</v>
      </c>
    </row>
    <row r="13" spans="3:14">
      <c r="C13" t="s">
        <v>839</v>
      </c>
      <c r="D13" s="183">
        <v>2267.2392074643381</v>
      </c>
      <c r="I13" s="124">
        <v>0.86599999999999999</v>
      </c>
    </row>
    <row r="14" spans="3:14">
      <c r="C14" t="s">
        <v>756</v>
      </c>
      <c r="D14" s="183">
        <v>51.687999999999995</v>
      </c>
    </row>
    <row r="15" spans="3:14">
      <c r="C15" t="s">
        <v>1057</v>
      </c>
      <c r="D15" s="183">
        <v>42.585495661383213</v>
      </c>
    </row>
    <row r="16" spans="3:14">
      <c r="C16" t="s">
        <v>1058</v>
      </c>
      <c r="D16" s="174">
        <v>-37.299999999999997</v>
      </c>
    </row>
    <row r="17" spans="3:4">
      <c r="C17" t="s">
        <v>1059</v>
      </c>
      <c r="D17" s="58">
        <v>24.133333333333336</v>
      </c>
    </row>
    <row r="18" spans="3:4">
      <c r="C18" t="s">
        <v>1060</v>
      </c>
      <c r="D18" s="58">
        <f>D12+D13</f>
        <v>5563.784554014338</v>
      </c>
    </row>
    <row r="19" spans="3:4">
      <c r="C19" t="s">
        <v>1061</v>
      </c>
      <c r="D19" s="174">
        <v>-101.86138178933834</v>
      </c>
    </row>
    <row r="20" spans="3:4">
      <c r="C20" t="s">
        <v>1062</v>
      </c>
      <c r="D20" s="184">
        <v>-1.5758710787015292E-2</v>
      </c>
    </row>
    <row r="21" spans="3:4">
      <c r="C21" t="s">
        <v>1063</v>
      </c>
      <c r="D21" s="174">
        <f>D14-D15+D16</f>
        <v>-28.197495661383215</v>
      </c>
    </row>
    <row r="22" spans="3:4">
      <c r="C22" t="s">
        <v>1064</v>
      </c>
      <c r="D22" s="174">
        <f>D19+D21</f>
        <v>-130.05887745072155</v>
      </c>
    </row>
    <row r="23" spans="3:4">
      <c r="C23" t="s">
        <v>874</v>
      </c>
      <c r="D23" s="174">
        <f>D22-D17</f>
        <v>-154.19221078405488</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CFBAC-ACD8-409B-B7FA-AD95A437FDA2}">
  <sheetPr codeName="Sheet34">
    <tabColor rgb="FFFFC000"/>
  </sheetPr>
  <dimension ref="A1:H30"/>
  <sheetViews>
    <sheetView showGridLines="0" workbookViewId="0">
      <selection activeCell="J25" sqref="J25"/>
    </sheetView>
  </sheetViews>
  <sheetFormatPr defaultColWidth="8.7265625" defaultRowHeight="12"/>
  <cols>
    <col min="1" max="1" width="6.1796875" style="230" customWidth="1"/>
    <col min="2" max="2" width="9.453125" style="230" customWidth="1"/>
    <col min="3" max="3" width="11" style="230" customWidth="1"/>
    <col min="4" max="4" width="13.81640625" style="230" customWidth="1"/>
    <col min="5" max="5" width="17.453125" style="230" bestFit="1" customWidth="1"/>
    <col min="6" max="16384" width="8.7265625" style="230"/>
  </cols>
  <sheetData>
    <row r="1" spans="1:5">
      <c r="A1" s="1059" t="s">
        <v>1065</v>
      </c>
      <c r="B1" s="1059"/>
    </row>
    <row r="3" spans="1:5">
      <c r="B3" s="677" t="s">
        <v>342</v>
      </c>
      <c r="C3" s="677" t="s">
        <v>794</v>
      </c>
      <c r="D3" s="677" t="s">
        <v>1066</v>
      </c>
      <c r="E3" s="677" t="s">
        <v>1067</v>
      </c>
    </row>
    <row r="4" spans="1:5">
      <c r="B4" s="678">
        <v>46204</v>
      </c>
      <c r="C4" s="679">
        <v>83.17</v>
      </c>
      <c r="D4" s="680">
        <v>3674588</v>
      </c>
      <c r="E4" s="681">
        <f>C4*D4</f>
        <v>305615483.95999998</v>
      </c>
    </row>
    <row r="5" spans="1:5">
      <c r="B5" s="682">
        <v>46205</v>
      </c>
      <c r="C5" s="683">
        <v>83.84</v>
      </c>
      <c r="D5" s="509">
        <v>3103667</v>
      </c>
      <c r="E5" s="681">
        <f t="shared" ref="E5:E25" si="0">C5*D5</f>
        <v>260211441.28</v>
      </c>
    </row>
    <row r="6" spans="1:5">
      <c r="B6" s="678">
        <v>46209</v>
      </c>
      <c r="C6" s="679">
        <v>85.5</v>
      </c>
      <c r="D6" s="680">
        <v>2434270</v>
      </c>
      <c r="E6" s="681">
        <f t="shared" si="0"/>
        <v>208130085</v>
      </c>
    </row>
    <row r="7" spans="1:5">
      <c r="B7" s="682">
        <v>46210</v>
      </c>
      <c r="C7" s="683">
        <v>88.39</v>
      </c>
      <c r="D7" s="509">
        <v>3762714</v>
      </c>
      <c r="E7" s="681">
        <f t="shared" si="0"/>
        <v>332586290.45999998</v>
      </c>
    </row>
    <row r="8" spans="1:5">
      <c r="B8" s="678">
        <v>46211</v>
      </c>
      <c r="C8" s="679">
        <v>85.47</v>
      </c>
      <c r="D8" s="680">
        <v>3038473</v>
      </c>
      <c r="E8" s="681">
        <f t="shared" si="0"/>
        <v>259698287.31</v>
      </c>
    </row>
    <row r="9" spans="1:5">
      <c r="B9" s="682">
        <v>46212</v>
      </c>
      <c r="C9" s="683">
        <v>90.71</v>
      </c>
      <c r="D9" s="509">
        <v>2820363</v>
      </c>
      <c r="E9" s="681">
        <f t="shared" si="0"/>
        <v>255835127.72999999</v>
      </c>
    </row>
    <row r="10" spans="1:5">
      <c r="B10" s="678">
        <v>46213</v>
      </c>
      <c r="C10" s="679">
        <v>88.86</v>
      </c>
      <c r="D10" s="680">
        <v>2460166</v>
      </c>
      <c r="E10" s="681">
        <f t="shared" si="0"/>
        <v>218610350.75999999</v>
      </c>
    </row>
    <row r="11" spans="1:5">
      <c r="B11" s="682">
        <v>46216</v>
      </c>
      <c r="C11" s="683">
        <v>96.16</v>
      </c>
      <c r="D11" s="509">
        <v>5449198</v>
      </c>
      <c r="E11" s="681">
        <f t="shared" si="0"/>
        <v>523994879.68000001</v>
      </c>
    </row>
    <row r="12" spans="1:5">
      <c r="B12" s="678">
        <v>46217</v>
      </c>
      <c r="C12" s="679">
        <v>89.08</v>
      </c>
      <c r="D12" s="680">
        <v>4320614</v>
      </c>
      <c r="E12" s="681">
        <f t="shared" si="0"/>
        <v>384880295.12</v>
      </c>
    </row>
    <row r="13" spans="1:5">
      <c r="B13" s="682">
        <v>46218</v>
      </c>
      <c r="C13" s="683">
        <v>91.77</v>
      </c>
      <c r="D13" s="509">
        <v>3440875</v>
      </c>
      <c r="E13" s="681">
        <f t="shared" si="0"/>
        <v>315769098.75</v>
      </c>
    </row>
    <row r="14" spans="1:5">
      <c r="B14" s="678">
        <v>46219</v>
      </c>
      <c r="C14" s="679">
        <v>92.36</v>
      </c>
      <c r="D14" s="680">
        <v>2765392</v>
      </c>
      <c r="E14" s="681">
        <f t="shared" si="0"/>
        <v>255411605.12</v>
      </c>
    </row>
    <row r="15" spans="1:5">
      <c r="B15" s="682">
        <v>46220</v>
      </c>
      <c r="C15" s="683">
        <v>93.29</v>
      </c>
      <c r="D15" s="509">
        <v>3226467</v>
      </c>
      <c r="E15" s="681">
        <f t="shared" si="0"/>
        <v>300997106.43000001</v>
      </c>
    </row>
    <row r="16" spans="1:5">
      <c r="B16" s="678">
        <v>46223</v>
      </c>
      <c r="C16" s="679">
        <v>96.43</v>
      </c>
      <c r="D16" s="680">
        <v>2824306</v>
      </c>
      <c r="E16" s="681">
        <f t="shared" si="0"/>
        <v>272347827.58000004</v>
      </c>
    </row>
    <row r="17" spans="2:8">
      <c r="B17" s="682">
        <v>46224</v>
      </c>
      <c r="C17" s="683">
        <v>90.6</v>
      </c>
      <c r="D17" s="509">
        <v>3265752</v>
      </c>
      <c r="E17" s="681">
        <f t="shared" si="0"/>
        <v>295877131.19999999</v>
      </c>
    </row>
    <row r="18" spans="2:8">
      <c r="B18" s="678">
        <v>46225</v>
      </c>
      <c r="C18" s="679">
        <v>85.4</v>
      </c>
      <c r="D18" s="680">
        <v>3032091</v>
      </c>
      <c r="E18" s="681">
        <f t="shared" si="0"/>
        <v>258940571.40000001</v>
      </c>
    </row>
    <row r="19" spans="2:8">
      <c r="B19" s="682">
        <v>46226</v>
      </c>
      <c r="C19" s="683">
        <v>80.150000000000006</v>
      </c>
      <c r="D19" s="509">
        <v>4102734</v>
      </c>
      <c r="E19" s="681">
        <f t="shared" si="0"/>
        <v>328834130.10000002</v>
      </c>
    </row>
    <row r="20" spans="2:8">
      <c r="B20" s="678">
        <v>46227</v>
      </c>
      <c r="C20" s="679">
        <v>86.88</v>
      </c>
      <c r="D20" s="680">
        <v>4166916</v>
      </c>
      <c r="E20" s="681">
        <f t="shared" si="0"/>
        <v>362021662.07999998</v>
      </c>
    </row>
    <row r="21" spans="2:8">
      <c r="B21" s="682">
        <v>46230</v>
      </c>
      <c r="C21" s="683">
        <v>95.87</v>
      </c>
      <c r="D21" s="509">
        <v>6126348</v>
      </c>
      <c r="E21" s="681">
        <f t="shared" si="0"/>
        <v>587332982.75999999</v>
      </c>
    </row>
    <row r="22" spans="2:8">
      <c r="B22" s="678">
        <v>46231</v>
      </c>
      <c r="C22" s="679">
        <v>99.98</v>
      </c>
      <c r="D22" s="680">
        <v>6039964</v>
      </c>
      <c r="E22" s="681">
        <f t="shared" si="0"/>
        <v>603875600.72000003</v>
      </c>
    </row>
    <row r="23" spans="2:8">
      <c r="B23" s="682">
        <v>46232</v>
      </c>
      <c r="C23" s="683">
        <v>104.28</v>
      </c>
      <c r="D23" s="509">
        <v>5475242</v>
      </c>
      <c r="E23" s="681">
        <f t="shared" si="0"/>
        <v>570958235.75999999</v>
      </c>
    </row>
    <row r="24" spans="2:8">
      <c r="B24" s="678">
        <v>46233</v>
      </c>
      <c r="C24" s="679">
        <v>98.12</v>
      </c>
      <c r="D24" s="680">
        <v>3945079</v>
      </c>
      <c r="E24" s="681">
        <f t="shared" si="0"/>
        <v>387091151.48000002</v>
      </c>
    </row>
    <row r="25" spans="2:8">
      <c r="B25" s="682">
        <v>46234</v>
      </c>
      <c r="C25" s="683">
        <v>98.12</v>
      </c>
      <c r="D25" s="509">
        <v>2731833</v>
      </c>
      <c r="E25" s="681">
        <f t="shared" si="0"/>
        <v>268047453.96000001</v>
      </c>
    </row>
    <row r="26" spans="2:8">
      <c r="B26" s="684" t="s">
        <v>1068</v>
      </c>
      <c r="C26" s="685"/>
      <c r="D26" s="685">
        <f>SUM(D4:D25)</f>
        <v>82207052</v>
      </c>
      <c r="E26" s="686">
        <f>SUM(E4:E25)</f>
        <v>7557066798.6400003</v>
      </c>
    </row>
    <row r="28" spans="2:8">
      <c r="B28" s="1146" t="s">
        <v>1069</v>
      </c>
      <c r="C28" s="1146"/>
      <c r="E28" s="769">
        <f>D26</f>
        <v>82207052</v>
      </c>
      <c r="H28" s="768"/>
    </row>
    <row r="29" spans="2:8">
      <c r="B29" s="1146" t="s">
        <v>1070</v>
      </c>
      <c r="C29" s="1146"/>
      <c r="E29" s="770">
        <f>E26</f>
        <v>7557066798.6400003</v>
      </c>
    </row>
    <row r="30" spans="2:8">
      <c r="B30" s="1147" t="s">
        <v>1071</v>
      </c>
      <c r="C30" s="1147"/>
      <c r="E30" s="687">
        <f>E29/E28</f>
        <v>91.927232698236153</v>
      </c>
    </row>
  </sheetData>
  <mergeCells count="4">
    <mergeCell ref="A1:B1"/>
    <mergeCell ref="B28:C28"/>
    <mergeCell ref="B29:C29"/>
    <mergeCell ref="B30:C30"/>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E888D-622D-4D20-9C44-A88A0FA16277}">
  <sheetPr codeName="Sheet35">
    <tabColor rgb="FFFFC000"/>
  </sheetPr>
  <dimension ref="A1:Q88"/>
  <sheetViews>
    <sheetView showGridLines="0" topLeftCell="A39" zoomScale="109" zoomScaleNormal="118" workbookViewId="0">
      <selection activeCell="K59" sqref="K59"/>
    </sheetView>
  </sheetViews>
  <sheetFormatPr defaultColWidth="8.81640625" defaultRowHeight="14.5"/>
  <cols>
    <col min="4" max="4" width="13.7265625" customWidth="1"/>
  </cols>
  <sheetData>
    <row r="1" spans="1:17">
      <c r="A1" s="217" t="s">
        <v>1072</v>
      </c>
      <c r="B1" s="213"/>
      <c r="C1" s="213"/>
      <c r="D1" s="213"/>
      <c r="E1" s="213"/>
      <c r="F1" s="213"/>
      <c r="G1" s="213"/>
      <c r="H1" s="213"/>
      <c r="I1" s="213"/>
      <c r="J1" s="213"/>
      <c r="K1" s="213"/>
      <c r="L1" s="213"/>
      <c r="M1" s="213"/>
      <c r="N1" s="213"/>
      <c r="O1" s="213"/>
      <c r="P1" s="213"/>
    </row>
    <row r="2" spans="1:17">
      <c r="A2" s="656" t="s">
        <v>89</v>
      </c>
      <c r="B2" s="213"/>
      <c r="C2" s="213"/>
      <c r="D2" s="213"/>
      <c r="E2" s="213"/>
      <c r="F2" s="213"/>
      <c r="G2" s="213"/>
      <c r="H2" s="213"/>
      <c r="I2" s="213"/>
      <c r="J2" s="213"/>
      <c r="K2" s="213"/>
      <c r="L2" s="213"/>
      <c r="M2" s="213"/>
      <c r="N2" s="213"/>
      <c r="O2" s="213"/>
      <c r="P2" s="213"/>
    </row>
    <row r="3" spans="1:17">
      <c r="A3" s="213"/>
      <c r="B3" s="213"/>
      <c r="C3" s="213"/>
      <c r="D3" s="213"/>
      <c r="E3" s="213"/>
      <c r="F3" s="213"/>
      <c r="G3" s="213"/>
      <c r="H3" s="213"/>
      <c r="I3" s="213"/>
      <c r="J3" s="213"/>
      <c r="K3" s="213"/>
      <c r="L3" s="213"/>
      <c r="M3" s="213"/>
      <c r="N3" s="213"/>
      <c r="O3" s="213"/>
      <c r="P3" s="213"/>
    </row>
    <row r="4" spans="1:17">
      <c r="A4" s="213"/>
      <c r="B4" s="213"/>
      <c r="C4" s="213"/>
      <c r="D4" s="213"/>
      <c r="E4" s="213"/>
      <c r="F4" s="213"/>
      <c r="G4" s="213"/>
      <c r="H4" s="213"/>
      <c r="I4" s="213"/>
      <c r="J4" s="213"/>
      <c r="K4" s="213"/>
      <c r="L4" s="213"/>
      <c r="M4" s="213"/>
      <c r="N4" s="213"/>
      <c r="O4" s="213"/>
      <c r="P4" s="213"/>
    </row>
    <row r="5" spans="1:17">
      <c r="A5" s="213"/>
      <c r="B5" s="213"/>
      <c r="C5" s="213"/>
      <c r="D5" s="213"/>
      <c r="E5" s="229">
        <v>43983</v>
      </c>
      <c r="F5" s="214">
        <v>44377</v>
      </c>
      <c r="G5" s="214">
        <f>EDATE(F5,12)</f>
        <v>44742</v>
      </c>
      <c r="H5" s="214">
        <f t="shared" ref="H5:O5" si="0">EDATE(G5,12)</f>
        <v>45107</v>
      </c>
      <c r="I5" s="214">
        <f t="shared" si="0"/>
        <v>45473</v>
      </c>
      <c r="J5" s="214">
        <f t="shared" si="0"/>
        <v>45838</v>
      </c>
      <c r="K5" s="214">
        <v>46174</v>
      </c>
      <c r="L5" s="214">
        <f t="shared" si="0"/>
        <v>46539</v>
      </c>
      <c r="M5" s="214">
        <f t="shared" si="0"/>
        <v>46905</v>
      </c>
      <c r="N5" s="214">
        <f t="shared" si="0"/>
        <v>47270</v>
      </c>
      <c r="O5" s="214">
        <f t="shared" si="0"/>
        <v>47635</v>
      </c>
      <c r="P5" s="214">
        <v>48000</v>
      </c>
      <c r="Q5" s="214">
        <f t="shared" ref="Q5" si="1">EDATE(P5,12)</f>
        <v>48366</v>
      </c>
    </row>
    <row r="6" spans="1:17">
      <c r="A6" s="213"/>
      <c r="B6" s="213"/>
      <c r="C6" s="213"/>
      <c r="D6" s="213"/>
      <c r="E6" s="215" t="s">
        <v>16</v>
      </c>
      <c r="F6" s="215" t="s">
        <v>16</v>
      </c>
      <c r="G6" s="215" t="s">
        <v>16</v>
      </c>
      <c r="H6" s="215" t="s">
        <v>16</v>
      </c>
      <c r="I6" s="215" t="s">
        <v>16</v>
      </c>
      <c r="J6" s="215" t="s">
        <v>16</v>
      </c>
      <c r="K6" s="215" t="s">
        <v>16</v>
      </c>
      <c r="L6" s="227" t="s">
        <v>17</v>
      </c>
      <c r="M6" s="227" t="s">
        <v>17</v>
      </c>
      <c r="N6" s="227" t="s">
        <v>17</v>
      </c>
      <c r="O6" s="227" t="s">
        <v>17</v>
      </c>
      <c r="P6" s="227" t="s">
        <v>17</v>
      </c>
      <c r="Q6" s="227" t="s">
        <v>17</v>
      </c>
    </row>
    <row r="7" spans="1:17">
      <c r="A7" s="213"/>
      <c r="B7" s="213"/>
      <c r="C7" s="213"/>
      <c r="D7" s="213"/>
      <c r="E7" s="213"/>
      <c r="F7" s="213"/>
      <c r="G7" s="213"/>
      <c r="H7" s="213"/>
      <c r="I7" s="213"/>
      <c r="J7" s="213"/>
      <c r="K7" s="213"/>
      <c r="L7" s="213"/>
      <c r="M7" s="213"/>
      <c r="N7" s="213"/>
      <c r="O7" s="213"/>
      <c r="P7" s="213"/>
    </row>
    <row r="8" spans="1:17">
      <c r="A8" s="256"/>
      <c r="B8" s="256"/>
      <c r="C8" s="256"/>
      <c r="D8" s="256"/>
      <c r="E8" s="256"/>
      <c r="F8" s="256"/>
      <c r="G8" s="256"/>
      <c r="H8" s="256"/>
      <c r="I8" s="256"/>
      <c r="J8" s="256"/>
      <c r="K8" s="256"/>
      <c r="L8" s="256"/>
      <c r="M8" s="256"/>
      <c r="N8" s="256"/>
      <c r="O8" s="256"/>
      <c r="P8" s="226"/>
      <c r="Q8" s="15"/>
    </row>
    <row r="9" spans="1:17">
      <c r="A9" s="213"/>
      <c r="B9" s="213"/>
      <c r="C9" s="213"/>
      <c r="D9" s="213"/>
      <c r="E9" s="213"/>
      <c r="F9" s="213"/>
      <c r="G9" s="213"/>
      <c r="H9" s="213"/>
      <c r="I9" s="213"/>
      <c r="J9" s="213"/>
      <c r="K9" s="213"/>
      <c r="L9" s="213"/>
      <c r="M9" s="213"/>
      <c r="N9" s="213"/>
      <c r="O9" s="213"/>
      <c r="P9" s="213"/>
    </row>
    <row r="10" spans="1:17">
      <c r="A10" s="213"/>
      <c r="B10" s="217" t="s">
        <v>582</v>
      </c>
      <c r="C10" s="213"/>
      <c r="D10" s="213"/>
      <c r="E10" s="213"/>
      <c r="F10" s="213"/>
      <c r="G10" s="213"/>
      <c r="H10" s="213"/>
      <c r="I10" s="213"/>
      <c r="J10" s="213"/>
      <c r="K10" s="213"/>
      <c r="L10" s="213"/>
      <c r="M10" s="213"/>
      <c r="N10" s="213"/>
      <c r="O10" s="213"/>
      <c r="P10" s="213"/>
    </row>
    <row r="11" spans="1:17">
      <c r="A11" s="213"/>
      <c r="B11" s="222" t="s">
        <v>829</v>
      </c>
      <c r="C11" s="213"/>
      <c r="D11" s="213"/>
      <c r="E11" s="231">
        <v>2156.0410000000002</v>
      </c>
      <c r="F11" s="232">
        <v>1232.2280000000001</v>
      </c>
      <c r="G11" s="232">
        <v>1458.559</v>
      </c>
      <c r="H11" s="232">
        <v>2112.5500000000002</v>
      </c>
      <c r="I11" s="232">
        <v>2338.9029999999998</v>
      </c>
      <c r="J11" s="232">
        <v>2937.1419999999998</v>
      </c>
      <c r="K11" s="259">
        <v>1239.5119999999999</v>
      </c>
      <c r="L11" s="251"/>
      <c r="M11" s="251"/>
      <c r="N11" s="251"/>
      <c r="O11" s="251"/>
      <c r="P11" s="251"/>
      <c r="Q11" s="251"/>
    </row>
    <row r="12" spans="1:17">
      <c r="A12" s="213"/>
      <c r="B12" s="222" t="s">
        <v>830</v>
      </c>
      <c r="C12" s="213"/>
      <c r="D12" s="213"/>
      <c r="E12" s="231">
        <v>128.16200000000001</v>
      </c>
      <c r="F12" s="232">
        <v>183.36500000000001</v>
      </c>
      <c r="G12" s="232">
        <v>308.12700000000001</v>
      </c>
      <c r="H12" s="232">
        <v>477.678</v>
      </c>
      <c r="I12" s="232">
        <v>628.04899999999998</v>
      </c>
      <c r="J12" s="232">
        <v>778.30200000000002</v>
      </c>
      <c r="K12" s="259">
        <v>1269.9469999999999</v>
      </c>
      <c r="L12" s="251"/>
      <c r="M12" s="251"/>
      <c r="N12" s="251"/>
      <c r="O12" s="251"/>
      <c r="P12" s="251"/>
      <c r="Q12" s="251"/>
    </row>
    <row r="13" spans="1:17">
      <c r="A13" s="213"/>
      <c r="B13" s="218" t="s">
        <v>831</v>
      </c>
      <c r="C13" s="213"/>
      <c r="D13" s="213"/>
      <c r="E13" s="231">
        <f>E14+E15</f>
        <v>112.01899999999999</v>
      </c>
      <c r="F13" s="231">
        <f t="shared" ref="F13" si="2">F14+F15</f>
        <v>173.47299999999998</v>
      </c>
      <c r="G13" s="231">
        <f>G14+G15</f>
        <v>306.327</v>
      </c>
      <c r="H13" s="231">
        <f>H14+H15</f>
        <v>476.07799999999997</v>
      </c>
      <c r="I13" s="231">
        <f>I14+I15</f>
        <v>626.44899999999996</v>
      </c>
      <c r="J13" s="231">
        <f>J14+J15</f>
        <v>776.202</v>
      </c>
      <c r="K13" s="259">
        <v>1269.9469999999999</v>
      </c>
      <c r="L13" s="251"/>
      <c r="M13" s="251"/>
      <c r="N13" s="251"/>
      <c r="O13" s="251"/>
      <c r="P13" s="251"/>
      <c r="Q13" s="251"/>
    </row>
    <row r="14" spans="1:17">
      <c r="A14" s="213"/>
      <c r="B14" s="223" t="s">
        <v>832</v>
      </c>
      <c r="C14" s="213"/>
      <c r="D14" s="213"/>
      <c r="E14" s="231">
        <v>113.175</v>
      </c>
      <c r="F14" s="232">
        <v>173.84899999999999</v>
      </c>
      <c r="G14" s="232">
        <v>308.12700000000001</v>
      </c>
      <c r="H14" s="232">
        <v>477.678</v>
      </c>
      <c r="I14" s="232">
        <v>628.04899999999998</v>
      </c>
      <c r="J14" s="232">
        <v>778.30200000000002</v>
      </c>
      <c r="K14" s="259">
        <v>1269.9469999999999</v>
      </c>
      <c r="L14" s="251"/>
      <c r="M14" s="251"/>
      <c r="N14" s="251"/>
      <c r="O14" s="251"/>
      <c r="P14" s="251"/>
      <c r="Q14" s="251"/>
    </row>
    <row r="15" spans="1:17">
      <c r="A15" s="213"/>
      <c r="B15" s="223" t="s">
        <v>833</v>
      </c>
      <c r="C15" s="213"/>
      <c r="D15" s="213"/>
      <c r="E15" s="231">
        <v>-1.1559999999999999</v>
      </c>
      <c r="F15" s="232">
        <v>-0.376</v>
      </c>
      <c r="G15" s="232">
        <v>-1.8</v>
      </c>
      <c r="H15" s="232">
        <v>-1.6</v>
      </c>
      <c r="I15" s="232">
        <v>-1.6</v>
      </c>
      <c r="J15" s="232">
        <v>-2.1</v>
      </c>
      <c r="K15" s="259">
        <v>0</v>
      </c>
      <c r="L15" s="251"/>
      <c r="M15" s="251"/>
      <c r="N15" s="251"/>
      <c r="O15" s="251"/>
      <c r="P15" s="251"/>
      <c r="Q15" s="251"/>
    </row>
    <row r="16" spans="1:17">
      <c r="A16" s="213"/>
      <c r="B16" s="218" t="s">
        <v>834</v>
      </c>
      <c r="C16" s="213"/>
      <c r="D16" s="213"/>
      <c r="E16" s="231">
        <v>16.143000000000001</v>
      </c>
      <c r="F16" s="232">
        <v>9.8919999999999995</v>
      </c>
      <c r="G16" s="232">
        <v>0</v>
      </c>
      <c r="H16" s="232">
        <v>0</v>
      </c>
      <c r="I16" s="232">
        <v>0</v>
      </c>
      <c r="J16" s="232">
        <v>0</v>
      </c>
      <c r="K16" s="259">
        <v>0</v>
      </c>
      <c r="L16" s="251"/>
      <c r="M16" s="251"/>
      <c r="N16" s="251"/>
      <c r="O16" s="251"/>
      <c r="P16" s="251"/>
      <c r="Q16" s="251"/>
    </row>
    <row r="17" spans="1:17">
      <c r="A17" s="213"/>
      <c r="B17" s="222" t="s">
        <v>835</v>
      </c>
      <c r="C17" s="213"/>
      <c r="D17" s="213"/>
      <c r="E17" s="231">
        <v>359.58300000000003</v>
      </c>
      <c r="F17" s="232">
        <v>211.91300000000001</v>
      </c>
      <c r="G17" s="232">
        <v>130.267</v>
      </c>
      <c r="H17" s="232">
        <v>146.136</v>
      </c>
      <c r="I17" s="232">
        <v>80.141999999999996</v>
      </c>
      <c r="J17" s="232">
        <v>125.56</v>
      </c>
      <c r="K17" s="259">
        <v>287.66300000000001</v>
      </c>
      <c r="L17" s="251"/>
      <c r="M17" s="251"/>
      <c r="N17" s="251"/>
      <c r="O17" s="251"/>
      <c r="P17" s="251"/>
      <c r="Q17" s="251"/>
    </row>
    <row r="18" spans="1:17">
      <c r="A18" s="213"/>
      <c r="B18" s="218" t="s">
        <v>638</v>
      </c>
      <c r="C18" s="213"/>
      <c r="D18" s="213"/>
      <c r="E18" s="231">
        <v>31.527000000000001</v>
      </c>
      <c r="F18" s="232">
        <v>36.866</v>
      </c>
      <c r="G18" s="232"/>
      <c r="H18" s="232"/>
      <c r="I18" s="232"/>
      <c r="J18" s="232"/>
      <c r="L18" s="251"/>
      <c r="M18" s="251"/>
      <c r="N18" s="251"/>
      <c r="O18" s="251"/>
      <c r="P18" s="251"/>
      <c r="Q18" s="251"/>
    </row>
    <row r="19" spans="1:17">
      <c r="A19" s="213"/>
      <c r="B19" s="218" t="s">
        <v>836</v>
      </c>
      <c r="C19" s="213"/>
      <c r="D19" s="213"/>
      <c r="E19" s="231">
        <v>328.05599999999998</v>
      </c>
      <c r="F19" s="232">
        <v>175.047</v>
      </c>
      <c r="G19" s="232">
        <v>130.267</v>
      </c>
      <c r="H19" s="232">
        <v>146.136</v>
      </c>
      <c r="I19" s="232">
        <v>80.141999999999996</v>
      </c>
      <c r="J19" s="232">
        <v>125.56</v>
      </c>
      <c r="K19" s="259">
        <v>287.66300000000001</v>
      </c>
      <c r="L19" s="213"/>
      <c r="M19" s="213"/>
      <c r="N19" s="213"/>
      <c r="O19" s="213"/>
      <c r="P19" s="213"/>
      <c r="Q19" s="213"/>
    </row>
    <row r="20" spans="1:17">
      <c r="A20" s="213"/>
      <c r="B20" s="213"/>
      <c r="C20" s="213"/>
      <c r="D20" s="213"/>
      <c r="E20" s="231"/>
      <c r="F20" s="232"/>
      <c r="G20" s="232"/>
      <c r="H20" s="232"/>
      <c r="I20" s="232"/>
      <c r="J20" s="232"/>
      <c r="K20" s="213"/>
      <c r="L20" s="213"/>
      <c r="M20" s="213"/>
      <c r="N20" s="213"/>
      <c r="O20" s="213"/>
      <c r="P20" s="213"/>
      <c r="Q20" s="213"/>
    </row>
    <row r="21" spans="1:17">
      <c r="A21" s="217"/>
      <c r="B21" s="221" t="s">
        <v>589</v>
      </c>
      <c r="C21" s="221"/>
      <c r="D21" s="221"/>
      <c r="E21" s="237">
        <f t="shared" ref="E21:K21" si="3">SUM(E11,E12,E17)</f>
        <v>2643.7860000000001</v>
      </c>
      <c r="F21" s="237">
        <f t="shared" si="3"/>
        <v>1627.5060000000001</v>
      </c>
      <c r="G21" s="237">
        <f t="shared" si="3"/>
        <v>1896.953</v>
      </c>
      <c r="H21" s="237">
        <f t="shared" si="3"/>
        <v>2736.364</v>
      </c>
      <c r="I21" s="237">
        <f t="shared" si="3"/>
        <v>3047.0939999999996</v>
      </c>
      <c r="J21" s="237">
        <f t="shared" si="3"/>
        <v>3841.0039999999999</v>
      </c>
      <c r="K21" s="237">
        <f t="shared" si="3"/>
        <v>2797.1219999999998</v>
      </c>
      <c r="L21" s="251"/>
      <c r="M21" s="251"/>
      <c r="N21" s="251"/>
      <c r="O21" s="251"/>
      <c r="P21" s="251"/>
      <c r="Q21" s="251"/>
    </row>
    <row r="22" spans="1:17">
      <c r="A22" s="213"/>
      <c r="B22" s="213"/>
      <c r="C22" s="213"/>
      <c r="D22" s="213"/>
      <c r="E22" s="231"/>
      <c r="F22" s="232"/>
      <c r="G22" s="232"/>
      <c r="H22" s="232"/>
      <c r="I22" s="232"/>
      <c r="J22" s="232"/>
      <c r="K22" s="213"/>
      <c r="L22" s="213"/>
      <c r="M22" s="213"/>
      <c r="N22" s="213"/>
      <c r="O22" s="213"/>
      <c r="P22" s="213"/>
      <c r="Q22" s="213"/>
    </row>
    <row r="23" spans="1:17">
      <c r="A23" s="213"/>
      <c r="B23" s="242" t="s">
        <v>590</v>
      </c>
      <c r="C23" s="213"/>
      <c r="D23" s="213"/>
      <c r="E23" s="232">
        <f t="shared" ref="E23:K23" si="4">E24-E29</f>
        <v>97.647999999999996</v>
      </c>
      <c r="F23" s="232">
        <f t="shared" si="4"/>
        <v>66.221000000000018</v>
      </c>
      <c r="G23" s="232">
        <f t="shared" si="4"/>
        <v>100.66199999999999</v>
      </c>
      <c r="H23" s="232">
        <f t="shared" si="4"/>
        <v>81.401999999999987</v>
      </c>
      <c r="I23" s="232">
        <f t="shared" si="4"/>
        <v>86.315000000000012</v>
      </c>
      <c r="J23" s="232">
        <f t="shared" si="4"/>
        <v>105.11799999999999</v>
      </c>
      <c r="K23" s="803">
        <f t="shared" si="4"/>
        <v>86.301999999999992</v>
      </c>
      <c r="L23" s="251"/>
      <c r="M23" s="251"/>
      <c r="N23" s="251"/>
      <c r="O23" s="251"/>
      <c r="P23" s="251"/>
      <c r="Q23" s="251"/>
    </row>
    <row r="24" spans="1:17">
      <c r="A24" s="213"/>
      <c r="B24" s="218" t="s">
        <v>591</v>
      </c>
      <c r="C24" s="213"/>
      <c r="D24" s="213"/>
      <c r="E24" s="259">
        <f t="shared" ref="E24:J24" si="5">SUM(E25:E27)</f>
        <v>155.76499999999999</v>
      </c>
      <c r="F24" s="259">
        <f t="shared" si="5"/>
        <v>148.15100000000001</v>
      </c>
      <c r="G24" s="259">
        <f t="shared" si="5"/>
        <v>177.37899999999999</v>
      </c>
      <c r="H24" s="259">
        <f t="shared" si="5"/>
        <v>186.99699999999999</v>
      </c>
      <c r="I24" s="259">
        <f t="shared" si="5"/>
        <v>206.77100000000002</v>
      </c>
      <c r="J24" s="259">
        <f t="shared" si="5"/>
        <v>252.89699999999999</v>
      </c>
      <c r="K24" s="259">
        <f>SUM(K25:K27)</f>
        <v>242.607</v>
      </c>
      <c r="L24" s="251"/>
      <c r="M24" s="251"/>
      <c r="N24" s="251"/>
      <c r="O24" s="251"/>
      <c r="P24" s="251"/>
      <c r="Q24" s="251"/>
    </row>
    <row r="25" spans="1:17">
      <c r="A25" s="213"/>
      <c r="B25" s="252" t="s">
        <v>592</v>
      </c>
      <c r="C25" s="213"/>
      <c r="D25" s="213"/>
      <c r="E25" s="231">
        <v>9.6519999999999992</v>
      </c>
      <c r="F25" s="232">
        <v>10.43</v>
      </c>
      <c r="G25" s="232">
        <v>9.14</v>
      </c>
      <c r="H25" s="232">
        <v>9.298</v>
      </c>
      <c r="I25" s="232">
        <v>11.2</v>
      </c>
      <c r="J25" s="232">
        <v>15.007999999999999</v>
      </c>
      <c r="K25" s="259">
        <v>16.27</v>
      </c>
      <c r="L25" s="251"/>
      <c r="M25" s="251"/>
      <c r="N25" s="251"/>
      <c r="O25" s="251"/>
      <c r="P25" s="251"/>
      <c r="Q25" s="251"/>
    </row>
    <row r="26" spans="1:17">
      <c r="A26" s="213"/>
      <c r="B26" s="252" t="s">
        <v>593</v>
      </c>
      <c r="C26" s="213"/>
      <c r="D26" s="213"/>
      <c r="E26" s="231">
        <v>12.065</v>
      </c>
      <c r="F26" s="232">
        <v>9.5370000000000008</v>
      </c>
      <c r="G26" s="232">
        <v>18.324000000000002</v>
      </c>
      <c r="H26" s="232">
        <v>29.800999999999998</v>
      </c>
      <c r="I26" s="232">
        <v>40.823999999999998</v>
      </c>
      <c r="J26" s="232">
        <v>58.558999999999997</v>
      </c>
      <c r="K26" s="259">
        <v>73.057000000000002</v>
      </c>
      <c r="L26" s="251"/>
      <c r="M26" s="251"/>
      <c r="N26" s="251"/>
      <c r="O26" s="251"/>
      <c r="P26" s="251"/>
      <c r="Q26" s="251"/>
    </row>
    <row r="27" spans="1:17">
      <c r="A27" s="213"/>
      <c r="B27" s="252" t="s">
        <v>840</v>
      </c>
      <c r="C27" s="213"/>
      <c r="D27" s="213"/>
      <c r="E27" s="231">
        <f>122.787+11.261</f>
        <v>134.048</v>
      </c>
      <c r="F27" s="232">
        <v>128.184</v>
      </c>
      <c r="G27" s="232">
        <v>149.91499999999999</v>
      </c>
      <c r="H27" s="232">
        <v>147.898</v>
      </c>
      <c r="I27" s="232">
        <v>154.74700000000001</v>
      </c>
      <c r="J27" s="232">
        <v>179.33</v>
      </c>
      <c r="K27" s="259">
        <f>125.604+27.676</f>
        <v>153.28</v>
      </c>
      <c r="L27" s="251"/>
      <c r="M27" s="251"/>
      <c r="N27" s="251"/>
      <c r="O27" s="251"/>
      <c r="P27" s="251"/>
      <c r="Q27" s="251"/>
    </row>
    <row r="28" spans="1:17">
      <c r="A28" s="213"/>
      <c r="B28" s="537" t="s">
        <v>598</v>
      </c>
      <c r="C28" s="213"/>
      <c r="D28" s="213"/>
      <c r="E28" s="231">
        <v>217.68299999999999</v>
      </c>
      <c r="F28" s="232">
        <v>205.3</v>
      </c>
      <c r="G28" s="232">
        <v>277.27600000000001</v>
      </c>
      <c r="H28" s="232">
        <v>184.19499999999999</v>
      </c>
      <c r="I28" s="232">
        <v>172.46799999999999</v>
      </c>
      <c r="J28" s="232">
        <v>169.12700000000001</v>
      </c>
      <c r="K28" s="259">
        <v>114.059</v>
      </c>
      <c r="L28" s="251"/>
      <c r="M28" s="251"/>
      <c r="N28" s="251"/>
      <c r="O28" s="251"/>
      <c r="P28" s="251"/>
      <c r="Q28" s="251"/>
    </row>
    <row r="29" spans="1:17">
      <c r="A29" s="213"/>
      <c r="B29" s="218" t="s">
        <v>597</v>
      </c>
      <c r="C29" s="217"/>
      <c r="D29" s="213"/>
      <c r="E29" s="231">
        <f>SUM(E30:E32)</f>
        <v>58.116999999999997</v>
      </c>
      <c r="F29" s="231">
        <f>SUM(F30:F32)</f>
        <v>81.929999999999993</v>
      </c>
      <c r="G29" s="232">
        <v>76.716999999999999</v>
      </c>
      <c r="H29" s="232">
        <v>105.595</v>
      </c>
      <c r="I29" s="232">
        <v>120.456</v>
      </c>
      <c r="J29" s="232">
        <v>147.779</v>
      </c>
      <c r="K29" s="259">
        <v>156.30500000000001</v>
      </c>
      <c r="L29" s="251"/>
      <c r="M29" s="251"/>
      <c r="N29" s="251"/>
      <c r="O29" s="251"/>
      <c r="P29" s="251"/>
      <c r="Q29" s="251"/>
    </row>
    <row r="30" spans="1:17">
      <c r="A30" s="213"/>
      <c r="B30" s="252" t="s">
        <v>592</v>
      </c>
      <c r="C30" s="213"/>
      <c r="D30" s="213"/>
      <c r="E30" s="231">
        <v>5.6180000000000003</v>
      </c>
      <c r="F30" s="232">
        <v>7.5449999999999999</v>
      </c>
      <c r="G30" s="232" t="s">
        <v>269</v>
      </c>
      <c r="H30" s="232" t="s">
        <v>269</v>
      </c>
      <c r="I30" s="232" t="s">
        <v>269</v>
      </c>
      <c r="J30" s="232" t="s">
        <v>269</v>
      </c>
      <c r="K30" s="259" t="s">
        <v>269</v>
      </c>
      <c r="L30" s="251"/>
      <c r="M30" s="251"/>
      <c r="N30" s="251"/>
      <c r="O30" s="251"/>
      <c r="P30" s="251"/>
      <c r="Q30" s="251"/>
    </row>
    <row r="31" spans="1:17">
      <c r="A31" s="213"/>
      <c r="B31" s="252" t="s">
        <v>593</v>
      </c>
      <c r="C31" s="213"/>
      <c r="D31" s="213"/>
      <c r="E31" s="231">
        <v>8.6110000000000007</v>
      </c>
      <c r="F31" s="232">
        <v>9.0619999999999994</v>
      </c>
      <c r="G31" s="232" t="s">
        <v>269</v>
      </c>
      <c r="H31" s="232" t="s">
        <v>269</v>
      </c>
      <c r="I31" s="232" t="s">
        <v>269</v>
      </c>
      <c r="J31" s="232" t="s">
        <v>269</v>
      </c>
      <c r="K31" s="259" t="s">
        <v>269</v>
      </c>
      <c r="L31" s="251"/>
      <c r="M31" s="251"/>
      <c r="N31" s="251"/>
      <c r="O31" s="251"/>
      <c r="P31" s="251"/>
      <c r="Q31" s="251"/>
    </row>
    <row r="32" spans="1:17">
      <c r="A32" s="213"/>
      <c r="B32" s="252" t="s">
        <v>840</v>
      </c>
      <c r="C32" s="213"/>
      <c r="D32" s="213"/>
      <c r="E32" s="231">
        <v>43.887999999999998</v>
      </c>
      <c r="F32" s="232">
        <v>65.322999999999993</v>
      </c>
      <c r="G32" s="232" t="s">
        <v>269</v>
      </c>
      <c r="H32" s="232" t="s">
        <v>269</v>
      </c>
      <c r="I32" s="232" t="s">
        <v>269</v>
      </c>
      <c r="J32" s="232" t="s">
        <v>269</v>
      </c>
      <c r="K32" s="259" t="s">
        <v>269</v>
      </c>
      <c r="L32" s="251"/>
      <c r="M32" s="251"/>
      <c r="N32" s="251"/>
      <c r="O32" s="251"/>
      <c r="P32" s="251"/>
      <c r="Q32" s="251"/>
    </row>
    <row r="33" spans="1:17">
      <c r="A33" s="213"/>
      <c r="B33" s="258" t="s">
        <v>842</v>
      </c>
      <c r="C33" s="213"/>
      <c r="D33" s="213"/>
      <c r="E33" s="231">
        <v>113.111</v>
      </c>
      <c r="F33" s="232">
        <v>137.101</v>
      </c>
      <c r="G33" s="232">
        <v>204.53700000000001</v>
      </c>
      <c r="H33" s="232">
        <v>255.11799999999999</v>
      </c>
      <c r="I33" s="232">
        <v>225.28</v>
      </c>
      <c r="J33" s="232">
        <v>226.54499999999999</v>
      </c>
      <c r="K33" s="259">
        <v>213.14699999999999</v>
      </c>
      <c r="L33" s="251"/>
      <c r="M33" s="251"/>
      <c r="N33" s="251"/>
      <c r="O33" s="251"/>
      <c r="P33" s="251"/>
      <c r="Q33" s="251"/>
    </row>
    <row r="34" spans="1:17">
      <c r="A34" s="213"/>
      <c r="B34" s="222" t="s">
        <v>843</v>
      </c>
      <c r="C34" s="213"/>
      <c r="D34" s="213"/>
      <c r="E34" s="231">
        <v>774.83</v>
      </c>
      <c r="F34" s="232">
        <v>850.34799999999996</v>
      </c>
      <c r="G34" s="232">
        <v>823.678</v>
      </c>
      <c r="H34" s="232">
        <v>796.28300000000002</v>
      </c>
      <c r="I34" s="232">
        <v>1587.8130000000001</v>
      </c>
      <c r="J34" s="232">
        <v>1549.2850000000001</v>
      </c>
      <c r="K34" s="259">
        <v>2734.9969999999998</v>
      </c>
      <c r="L34" s="251"/>
      <c r="M34" s="251"/>
      <c r="N34" s="251"/>
      <c r="O34" s="251"/>
      <c r="P34" s="251"/>
      <c r="Q34" s="251"/>
    </row>
    <row r="35" spans="1:17">
      <c r="A35" s="213"/>
      <c r="B35" s="218" t="s">
        <v>600</v>
      </c>
      <c r="C35" s="213"/>
      <c r="D35" s="213"/>
      <c r="E35" s="231">
        <f>E34-E36</f>
        <v>645.1400000000001</v>
      </c>
      <c r="F35" s="231">
        <f t="shared" ref="F35:J35" si="6">F34-F36</f>
        <v>725.75799999999992</v>
      </c>
      <c r="G35" s="231">
        <f t="shared" si="6"/>
        <v>722.83799999999997</v>
      </c>
      <c r="H35" s="231">
        <f t="shared" si="6"/>
        <v>727.21100000000001</v>
      </c>
      <c r="I35" s="231">
        <f t="shared" si="6"/>
        <v>1288.7560000000001</v>
      </c>
      <c r="J35" s="231">
        <f t="shared" si="6"/>
        <v>1304.4450000000002</v>
      </c>
      <c r="K35" s="259">
        <v>2302.739</v>
      </c>
      <c r="L35" s="251"/>
      <c r="M35" s="251"/>
      <c r="N35" s="251"/>
      <c r="O35" s="251"/>
      <c r="P35" s="251"/>
      <c r="Q35" s="251"/>
    </row>
    <row r="36" spans="1:17">
      <c r="A36" s="213"/>
      <c r="B36" s="218" t="s">
        <v>844</v>
      </c>
      <c r="C36" s="213"/>
      <c r="D36" s="213"/>
      <c r="E36" s="231">
        <v>129.69</v>
      </c>
      <c r="F36" s="232">
        <v>124.59</v>
      </c>
      <c r="G36" s="232">
        <v>100.84</v>
      </c>
      <c r="H36" s="232">
        <v>69.072000000000003</v>
      </c>
      <c r="I36" s="232">
        <v>299.05700000000002</v>
      </c>
      <c r="J36" s="232">
        <v>244.84</v>
      </c>
      <c r="K36" s="259">
        <v>432.25799999999998</v>
      </c>
      <c r="L36" s="251"/>
      <c r="M36" s="251"/>
      <c r="N36" s="251"/>
      <c r="O36" s="251"/>
      <c r="P36" s="251"/>
      <c r="Q36" s="251"/>
    </row>
    <row r="37" spans="1:17">
      <c r="A37" s="213"/>
      <c r="B37" s="222" t="s">
        <v>599</v>
      </c>
      <c r="C37" s="213"/>
      <c r="D37" s="213"/>
      <c r="E37" s="231">
        <v>35.350999999999999</v>
      </c>
      <c r="F37" s="232">
        <v>36.173999999999999</v>
      </c>
      <c r="G37" s="232">
        <v>10.335000000000001</v>
      </c>
      <c r="H37" s="232">
        <v>9.9450000000000003</v>
      </c>
      <c r="I37" s="232">
        <v>3.9340000000000002</v>
      </c>
      <c r="J37" s="232">
        <v>3.762</v>
      </c>
      <c r="K37" s="259">
        <v>4.0880000000000001</v>
      </c>
      <c r="L37" s="251"/>
      <c r="M37" s="251"/>
      <c r="N37" s="251"/>
      <c r="O37" s="251"/>
      <c r="P37" s="251"/>
      <c r="Q37" s="251"/>
    </row>
    <row r="38" spans="1:17">
      <c r="A38" s="213"/>
      <c r="B38" s="222" t="s">
        <v>845</v>
      </c>
      <c r="C38" s="213"/>
      <c r="D38" s="213"/>
      <c r="E38" s="231">
        <f>SUM(E39:E40)</f>
        <v>11.663</v>
      </c>
      <c r="F38" s="231">
        <f t="shared" ref="F38:J38" si="7">SUM(F39:F40)</f>
        <v>22.693999999999999</v>
      </c>
      <c r="G38" s="231">
        <f t="shared" si="7"/>
        <v>13.388999999999999</v>
      </c>
      <c r="H38" s="231">
        <f t="shared" si="7"/>
        <v>43.472000000000001</v>
      </c>
      <c r="I38" s="231">
        <f t="shared" si="7"/>
        <v>89.228999999999999</v>
      </c>
      <c r="J38" s="231">
        <f t="shared" si="7"/>
        <v>147.12899999999999</v>
      </c>
      <c r="K38" s="259">
        <v>153.81399999999999</v>
      </c>
      <c r="L38" s="251"/>
      <c r="M38" s="251"/>
      <c r="N38" s="251"/>
      <c r="O38" s="251"/>
      <c r="P38" s="251"/>
      <c r="Q38" s="251"/>
    </row>
    <row r="39" spans="1:17">
      <c r="A39" s="213"/>
      <c r="B39" s="252" t="s">
        <v>846</v>
      </c>
      <c r="C39" s="252"/>
      <c r="D39" s="252"/>
      <c r="E39" s="263">
        <v>0</v>
      </c>
      <c r="F39" s="232">
        <v>0</v>
      </c>
      <c r="G39" s="232">
        <v>0</v>
      </c>
      <c r="H39" s="232">
        <v>0</v>
      </c>
      <c r="I39" s="232">
        <v>79.710999999999999</v>
      </c>
      <c r="J39" s="232">
        <v>136.34</v>
      </c>
      <c r="K39" s="259">
        <v>142.53478756737286</v>
      </c>
      <c r="L39" s="251"/>
      <c r="M39" s="251"/>
      <c r="N39" s="251"/>
      <c r="O39" s="251"/>
      <c r="P39" s="251"/>
      <c r="Q39" s="251"/>
    </row>
    <row r="40" spans="1:17">
      <c r="A40" s="213"/>
      <c r="B40" s="252" t="s">
        <v>847</v>
      </c>
      <c r="C40" s="252"/>
      <c r="D40" s="252"/>
      <c r="E40" s="263">
        <v>11.663</v>
      </c>
      <c r="F40" s="232">
        <v>22.693999999999999</v>
      </c>
      <c r="G40" s="232">
        <v>13.388999999999999</v>
      </c>
      <c r="H40" s="232">
        <v>43.472000000000001</v>
      </c>
      <c r="I40" s="232">
        <v>9.5180000000000007</v>
      </c>
      <c r="J40" s="232">
        <v>10.789</v>
      </c>
      <c r="K40" s="259">
        <v>11.279212432627151</v>
      </c>
      <c r="L40" s="251"/>
      <c r="M40" s="251"/>
      <c r="N40" s="251"/>
      <c r="O40" s="251"/>
      <c r="P40" s="251"/>
      <c r="Q40" s="251"/>
    </row>
    <row r="41" spans="1:17">
      <c r="A41" s="213"/>
      <c r="B41" s="218"/>
      <c r="C41" s="213"/>
      <c r="D41" s="213"/>
      <c r="E41" s="231"/>
      <c r="F41" s="232"/>
      <c r="G41" s="232"/>
      <c r="H41" s="232"/>
      <c r="I41" s="232"/>
      <c r="J41" s="232"/>
      <c r="K41" s="213"/>
      <c r="L41" s="213"/>
      <c r="M41" s="213"/>
      <c r="N41" s="213"/>
      <c r="O41" s="213"/>
      <c r="P41" s="213"/>
      <c r="Q41" s="213"/>
    </row>
    <row r="42" spans="1:17">
      <c r="A42" s="217"/>
      <c r="B42" s="253" t="s">
        <v>604</v>
      </c>
      <c r="C42" s="253"/>
      <c r="D42" s="253"/>
      <c r="E42" s="264">
        <f t="shared" ref="E42:K42" si="8">E38+E37+E34+E33+E23+E28</f>
        <v>1250.2860000000001</v>
      </c>
      <c r="F42" s="264">
        <f t="shared" si="8"/>
        <v>1317.838</v>
      </c>
      <c r="G42" s="264">
        <f t="shared" si="8"/>
        <v>1429.8770000000002</v>
      </c>
      <c r="H42" s="264">
        <f t="shared" si="8"/>
        <v>1370.415</v>
      </c>
      <c r="I42" s="264">
        <f t="shared" si="8"/>
        <v>2165.0390000000002</v>
      </c>
      <c r="J42" s="264">
        <f t="shared" si="8"/>
        <v>2200.9660000000003</v>
      </c>
      <c r="K42" s="264">
        <f t="shared" si="8"/>
        <v>3306.4070000000002</v>
      </c>
      <c r="L42" s="251"/>
      <c r="M42" s="251"/>
      <c r="N42" s="251"/>
      <c r="O42" s="251"/>
      <c r="P42" s="251"/>
      <c r="Q42" s="251"/>
    </row>
    <row r="43" spans="1:17">
      <c r="A43" s="213"/>
      <c r="B43" s="213"/>
      <c r="C43" s="213"/>
      <c r="D43" s="213"/>
      <c r="E43" s="231"/>
      <c r="F43" s="232"/>
      <c r="G43" s="232"/>
      <c r="H43" s="232"/>
      <c r="I43" s="232"/>
      <c r="J43" s="232"/>
      <c r="K43" s="213"/>
      <c r="L43" s="213"/>
      <c r="M43" s="213"/>
      <c r="N43" s="213"/>
      <c r="O43" s="213"/>
      <c r="P43" s="213"/>
      <c r="Q43" s="213"/>
    </row>
    <row r="44" spans="1:17">
      <c r="A44" s="217"/>
      <c r="B44" s="253" t="s">
        <v>605</v>
      </c>
      <c r="C44" s="253"/>
      <c r="D44" s="253"/>
      <c r="E44" s="264">
        <f t="shared" ref="E44:K44" si="9">E42+E21</f>
        <v>3894.0720000000001</v>
      </c>
      <c r="F44" s="264">
        <f t="shared" si="9"/>
        <v>2945.3440000000001</v>
      </c>
      <c r="G44" s="264">
        <f t="shared" si="9"/>
        <v>3326.83</v>
      </c>
      <c r="H44" s="264">
        <f t="shared" si="9"/>
        <v>4106.7790000000005</v>
      </c>
      <c r="I44" s="264">
        <f t="shared" si="9"/>
        <v>5212.1329999999998</v>
      </c>
      <c r="J44" s="264">
        <f t="shared" si="9"/>
        <v>6041.97</v>
      </c>
      <c r="K44" s="264">
        <f t="shared" si="9"/>
        <v>6103.5290000000005</v>
      </c>
      <c r="L44" s="251"/>
      <c r="M44" s="251"/>
      <c r="N44" s="251"/>
      <c r="O44" s="251"/>
      <c r="P44" s="251"/>
      <c r="Q44" s="251"/>
    </row>
    <row r="45" spans="1:17">
      <c r="A45" s="213"/>
      <c r="B45" s="213"/>
      <c r="C45" s="213"/>
      <c r="D45" s="213"/>
      <c r="E45" s="231"/>
      <c r="F45" s="232"/>
      <c r="G45" s="232"/>
      <c r="H45" s="232"/>
      <c r="I45" s="232"/>
      <c r="J45" s="232"/>
      <c r="K45" s="213"/>
      <c r="L45" s="213"/>
      <c r="M45" s="213"/>
      <c r="N45" s="213"/>
      <c r="O45" s="213"/>
      <c r="P45" s="213"/>
      <c r="Q45" s="213"/>
    </row>
    <row r="46" spans="1:17">
      <c r="A46" s="213"/>
      <c r="B46" s="217" t="s">
        <v>606</v>
      </c>
      <c r="C46" s="213"/>
      <c r="D46" s="213"/>
      <c r="E46" s="231"/>
      <c r="F46" s="232"/>
      <c r="G46" s="232"/>
      <c r="H46" s="232"/>
      <c r="I46" s="232"/>
      <c r="J46" s="232"/>
      <c r="K46" s="213"/>
      <c r="L46" s="213"/>
      <c r="M46" s="213"/>
      <c r="N46" s="213"/>
      <c r="O46" s="213"/>
      <c r="P46" s="213"/>
      <c r="Q46" s="213"/>
    </row>
    <row r="47" spans="1:17">
      <c r="A47" s="213"/>
      <c r="B47" s="222" t="s">
        <v>607</v>
      </c>
      <c r="C47" s="213"/>
      <c r="D47" s="213"/>
      <c r="E47" s="231"/>
      <c r="F47" s="232"/>
      <c r="G47" s="232"/>
      <c r="H47" s="232"/>
      <c r="I47" s="232"/>
      <c r="J47" s="232"/>
      <c r="K47" s="213"/>
      <c r="L47" s="213"/>
      <c r="M47" s="213"/>
      <c r="N47" s="213"/>
      <c r="O47" s="213"/>
      <c r="P47" s="213"/>
      <c r="Q47" s="213"/>
    </row>
    <row r="48" spans="1:17">
      <c r="A48" s="213"/>
      <c r="B48" s="257" t="s">
        <v>848</v>
      </c>
      <c r="C48" s="213"/>
      <c r="D48" s="213"/>
      <c r="E48" s="231">
        <v>923.92600000000004</v>
      </c>
      <c r="F48" s="232">
        <v>391.245</v>
      </c>
      <c r="G48" s="232">
        <v>40.637999999999998</v>
      </c>
      <c r="H48" s="232">
        <v>82.43</v>
      </c>
      <c r="I48" s="232">
        <v>48.953000000000003</v>
      </c>
      <c r="J48" s="232">
        <v>50.164000000000001</v>
      </c>
      <c r="K48" s="259">
        <v>48.51</v>
      </c>
      <c r="L48" s="251"/>
      <c r="M48" s="251"/>
      <c r="N48" s="251"/>
      <c r="O48" s="251"/>
      <c r="P48" s="251"/>
      <c r="Q48" s="251"/>
    </row>
    <row r="49" spans="1:17">
      <c r="A49" s="213"/>
      <c r="B49" s="257" t="s">
        <v>609</v>
      </c>
      <c r="C49" s="213"/>
      <c r="D49" s="213"/>
      <c r="E49" s="231">
        <v>30.738</v>
      </c>
      <c r="F49" s="232">
        <v>40.366</v>
      </c>
      <c r="G49" s="232">
        <v>81.22</v>
      </c>
      <c r="H49" s="232">
        <v>159.29300000000001</v>
      </c>
      <c r="I49" s="232">
        <v>177.54499999999999</v>
      </c>
      <c r="J49" s="232">
        <v>222.09200000000001</v>
      </c>
      <c r="K49" s="259">
        <v>262.60899999999998</v>
      </c>
      <c r="L49" s="251"/>
      <c r="M49" s="251"/>
      <c r="N49" s="251"/>
      <c r="O49" s="251"/>
      <c r="P49" s="251"/>
      <c r="Q49" s="251"/>
    </row>
    <row r="50" spans="1:17">
      <c r="A50" s="213"/>
      <c r="B50" s="257" t="s">
        <v>849</v>
      </c>
      <c r="C50" s="213"/>
      <c r="D50" s="213"/>
      <c r="E50" s="231">
        <v>19.582999999999998</v>
      </c>
      <c r="F50" s="232">
        <v>42.051000000000002</v>
      </c>
      <c r="G50" s="232">
        <v>26.367000000000001</v>
      </c>
      <c r="H50" s="232">
        <v>88.748000000000005</v>
      </c>
      <c r="I50" s="232">
        <v>55.203000000000003</v>
      </c>
      <c r="J50" s="232">
        <v>36.725999999999999</v>
      </c>
      <c r="K50" s="259">
        <v>17.43</v>
      </c>
      <c r="L50" s="251"/>
      <c r="M50" s="251"/>
      <c r="N50" s="251"/>
      <c r="O50" s="251"/>
      <c r="P50" s="251"/>
      <c r="Q50" s="251"/>
    </row>
    <row r="51" spans="1:17">
      <c r="A51" s="213"/>
      <c r="B51" s="257" t="s">
        <v>850</v>
      </c>
      <c r="C51" s="213"/>
      <c r="D51" s="213"/>
      <c r="E51" s="231">
        <f>SUM(E52:E53)</f>
        <v>2044.5319999999999</v>
      </c>
      <c r="F51" s="231">
        <f t="shared" ref="F51:K51" si="10">SUM(F52:F53)</f>
        <v>1836.3489999999999</v>
      </c>
      <c r="G51" s="231">
        <f t="shared" si="10"/>
        <v>1445.8310000000001</v>
      </c>
      <c r="H51" s="231">
        <f t="shared" si="10"/>
        <v>1697.1189999999999</v>
      </c>
      <c r="I51" s="231">
        <f t="shared" si="10"/>
        <v>2328.4249999999997</v>
      </c>
      <c r="J51" s="231">
        <f t="shared" si="10"/>
        <v>2871.877</v>
      </c>
      <c r="K51" s="231">
        <f t="shared" si="10"/>
        <v>3242.58</v>
      </c>
      <c r="L51" s="251"/>
      <c r="M51" s="251"/>
      <c r="N51" s="251"/>
      <c r="O51" s="251"/>
      <c r="P51" s="251"/>
      <c r="Q51" s="251"/>
    </row>
    <row r="52" spans="1:17">
      <c r="A52" s="213"/>
      <c r="B52" s="223" t="s">
        <v>851</v>
      </c>
      <c r="C52" s="213"/>
      <c r="D52" s="213"/>
      <c r="E52" s="231">
        <v>72.626999999999995</v>
      </c>
      <c r="F52" s="232">
        <v>91.894000000000005</v>
      </c>
      <c r="G52" s="232">
        <v>197.70099999999999</v>
      </c>
      <c r="H52" s="232">
        <v>191.80099999999999</v>
      </c>
      <c r="I52" s="232">
        <v>332.51799999999997</v>
      </c>
      <c r="J52" s="232">
        <v>422.98599999999999</v>
      </c>
      <c r="K52" s="259">
        <v>747.149</v>
      </c>
      <c r="L52" s="251"/>
      <c r="M52" s="251"/>
      <c r="N52" s="251"/>
      <c r="O52" s="251"/>
      <c r="P52" s="251"/>
      <c r="Q52" s="251"/>
    </row>
    <row r="53" spans="1:17">
      <c r="A53" s="213"/>
      <c r="B53" s="223" t="s">
        <v>852</v>
      </c>
      <c r="C53" s="213"/>
      <c r="D53" s="213"/>
      <c r="E53" s="231">
        <v>1971.905</v>
      </c>
      <c r="F53" s="232">
        <v>1744.4549999999999</v>
      </c>
      <c r="G53" s="232">
        <v>1248.1300000000001</v>
      </c>
      <c r="H53" s="232">
        <v>1505.318</v>
      </c>
      <c r="I53" s="232">
        <v>1995.9069999999999</v>
      </c>
      <c r="J53" s="232">
        <v>2448.8910000000001</v>
      </c>
      <c r="K53" s="259">
        <v>2495.431</v>
      </c>
      <c r="L53" s="251"/>
      <c r="M53" s="251"/>
      <c r="N53" s="251"/>
      <c r="O53" s="251"/>
      <c r="P53" s="251"/>
      <c r="Q53" s="251"/>
    </row>
    <row r="54" spans="1:17">
      <c r="A54" s="213"/>
      <c r="B54" s="213"/>
      <c r="C54" s="213"/>
      <c r="D54" s="213"/>
      <c r="E54" s="231"/>
      <c r="F54" s="232"/>
      <c r="G54" s="232"/>
      <c r="H54" s="232"/>
      <c r="I54" s="232"/>
      <c r="J54" s="232"/>
      <c r="K54" s="213"/>
      <c r="L54" s="213"/>
      <c r="M54" s="213"/>
      <c r="N54" s="213"/>
      <c r="O54" s="213"/>
      <c r="P54" s="213"/>
      <c r="Q54" s="213"/>
    </row>
    <row r="55" spans="1:17">
      <c r="A55" s="217"/>
      <c r="B55" s="254" t="s">
        <v>615</v>
      </c>
      <c r="C55" s="253"/>
      <c r="D55" s="253"/>
      <c r="E55" s="264">
        <f>SUM(E48:E51)</f>
        <v>3018.779</v>
      </c>
      <c r="F55" s="264">
        <f t="shared" ref="F55:K55" si="11">SUM(F48:F51)</f>
        <v>2310.011</v>
      </c>
      <c r="G55" s="264">
        <f t="shared" si="11"/>
        <v>1594.056</v>
      </c>
      <c r="H55" s="264">
        <f t="shared" si="11"/>
        <v>2027.59</v>
      </c>
      <c r="I55" s="264">
        <f t="shared" si="11"/>
        <v>2610.1259999999997</v>
      </c>
      <c r="J55" s="264">
        <f t="shared" si="11"/>
        <v>3180.8589999999999</v>
      </c>
      <c r="K55" s="264">
        <f t="shared" si="11"/>
        <v>3571.1289999999999</v>
      </c>
      <c r="L55" s="251"/>
      <c r="M55" s="251"/>
      <c r="N55" s="251"/>
      <c r="O55" s="251"/>
      <c r="P55" s="251"/>
      <c r="Q55" s="251"/>
    </row>
    <row r="56" spans="1:17">
      <c r="A56" s="213"/>
      <c r="B56" s="213"/>
      <c r="C56" s="213"/>
      <c r="D56" s="213"/>
      <c r="E56" s="231"/>
      <c r="F56" s="232"/>
      <c r="G56" s="232"/>
      <c r="H56" s="232"/>
      <c r="I56" s="232"/>
      <c r="J56" s="232"/>
      <c r="K56" s="213"/>
      <c r="L56" s="213"/>
      <c r="M56" s="213"/>
      <c r="N56" s="213"/>
      <c r="O56" s="213"/>
      <c r="P56" s="213"/>
      <c r="Q56" s="213"/>
    </row>
    <row r="57" spans="1:17">
      <c r="A57" s="213"/>
      <c r="B57" s="222" t="s">
        <v>853</v>
      </c>
      <c r="C57" s="213"/>
      <c r="D57" s="213"/>
      <c r="E57" s="231"/>
      <c r="F57" s="232"/>
      <c r="G57" s="232"/>
      <c r="H57" s="232"/>
      <c r="I57" s="232"/>
      <c r="J57" s="232"/>
      <c r="K57" s="213"/>
      <c r="L57" s="213"/>
      <c r="M57" s="213"/>
      <c r="N57" s="213"/>
      <c r="O57" s="213"/>
      <c r="P57" s="213"/>
      <c r="Q57" s="213"/>
    </row>
    <row r="58" spans="1:17">
      <c r="A58" s="213"/>
      <c r="B58" s="257" t="s">
        <v>618</v>
      </c>
      <c r="C58" s="213"/>
      <c r="D58" s="213"/>
      <c r="E58" s="231">
        <f>SUM(E59:E60)</f>
        <v>229.82499999999999</v>
      </c>
      <c r="F58" s="231">
        <f t="shared" ref="F58:J58" si="12">SUM(F59:F60)</f>
        <v>214.10300000000001</v>
      </c>
      <c r="G58" s="231">
        <f t="shared" si="12"/>
        <v>1273.8530000000001</v>
      </c>
      <c r="H58" s="231">
        <f t="shared" si="12"/>
        <v>1199.9279999999999</v>
      </c>
      <c r="I58" s="231">
        <f t="shared" si="12"/>
        <v>1200.385</v>
      </c>
      <c r="J58" s="231">
        <f t="shared" si="12"/>
        <v>1189.1669999999999</v>
      </c>
      <c r="K58" s="259">
        <v>1184.4009999999998</v>
      </c>
      <c r="L58" s="251"/>
      <c r="M58" s="251"/>
      <c r="N58" s="251"/>
      <c r="O58" s="251"/>
      <c r="P58" s="251"/>
      <c r="Q58" s="251"/>
    </row>
    <row r="59" spans="1:17">
      <c r="A59" s="213"/>
      <c r="B59" s="223" t="s">
        <v>854</v>
      </c>
      <c r="C59" s="213"/>
      <c r="D59" s="213"/>
      <c r="E59" s="231">
        <v>0</v>
      </c>
      <c r="F59" s="232">
        <v>0</v>
      </c>
      <c r="G59" s="232">
        <v>999.41899999999998</v>
      </c>
      <c r="H59" s="232">
        <v>962.09299999999996</v>
      </c>
      <c r="I59" s="232">
        <v>985.91099999999994</v>
      </c>
      <c r="J59" s="232">
        <v>987.68399999999997</v>
      </c>
      <c r="K59" s="259">
        <v>989.56</v>
      </c>
      <c r="L59" s="251"/>
      <c r="M59" s="251"/>
      <c r="N59" s="251"/>
      <c r="O59" s="251"/>
      <c r="P59" s="251"/>
      <c r="Q59" s="251"/>
    </row>
    <row r="60" spans="1:17">
      <c r="A60" s="213"/>
      <c r="B60" s="223" t="s">
        <v>855</v>
      </c>
      <c r="C60" s="213"/>
      <c r="D60" s="213"/>
      <c r="E60" s="231">
        <v>229.82499999999999</v>
      </c>
      <c r="F60" s="232">
        <v>214.10300000000001</v>
      </c>
      <c r="G60" s="232">
        <v>274.43400000000003</v>
      </c>
      <c r="H60" s="232">
        <v>237.83500000000001</v>
      </c>
      <c r="I60" s="232">
        <v>214.47399999999999</v>
      </c>
      <c r="J60" s="232">
        <v>201.483</v>
      </c>
      <c r="K60" s="259">
        <v>194.84100000000001</v>
      </c>
      <c r="L60" s="251"/>
      <c r="M60" s="251"/>
      <c r="N60" s="251"/>
      <c r="O60" s="251"/>
      <c r="P60" s="251"/>
      <c r="Q60" s="251"/>
    </row>
    <row r="61" spans="1:17">
      <c r="A61" s="213"/>
      <c r="B61" s="257" t="s">
        <v>856</v>
      </c>
      <c r="C61" s="213"/>
      <c r="D61" s="213"/>
      <c r="E61" s="231">
        <v>9.4930000000000003</v>
      </c>
      <c r="F61" s="232">
        <v>12.435</v>
      </c>
      <c r="G61" s="232">
        <v>0</v>
      </c>
      <c r="H61" s="232">
        <v>0</v>
      </c>
      <c r="I61" s="232">
        <v>0</v>
      </c>
      <c r="J61" s="232">
        <v>0</v>
      </c>
      <c r="K61" s="259">
        <v>0</v>
      </c>
      <c r="L61" s="251"/>
      <c r="M61" s="251"/>
      <c r="N61" s="251"/>
      <c r="O61" s="251"/>
      <c r="P61" s="251"/>
      <c r="Q61" s="251"/>
    </row>
    <row r="62" spans="1:17">
      <c r="A62" s="213"/>
      <c r="B62" s="257" t="s">
        <v>617</v>
      </c>
      <c r="C62" s="213"/>
      <c r="D62" s="213"/>
      <c r="E62" s="231">
        <v>31.303999999999998</v>
      </c>
      <c r="F62" s="232">
        <v>26.625</v>
      </c>
      <c r="G62" s="232">
        <v>0.312</v>
      </c>
      <c r="H62" s="232">
        <v>10.669</v>
      </c>
      <c r="I62" s="232">
        <v>20.387</v>
      </c>
      <c r="J62" s="232">
        <v>23.881</v>
      </c>
      <c r="K62" s="259">
        <v>27.853000000000002</v>
      </c>
      <c r="L62" s="251"/>
      <c r="M62" s="251"/>
      <c r="N62" s="251"/>
      <c r="O62" s="251"/>
      <c r="P62" s="251"/>
      <c r="Q62" s="251"/>
    </row>
    <row r="63" spans="1:17">
      <c r="A63" s="213"/>
      <c r="B63" s="257" t="s">
        <v>857</v>
      </c>
      <c r="C63" s="213"/>
      <c r="D63" s="213"/>
      <c r="E63" s="231">
        <v>29.364999999999998</v>
      </c>
      <c r="F63" s="232">
        <v>87.256</v>
      </c>
      <c r="G63" s="232">
        <v>131.23699999999999</v>
      </c>
      <c r="H63" s="232">
        <v>213.92</v>
      </c>
      <c r="I63" s="232">
        <v>348.38400000000001</v>
      </c>
      <c r="J63" s="232">
        <v>302.40899999999999</v>
      </c>
      <c r="K63" s="259">
        <v>261.70499999999998</v>
      </c>
      <c r="L63" s="251"/>
      <c r="M63" s="251"/>
      <c r="N63" s="251"/>
      <c r="O63" s="251"/>
      <c r="P63" s="251"/>
      <c r="Q63" s="251"/>
    </row>
    <row r="64" spans="1:17">
      <c r="A64" s="213"/>
      <c r="B64" s="223" t="s">
        <v>858</v>
      </c>
      <c r="C64" s="213"/>
      <c r="D64" s="213"/>
      <c r="E64" s="231">
        <v>2.173</v>
      </c>
      <c r="F64" s="232">
        <v>2.6040000000000001</v>
      </c>
      <c r="G64" s="232">
        <v>14.616</v>
      </c>
      <c r="H64" s="232">
        <v>31.177</v>
      </c>
      <c r="I64" s="232">
        <v>39.917000000000002</v>
      </c>
      <c r="J64" s="232">
        <v>48.156999999999996</v>
      </c>
      <c r="K64" s="259">
        <v>95.444999999999993</v>
      </c>
      <c r="L64" s="251"/>
      <c r="M64" s="251"/>
      <c r="N64" s="251"/>
      <c r="O64" s="251"/>
      <c r="P64" s="251"/>
      <c r="Q64" s="251"/>
    </row>
    <row r="65" spans="1:17">
      <c r="A65" s="213"/>
      <c r="B65" s="223" t="s">
        <v>859</v>
      </c>
      <c r="C65" s="213"/>
      <c r="D65" s="213"/>
      <c r="E65" s="231">
        <v>27.192</v>
      </c>
      <c r="F65" s="232">
        <v>84.652000000000001</v>
      </c>
      <c r="G65" s="232">
        <v>116.621</v>
      </c>
      <c r="H65" s="232">
        <v>182.74299999999999</v>
      </c>
      <c r="I65" s="232">
        <v>308.46699999999998</v>
      </c>
      <c r="J65" s="232">
        <v>254.25200000000001</v>
      </c>
      <c r="K65" s="259">
        <v>166.26</v>
      </c>
      <c r="L65" s="251"/>
      <c r="M65" s="251"/>
      <c r="N65" s="251"/>
      <c r="O65" s="251"/>
      <c r="P65" s="251"/>
      <c r="Q65" s="251"/>
    </row>
    <row r="66" spans="1:17">
      <c r="A66" s="213"/>
      <c r="B66" s="223"/>
      <c r="C66" s="213"/>
      <c r="D66" s="213"/>
      <c r="E66" s="231"/>
      <c r="F66" s="232"/>
      <c r="G66" s="232"/>
      <c r="H66" s="232"/>
      <c r="I66" s="232"/>
      <c r="J66" s="232"/>
      <c r="K66" s="213"/>
      <c r="L66" s="213"/>
      <c r="M66" s="213"/>
      <c r="N66" s="213"/>
      <c r="O66" s="213"/>
      <c r="P66" s="213"/>
      <c r="Q66" s="213"/>
    </row>
    <row r="67" spans="1:17">
      <c r="A67" s="217"/>
      <c r="B67" s="254" t="s">
        <v>621</v>
      </c>
      <c r="C67" s="253"/>
      <c r="D67" s="253"/>
      <c r="E67" s="264">
        <f>E58+E63+E61+E62</f>
        <v>299.98699999999997</v>
      </c>
      <c r="F67" s="264">
        <f t="shared" ref="F67:K67" si="13">F58+F63+F61+F62</f>
        <v>340.41900000000004</v>
      </c>
      <c r="G67" s="264">
        <f t="shared" si="13"/>
        <v>1405.402</v>
      </c>
      <c r="H67" s="264">
        <f t="shared" si="13"/>
        <v>1424.5170000000001</v>
      </c>
      <c r="I67" s="264">
        <f t="shared" si="13"/>
        <v>1569.1559999999999</v>
      </c>
      <c r="J67" s="264">
        <f t="shared" si="13"/>
        <v>1515.4570000000001</v>
      </c>
      <c r="K67" s="264">
        <f t="shared" si="13"/>
        <v>1473.9589999999998</v>
      </c>
      <c r="L67" s="251"/>
      <c r="M67" s="251"/>
      <c r="N67" s="251"/>
      <c r="O67" s="251"/>
      <c r="P67" s="251"/>
      <c r="Q67" s="251"/>
    </row>
    <row r="68" spans="1:17">
      <c r="A68" s="213"/>
      <c r="B68" s="213"/>
      <c r="C68" s="213"/>
      <c r="D68" s="213"/>
      <c r="E68" s="231"/>
      <c r="F68" s="231"/>
      <c r="G68" s="231"/>
      <c r="H68" s="231"/>
      <c r="I68" s="231"/>
      <c r="J68" s="231"/>
      <c r="K68" s="213"/>
      <c r="L68" s="213"/>
      <c r="M68" s="213"/>
      <c r="N68" s="213"/>
      <c r="O68" s="213"/>
      <c r="P68" s="213"/>
      <c r="Q68" s="213"/>
    </row>
    <row r="69" spans="1:17">
      <c r="A69" s="217"/>
      <c r="B69" s="254" t="s">
        <v>622</v>
      </c>
      <c r="C69" s="253"/>
      <c r="D69" s="253"/>
      <c r="E69" s="264">
        <f>E67+E55</f>
        <v>3318.7660000000001</v>
      </c>
      <c r="F69" s="264">
        <f t="shared" ref="F69:K69" si="14">F67+F55</f>
        <v>2650.43</v>
      </c>
      <c r="G69" s="264">
        <f t="shared" si="14"/>
        <v>2999.4580000000001</v>
      </c>
      <c r="H69" s="264">
        <f t="shared" si="14"/>
        <v>3452.107</v>
      </c>
      <c r="I69" s="264">
        <f t="shared" si="14"/>
        <v>4179.2819999999992</v>
      </c>
      <c r="J69" s="264">
        <f t="shared" si="14"/>
        <v>4696.3159999999998</v>
      </c>
      <c r="K69" s="264">
        <f t="shared" si="14"/>
        <v>5045.0879999999997</v>
      </c>
      <c r="L69" s="251"/>
      <c r="M69" s="251"/>
      <c r="N69" s="251"/>
      <c r="O69" s="251"/>
      <c r="P69" s="251"/>
      <c r="Q69" s="251"/>
    </row>
    <row r="70" spans="1:17">
      <c r="A70" s="213"/>
      <c r="B70" s="213"/>
      <c r="C70" s="213"/>
      <c r="D70" s="213"/>
      <c r="E70" s="231"/>
      <c r="F70" s="232"/>
      <c r="G70" s="232"/>
      <c r="H70" s="232"/>
      <c r="I70" s="232"/>
      <c r="J70" s="232"/>
      <c r="K70" s="213"/>
      <c r="L70" s="213"/>
      <c r="M70" s="213"/>
      <c r="N70" s="213"/>
      <c r="O70" s="213"/>
      <c r="P70" s="231"/>
      <c r="Q70" s="232"/>
    </row>
    <row r="71" spans="1:17">
      <c r="A71" s="213"/>
      <c r="B71" s="217" t="s">
        <v>623</v>
      </c>
      <c r="C71" s="213"/>
      <c r="D71" s="213"/>
      <c r="E71" s="231"/>
      <c r="F71" s="232"/>
      <c r="G71" s="232"/>
      <c r="H71" s="232"/>
      <c r="I71" s="232"/>
      <c r="J71" s="232"/>
      <c r="K71" s="213"/>
      <c r="L71" s="213"/>
      <c r="M71" s="213"/>
      <c r="N71" s="213"/>
      <c r="O71" s="213"/>
      <c r="P71" s="213"/>
      <c r="Q71" s="213"/>
    </row>
    <row r="72" spans="1:17">
      <c r="A72" s="213"/>
      <c r="B72" s="242" t="s">
        <v>860</v>
      </c>
      <c r="C72" s="213"/>
      <c r="D72" s="213"/>
      <c r="E72" s="231">
        <f>SUM(E73:E78)</f>
        <v>575.30599999999981</v>
      </c>
      <c r="F72" s="231">
        <f t="shared" ref="F72:J72" si="15">SUM(F73:F78)</f>
        <v>294.91400000000021</v>
      </c>
      <c r="G72" s="231">
        <f t="shared" si="15"/>
        <v>327.37200000000001</v>
      </c>
      <c r="H72" s="231">
        <f t="shared" si="15"/>
        <v>654.67200000000003</v>
      </c>
      <c r="I72" s="231">
        <f t="shared" si="15"/>
        <v>1032.8510000000003</v>
      </c>
      <c r="J72" s="231">
        <f t="shared" si="15"/>
        <v>1345.654</v>
      </c>
      <c r="K72" s="259">
        <v>1058.442</v>
      </c>
      <c r="L72" s="251"/>
      <c r="M72" s="251"/>
      <c r="N72" s="251"/>
      <c r="O72" s="251"/>
      <c r="P72" s="251"/>
      <c r="Q72" s="251"/>
    </row>
    <row r="73" spans="1:17">
      <c r="A73" s="213"/>
      <c r="B73" s="218" t="s">
        <v>861</v>
      </c>
      <c r="C73" s="213"/>
      <c r="D73" s="213"/>
      <c r="E73" s="231">
        <v>24.744</v>
      </c>
      <c r="F73" s="232">
        <v>25.164000000000001</v>
      </c>
      <c r="G73" s="232">
        <v>2E-3</v>
      </c>
      <c r="H73" s="232">
        <v>3.0000000000000001E-3</v>
      </c>
      <c r="I73" s="232">
        <v>3.0000000000000001E-3</v>
      </c>
      <c r="J73" s="232">
        <v>3.0000000000000001E-3</v>
      </c>
      <c r="K73" s="259">
        <v>0</v>
      </c>
      <c r="L73" s="251"/>
      <c r="M73" s="251"/>
      <c r="N73" s="251"/>
      <c r="O73" s="251"/>
      <c r="P73" s="251"/>
      <c r="Q73" s="251"/>
    </row>
    <row r="74" spans="1:17">
      <c r="A74" s="213"/>
      <c r="B74" s="218" t="s">
        <v>862</v>
      </c>
      <c r="C74" s="213"/>
      <c r="D74" s="213"/>
      <c r="E74" s="231">
        <v>-1116.3920000000001</v>
      </c>
      <c r="F74" s="232">
        <v>-1812.7070000000001</v>
      </c>
      <c r="G74" s="232">
        <v>-1869.03</v>
      </c>
      <c r="H74" s="232">
        <v>-2509.9639999999999</v>
      </c>
      <c r="I74" s="232">
        <v>-3204.5160000000001</v>
      </c>
      <c r="J74" s="232">
        <v>-4241.8649999999998</v>
      </c>
      <c r="K74" s="804">
        <v>-6105.3779999999997</v>
      </c>
      <c r="L74" s="251"/>
      <c r="M74" s="251"/>
      <c r="N74" s="251"/>
      <c r="O74" s="251"/>
      <c r="P74" s="251"/>
      <c r="Q74" s="251"/>
    </row>
    <row r="75" spans="1:17">
      <c r="A75" s="213"/>
      <c r="B75" s="218" t="s">
        <v>863</v>
      </c>
      <c r="C75" s="213"/>
      <c r="D75" s="213"/>
      <c r="E75" s="231">
        <v>459.892</v>
      </c>
      <c r="F75" s="232">
        <v>461.01600000000002</v>
      </c>
      <c r="G75" s="232">
        <v>2182.5360000000001</v>
      </c>
      <c r="H75" s="232">
        <v>3130.6309999999999</v>
      </c>
      <c r="I75" s="232">
        <v>4212.0640000000003</v>
      </c>
      <c r="J75" s="232">
        <v>5574.29</v>
      </c>
      <c r="K75" s="259">
        <v>7180.8509999999997</v>
      </c>
      <c r="L75" s="251"/>
      <c r="M75" s="251"/>
      <c r="N75" s="251"/>
      <c r="O75" s="251"/>
      <c r="P75" s="251"/>
      <c r="Q75" s="251"/>
    </row>
    <row r="76" spans="1:17">
      <c r="A76" s="213"/>
      <c r="B76" s="218" t="s">
        <v>864</v>
      </c>
      <c r="C76" s="213"/>
      <c r="D76" s="213"/>
      <c r="E76" s="231">
        <v>6.1669999999999998</v>
      </c>
      <c r="F76" s="232">
        <v>2.8050000000000002</v>
      </c>
      <c r="G76" s="232"/>
      <c r="H76" s="232"/>
      <c r="I76" s="232"/>
      <c r="J76" s="232"/>
      <c r="K76" s="259" t="s">
        <v>269</v>
      </c>
      <c r="L76" s="251"/>
      <c r="M76" s="251"/>
      <c r="N76" s="251"/>
      <c r="O76" s="251"/>
      <c r="P76" s="251"/>
      <c r="Q76" s="251"/>
    </row>
    <row r="77" spans="1:17">
      <c r="A77" s="213"/>
      <c r="B77" s="218" t="s">
        <v>865</v>
      </c>
      <c r="C77" s="213"/>
      <c r="D77" s="213"/>
      <c r="E77" s="231">
        <v>66.218000000000004</v>
      </c>
      <c r="F77" s="232">
        <v>99.091999999999999</v>
      </c>
      <c r="G77" s="232">
        <v>0</v>
      </c>
      <c r="H77" s="232">
        <v>0</v>
      </c>
      <c r="I77" s="232">
        <v>0</v>
      </c>
      <c r="J77" s="232">
        <v>0</v>
      </c>
      <c r="K77" s="259" t="s">
        <v>269</v>
      </c>
      <c r="L77" s="251"/>
      <c r="M77" s="251"/>
      <c r="N77" s="251"/>
      <c r="O77" s="251"/>
      <c r="P77" s="251"/>
      <c r="Q77" s="251"/>
    </row>
    <row r="78" spans="1:17">
      <c r="A78" s="213"/>
      <c r="B78" s="218" t="s">
        <v>866</v>
      </c>
      <c r="C78" s="213"/>
      <c r="D78" s="213"/>
      <c r="E78" s="231">
        <v>1134.6769999999999</v>
      </c>
      <c r="F78" s="232">
        <v>1519.5440000000001</v>
      </c>
      <c r="G78" s="232">
        <v>13.864000000000001</v>
      </c>
      <c r="H78" s="232">
        <v>34.002000000000002</v>
      </c>
      <c r="I78" s="232">
        <v>25.3</v>
      </c>
      <c r="J78" s="232">
        <v>13.226000000000001</v>
      </c>
      <c r="K78" s="259">
        <v>-17.033999999999999</v>
      </c>
      <c r="L78" s="251"/>
      <c r="M78" s="251"/>
      <c r="N78" s="251"/>
      <c r="O78" s="251"/>
      <c r="P78" s="251"/>
      <c r="Q78" s="251"/>
    </row>
    <row r="79" spans="1:17">
      <c r="A79" s="213"/>
      <c r="B79" s="213"/>
      <c r="C79" s="213"/>
      <c r="D79" s="213"/>
      <c r="E79" s="231"/>
      <c r="F79" s="232"/>
      <c r="G79" s="232"/>
      <c r="H79" s="232"/>
      <c r="I79" s="232"/>
      <c r="J79" s="232"/>
      <c r="K79" s="213"/>
      <c r="L79" s="213"/>
      <c r="M79" s="213"/>
      <c r="N79" s="213"/>
      <c r="O79" s="213"/>
      <c r="P79" s="213"/>
      <c r="Q79" s="213"/>
    </row>
    <row r="80" spans="1:17">
      <c r="A80" s="217"/>
      <c r="B80" s="255" t="s">
        <v>867</v>
      </c>
      <c r="C80" s="253"/>
      <c r="D80" s="253"/>
      <c r="E80" s="264">
        <f>E72</f>
        <v>575.30599999999981</v>
      </c>
      <c r="F80" s="264">
        <f t="shared" ref="F80:K80" si="16">F72</f>
        <v>294.91400000000021</v>
      </c>
      <c r="G80" s="264">
        <f t="shared" si="16"/>
        <v>327.37200000000001</v>
      </c>
      <c r="H80" s="264">
        <f t="shared" si="16"/>
        <v>654.67200000000003</v>
      </c>
      <c r="I80" s="264">
        <f t="shared" si="16"/>
        <v>1032.8510000000003</v>
      </c>
      <c r="J80" s="264">
        <f t="shared" si="16"/>
        <v>1345.654</v>
      </c>
      <c r="K80" s="264">
        <f t="shared" si="16"/>
        <v>1058.442</v>
      </c>
      <c r="L80" s="251"/>
      <c r="M80" s="251"/>
      <c r="N80" s="251"/>
      <c r="O80" s="251"/>
      <c r="P80" s="251"/>
      <c r="Q80" s="251"/>
    </row>
    <row r="81" spans="1:17">
      <c r="A81" s="213"/>
      <c r="B81" s="213"/>
      <c r="C81" s="213"/>
      <c r="D81" s="213"/>
      <c r="E81" s="231"/>
      <c r="F81" s="232"/>
      <c r="G81" s="232"/>
      <c r="H81" s="232"/>
      <c r="I81" s="232"/>
      <c r="J81" s="232"/>
      <c r="K81" s="213"/>
      <c r="L81" s="213"/>
      <c r="M81" s="213"/>
      <c r="N81" s="213"/>
      <c r="O81" s="213"/>
      <c r="P81" s="213"/>
      <c r="Q81" s="213"/>
    </row>
    <row r="82" spans="1:17">
      <c r="A82" s="217"/>
      <c r="B82" s="253" t="s">
        <v>393</v>
      </c>
      <c r="C82" s="253"/>
      <c r="D82" s="253"/>
      <c r="E82" s="264">
        <f>E80</f>
        <v>575.30599999999981</v>
      </c>
      <c r="F82" s="264">
        <f t="shared" ref="F82:J82" si="17">F80</f>
        <v>294.91400000000021</v>
      </c>
      <c r="G82" s="264">
        <f t="shared" si="17"/>
        <v>327.37200000000001</v>
      </c>
      <c r="H82" s="264">
        <f t="shared" si="17"/>
        <v>654.67200000000003</v>
      </c>
      <c r="I82" s="264">
        <f t="shared" si="17"/>
        <v>1032.8510000000003</v>
      </c>
      <c r="J82" s="264">
        <f t="shared" si="17"/>
        <v>1345.654</v>
      </c>
      <c r="K82" s="264">
        <v>1058.442</v>
      </c>
      <c r="L82" s="251"/>
      <c r="M82" s="251"/>
      <c r="N82" s="251"/>
      <c r="O82" s="251"/>
      <c r="P82" s="251"/>
      <c r="Q82" s="251"/>
    </row>
    <row r="83" spans="1:17">
      <c r="A83" s="213"/>
      <c r="B83" s="213"/>
      <c r="C83" s="213"/>
      <c r="D83" s="213"/>
      <c r="E83" s="231"/>
      <c r="F83" s="231"/>
      <c r="G83" s="231"/>
      <c r="H83" s="231"/>
      <c r="I83" s="231"/>
      <c r="J83" s="231"/>
      <c r="K83" s="213"/>
      <c r="L83" s="213"/>
      <c r="M83" s="213"/>
      <c r="N83" s="213"/>
      <c r="O83" s="213"/>
      <c r="P83" s="213"/>
      <c r="Q83" s="213"/>
    </row>
    <row r="84" spans="1:17">
      <c r="A84" s="217"/>
      <c r="B84" s="253" t="s">
        <v>627</v>
      </c>
      <c r="C84" s="253"/>
      <c r="D84" s="253"/>
      <c r="E84" s="264">
        <f>E80+E69</f>
        <v>3894.0720000000001</v>
      </c>
      <c r="F84" s="264">
        <f t="shared" ref="F84:K84" si="18">F80+F69</f>
        <v>2945.3440000000001</v>
      </c>
      <c r="G84" s="264">
        <f t="shared" si="18"/>
        <v>3326.83</v>
      </c>
      <c r="H84" s="264">
        <f t="shared" si="18"/>
        <v>4106.7790000000005</v>
      </c>
      <c r="I84" s="264">
        <f t="shared" si="18"/>
        <v>5212.1329999999998</v>
      </c>
      <c r="J84" s="264">
        <f t="shared" si="18"/>
        <v>6041.9699999999993</v>
      </c>
      <c r="K84" s="264">
        <f t="shared" si="18"/>
        <v>6103.53</v>
      </c>
      <c r="L84" s="251"/>
      <c r="M84" s="251"/>
      <c r="N84" s="251"/>
      <c r="O84" s="251"/>
      <c r="P84" s="251"/>
      <c r="Q84" s="251"/>
    </row>
    <row r="85" spans="1:17">
      <c r="A85" s="213"/>
      <c r="B85" s="213"/>
      <c r="C85" s="213"/>
      <c r="D85" s="213"/>
      <c r="E85" s="243">
        <f>E44-E84</f>
        <v>0</v>
      </c>
      <c r="F85" s="243">
        <f>F44-F84</f>
        <v>0</v>
      </c>
      <c r="G85" s="243">
        <f t="shared" ref="G85:K85" si="19">G44-G84</f>
        <v>0</v>
      </c>
      <c r="H85" s="243">
        <f t="shared" si="19"/>
        <v>0</v>
      </c>
      <c r="I85" s="243">
        <f t="shared" si="19"/>
        <v>0</v>
      </c>
      <c r="J85" s="243">
        <f t="shared" si="19"/>
        <v>0</v>
      </c>
      <c r="K85" s="243">
        <f t="shared" si="19"/>
        <v>-9.9999999929423211E-4</v>
      </c>
      <c r="L85" s="213"/>
      <c r="M85" s="213"/>
      <c r="N85" s="213"/>
      <c r="O85" s="213"/>
      <c r="P85" s="213"/>
    </row>
    <row r="86" spans="1:17">
      <c r="A86" s="213"/>
      <c r="B86" s="213"/>
      <c r="C86" s="213"/>
      <c r="D86" s="213"/>
      <c r="E86" s="213"/>
      <c r="F86" s="213"/>
      <c r="G86" s="213"/>
      <c r="H86" s="213"/>
      <c r="I86" s="213"/>
      <c r="J86" s="213"/>
      <c r="K86" s="213"/>
      <c r="L86" s="213"/>
      <c r="M86" s="213"/>
      <c r="N86" s="213"/>
      <c r="O86" s="213"/>
      <c r="P86" s="213"/>
    </row>
    <row r="87" spans="1:17">
      <c r="A87" s="213"/>
      <c r="B87" s="213"/>
      <c r="C87" s="213"/>
      <c r="E87" s="213"/>
      <c r="F87" s="213"/>
      <c r="G87" s="213"/>
      <c r="H87" s="213"/>
      <c r="I87" s="213"/>
      <c r="J87" s="213"/>
      <c r="K87" s="213"/>
      <c r="L87" s="213"/>
      <c r="M87" s="213"/>
      <c r="N87" s="213"/>
      <c r="O87" s="213"/>
      <c r="P87" s="213"/>
    </row>
    <row r="88" spans="1:17">
      <c r="A88" s="213"/>
      <c r="B88" s="213"/>
      <c r="C88" s="213"/>
      <c r="D88" s="213"/>
      <c r="E88" s="213"/>
      <c r="F88" s="213"/>
      <c r="G88" s="213"/>
      <c r="H88" s="213"/>
      <c r="I88" s="213"/>
      <c r="J88" s="213"/>
      <c r="K88" s="213"/>
      <c r="L88" s="213"/>
      <c r="M88" s="213"/>
      <c r="N88" s="213"/>
      <c r="O88" s="213"/>
      <c r="P88" s="213"/>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CEF67069ABC7C438587969212D4818A" ma:contentTypeVersion="11" ma:contentTypeDescription="Create a new document." ma:contentTypeScope="" ma:versionID="adf6550bef3e5e310f52380bb2c09dc0">
  <xsd:schema xmlns:xsd="http://www.w3.org/2001/XMLSchema" xmlns:xs="http://www.w3.org/2001/XMLSchema" xmlns:p="http://schemas.microsoft.com/office/2006/metadata/properties" xmlns:ns3="6b27f299-f792-4cc4-904b-6e4f2ea3b162" xmlns:ns4="7cf4b30c-c203-451e-bcae-49e5688dd4a4" targetNamespace="http://schemas.microsoft.com/office/2006/metadata/properties" ma:root="true" ma:fieldsID="e0c59ee8ebab83137ed53ac4636c5a8e" ns3:_="" ns4:_="">
    <xsd:import namespace="6b27f299-f792-4cc4-904b-6e4f2ea3b162"/>
    <xsd:import namespace="7cf4b30c-c203-451e-bcae-49e5688dd4a4"/>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4:SharedWithUsers" minOccurs="0"/>
                <xsd:element ref="ns4:SharedWithDetails" minOccurs="0"/>
                <xsd:element ref="ns4:SharingHintHash" minOccurs="0"/>
                <xsd:element ref="ns3:MediaServiceSearchProperties" minOccurs="0"/>
                <xsd:element ref="ns3:_activity" minOccurs="0"/>
                <xsd:element ref="ns3:MediaServiceObjectDetectorVersions"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b27f299-f792-4cc4-904b-6e4f2ea3b16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_activity" ma:index="16" nillable="true" ma:displayName="_activity" ma:hidden="true" ma:internalName="_activity">
      <xsd:simpleType>
        <xsd:restriction base="dms:Note"/>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cf4b30c-c203-451e-bcae-49e5688dd4a4"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xml version="1.0" encoding="utf-8"?>
<p:properties xmlns:p="http://schemas.microsoft.com/office/2006/metadata/properties" xmlns:xsi="http://www.w3.org/2001/XMLSchema-instance" xmlns:pc="http://schemas.microsoft.com/office/infopath/2007/PartnerControls">
  <documentManagement>
    <_activity xmlns="6b27f299-f792-4cc4-904b-6e4f2ea3b162" xsi:nil="true"/>
  </documentManagement>
</p:properties>
</file>

<file path=customXml/itemProps1.xml><?xml version="1.0" encoding="utf-8"?>
<ds:datastoreItem xmlns:ds="http://schemas.openxmlformats.org/officeDocument/2006/customXml" ds:itemID="{C3A6A66D-479A-454F-8293-53D1B2DF2486}">
  <ds:schemaRefs>
    <ds:schemaRef ds:uri="http://schemas.microsoft.com/sharepoint/v3/contenttype/forms"/>
  </ds:schemaRefs>
</ds:datastoreItem>
</file>

<file path=customXml/itemProps2.xml><?xml version="1.0" encoding="utf-8"?>
<ds:datastoreItem xmlns:ds="http://schemas.openxmlformats.org/officeDocument/2006/customXml" ds:itemID="{51C3EC83-E656-4C87-B21D-43147A5E609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b27f299-f792-4cc4-904b-6e4f2ea3b162"/>
    <ds:schemaRef ds:uri="7cf4b30c-c203-451e-bcae-49e5688dd4a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63AAEB1-FDE6-4D83-9810-01F73F823E55}">
  <ds:schemaRefs>
    <ds:schemaRef ds:uri="http://schemas.microsoft.com/DataMashup"/>
  </ds:schemaRefs>
</ds:datastoreItem>
</file>

<file path=customXml/itemProps4.xml><?xml version="1.0" encoding="utf-8"?>
<ds:datastoreItem xmlns:ds="http://schemas.openxmlformats.org/officeDocument/2006/customXml" ds:itemID="{860085D0-01CB-42BF-9A68-474F5D6B75A0}">
  <ds:schemaRefs>
    <ds:schemaRef ds:uri="6b27f299-f792-4cc4-904b-6e4f2ea3b162"/>
    <ds:schemaRef ds:uri="http://purl.org/dc/elements/1.1/"/>
    <ds:schemaRef ds:uri="http://schemas.microsoft.com/office/2006/metadata/properties"/>
    <ds:schemaRef ds:uri="http://www.w3.org/XML/1998/namespace"/>
    <ds:schemaRef ds:uri="http://schemas.microsoft.com/office/2006/documentManagement/types"/>
    <ds:schemaRef ds:uri="http://purl.org/dc/terms/"/>
    <ds:schemaRef ds:uri="http://schemas.microsoft.com/office/infopath/2007/PartnerControls"/>
    <ds:schemaRef ds:uri="http://schemas.openxmlformats.org/package/2006/metadata/core-properties"/>
    <ds:schemaRef ds:uri="7cf4b30c-c203-451e-bcae-49e5688dd4a4"/>
    <ds:schemaRef ds:uri="http://purl.org/dc/dcmitype/"/>
  </ds:schemaRefs>
</ds:datastoreItem>
</file>

<file path=docMetadata/LabelInfo.xml><?xml version="1.0" encoding="utf-8"?>
<clbl:labelList xmlns:clbl="http://schemas.microsoft.com/office/2020/mipLabelMetadata">
  <clbl:label id="{82c514c1-a717-4087-be06-d40d2070ad52}" enabled="0" method="" siteId="{82c514c1-a717-4087-be06-d40d2070ad52}"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38</vt:i4>
      </vt:variant>
      <vt:variant>
        <vt:lpstr>Named Ranges</vt:lpstr>
      </vt:variant>
      <vt:variant>
        <vt:i4>4</vt:i4>
      </vt:variant>
    </vt:vector>
  </HeadingPairs>
  <TitlesOfParts>
    <vt:vector size="42" baseType="lpstr">
      <vt:lpstr>Cover</vt:lpstr>
      <vt:lpstr>DCF FINAL</vt:lpstr>
      <vt:lpstr>Comp. Multi &amp; Imp. Val</vt:lpstr>
      <vt:lpstr>Monte Carlo, VaR &amp;CVaR</vt:lpstr>
      <vt:lpstr>Sensitivity Analysis</vt:lpstr>
      <vt:lpstr>Reverse DCF</vt:lpstr>
      <vt:lpstr>DuPont Analysis</vt:lpstr>
      <vt:lpstr>Altman's Z-Score</vt:lpstr>
      <vt:lpstr>Chaffe-Finnerty DLOM</vt:lpstr>
      <vt:lpstr>VWAP LIVE</vt:lpstr>
      <vt:lpstr>Charts</vt:lpstr>
      <vt:lpstr>WACC</vt:lpstr>
      <vt:lpstr>WACC FF Data</vt:lpstr>
      <vt:lpstr>Beta Regression</vt:lpstr>
      <vt:lpstr>IS Intergrated</vt:lpstr>
      <vt:lpstr>Graphs for report </vt:lpstr>
      <vt:lpstr>BS Intergrated</vt:lpstr>
      <vt:lpstr>CF Intergrated</vt:lpstr>
      <vt:lpstr>IS Assumption</vt:lpstr>
      <vt:lpstr>BS Assumptions</vt:lpstr>
      <vt:lpstr>CF Assumptions</vt:lpstr>
      <vt:lpstr>Revenue Assumptions</vt:lpstr>
      <vt:lpstr>Additional Assumptions</vt:lpstr>
      <vt:lpstr>Acquistion Multiples</vt:lpstr>
      <vt:lpstr>IS Ratio</vt:lpstr>
      <vt:lpstr>BS Ratios</vt:lpstr>
      <vt:lpstr>CF Ratio</vt:lpstr>
      <vt:lpstr>SBC Ratios</vt:lpstr>
      <vt:lpstr>IS Historical</vt:lpstr>
      <vt:lpstr>BS Historical Updated</vt:lpstr>
      <vt:lpstr>CF Historical</vt:lpstr>
      <vt:lpstr>DCS Detail</vt:lpstr>
      <vt:lpstr>FY'26 Statements</vt:lpstr>
      <vt:lpstr>STALE&gt;&gt;&gt;</vt:lpstr>
      <vt:lpstr>DCF</vt:lpstr>
      <vt:lpstr>Scenario Analysis</vt:lpstr>
      <vt:lpstr>VWAP - July</vt:lpstr>
      <vt:lpstr>BS Old</vt:lpstr>
      <vt:lpstr>'CF Historical'!datapoint0</vt:lpstr>
      <vt:lpstr>'CF Intergrated'!datapoint0</vt:lpstr>
      <vt:lpstr>'FY''26 Statements'!datapoint0</vt:lpstr>
      <vt:lpstr>'IS Historical'!datapoint0</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Lakshman Somasundaram</dc:creator>
  <cp:keywords/>
  <dc:description/>
  <cp:lastModifiedBy>Lakshman Somasundaram</cp:lastModifiedBy>
  <cp:revision/>
  <dcterms:created xsi:type="dcterms:W3CDTF">2026-07-19T06:48:15Z</dcterms:created>
  <dcterms:modified xsi:type="dcterms:W3CDTF">2026-09-15T04:27:30Z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0x010100ACEF67069ABC7C438587969212D4818A</vt:lpwstr>
  </property>
</Properties>
</file>